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D:\Gen150\donnees\"/>
    </mc:Choice>
  </mc:AlternateContent>
  <xr:revisionPtr revIDLastSave="0" documentId="13_ncr:1_{D75F7B49-C980-49D5-A5FD-A68B1169FD5E}" xr6:coauthVersionLast="47" xr6:coauthVersionMax="47" xr10:uidLastSave="{00000000-0000-0000-0000-000000000000}"/>
  <bookViews>
    <workbookView xWindow="-110" yWindow="-110" windowWidth="19420" windowHeight="12220" tabRatio="862" firstSheet="1" activeTab="4" xr2:uid="{00000000-000D-0000-FFFF-FFFF00000000}"/>
  </bookViews>
  <sheets>
    <sheet name="Feuil1" sheetId="51" r:id="rId1"/>
    <sheet name="Feuil2" sheetId="52" r:id="rId2"/>
    <sheet name="Feuil3" sheetId="57" r:id="rId3"/>
    <sheet name="Feuil4" sheetId="62" r:id="rId4"/>
    <sheet name="Syn prin concurents" sheetId="47" r:id="rId5"/>
    <sheet name="Syn prin concurents par catégor" sheetId="46" r:id="rId6"/>
    <sheet name="Syn prin concurents par trim" sheetId="56" r:id="rId7"/>
    <sheet name="Syn prin concurents par sem" sheetId="59" state="hidden" r:id="rId8"/>
    <sheet name="Syn prin concurents par cat (2)" sheetId="49" state="hidden" r:id="rId9"/>
    <sheet name="Syn prin concurents Nbre" sheetId="53" state="hidden" r:id="rId10"/>
    <sheet name="Syn prin concurents par cat Nbr" sheetId="54" state="hidden" r:id="rId11"/>
    <sheet name="Montant Moyn" sheetId="55" state="hidden" r:id="rId12"/>
    <sheet name="GLOBAL" sheetId="50" r:id="rId13"/>
    <sheet name="AXA CREDIT" sheetId="23" r:id="rId14"/>
    <sheet name="ASSALAF AL AKHDAR" sheetId="24" r:id="rId15"/>
    <sheet name="DAR SALAF" sheetId="27" r:id="rId16"/>
    <sheet name="EQDOM" sheetId="29" r:id="rId17"/>
    <sheet name="FNAC" sheetId="31" r:id="rId18"/>
    <sheet name="RCI " sheetId="32" r:id="rId19"/>
    <sheet name="SALAFIN" sheetId="34" r:id="rId20"/>
    <sheet name="SOFAC" sheetId="35" r:id="rId21"/>
    <sheet name="SOGEFINANCEMENT" sheetId="36" r:id="rId22"/>
    <sheet name="SONAC" sheetId="37" r:id="rId23"/>
    <sheet name="SOREC" sheetId="38" r:id="rId24"/>
    <sheet name="VIVALIS" sheetId="40" r:id="rId25"/>
    <sheet name="WAFASALAF" sheetId="41" r:id="rId26"/>
    <sheet name="DIAC" sheetId="28" r:id="rId27"/>
    <sheet name="FINACRED" sheetId="30" r:id="rId28"/>
    <sheet name="SALAF AL MOUSTAQBAL" sheetId="33"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__thinkcell7J7AAAAAAAAAAAAAAAAJNN45AZ5ADO2BSUWSW4QF3CQLS" localSheetId="0" hidden="1">Feuil1!$A$44:$F$47</definedName>
    <definedName name="___thinkcellACFQAAAAAAAAAAAAAAAG5I7QKUXC2I2DTUT5VRFUPO7KM" localSheetId="0" hidden="1">Feuil1!$A$73:$G$76</definedName>
    <definedName name="___thinkcellACFQAAABAAAAAAAAAAAAGPRHFZEW2TKMWZILFAMULN4D4" localSheetId="0" hidden="1">Feuil1!$D$79:$G$86</definedName>
    <definedName name="___thinkcellACFQAAABAAAAAAAAAAAB6V5FGACSSSSHVJ6WHAFIDWEAI" localSheetId="0" hidden="1">Feuil1!$D$20:$G$27</definedName>
    <definedName name="___thinkcellAKLQAAABAAAAAAAAAAAGHCBDKBOGCBKCVQSMHW7KT4RBW" localSheetId="0" hidden="1">Feuil1!$D$165:$G$172</definedName>
    <definedName name="___thinkcellICFQAAAAAAAAAAAAAAABNKGVTZELW5CNSTPCAKSFC5MP4" localSheetId="2" hidden="1">Feuil3!$I$44:$J$49</definedName>
    <definedName name="___thinkcellICFQAAAAAAAAAAAAAAADTVQGZKIELGSAXVHQPWAIUCIYE" localSheetId="2" hidden="1">Feuil3!$A$24:$G$29</definedName>
    <definedName name="___thinkcellICFQAAAAAAAAAAAAAAAIA2B5DOWW25KOV4PYBTCRORZW6" localSheetId="2" hidden="1">Feuil3!$I$4:$J$9</definedName>
    <definedName name="___thinkcellICFQAAAAAAAAAAAAAAAP6YV5K6VYGQ2ATSZYBO4YMWG3Q" localSheetId="2" hidden="1">Feuil3!$I$24:$J$29</definedName>
    <definedName name="___thinkcellICFQAAAAAAAAAAAAAAAPNA4ONS7UV3SEXXBUWL2Q64IPM" localSheetId="2" hidden="1">Feuil3!$A$44:$F$49</definedName>
    <definedName name="___thinkcellICFQAAABAAAAAAAAAAAE54RD5V5AXF2BRYEUS56WWOW6Q" localSheetId="2" hidden="1">Feuil3!$A$12:$F$19</definedName>
    <definedName name="___thinkcellICFQAAABAAAAAAAAAAAIMISSBRIJY6KOSQLMVKM3ZVLM2" localSheetId="2" hidden="1">Feuil3!$A$32:$F$39</definedName>
    <definedName name="___thinkcellICFQAAABAAAAAAAAAAAJVYLKICUCPJSIWN4JGSAH3ROSG" localSheetId="2" hidden="1">Feuil3!$A$52:$F$58</definedName>
    <definedName name="___thinkcellIKFQAAAAAAAAAAAAAAAKRUVXXWLLD4CMQRDWD4LKG2EWQ" localSheetId="2" hidden="1">Feuil3!$A$4:$G$9</definedName>
    <definedName name="___thinkcellJCAQAAAAAAAAAAAAAAAAMEZTZNUCXKSFTFH3LZRZZCLOW" localSheetId="0" hidden="1">Feuil1!$I$255:$J$258</definedName>
    <definedName name="___thinkcellJCAQAAAAAAAAAAAAAAAB4EMRZELPRPSNUDXPG4FRYO3FQ" localSheetId="0" hidden="1">Feuil1!$A$274:$F$277</definedName>
    <definedName name="___thinkcellJCAQAAAAAAAAAAAAAAABUWDVCUPVLFCLSVFYOXQJG2Z6Q" localSheetId="0" hidden="1">Feuil1!$A$255:$G$258</definedName>
    <definedName name="___thinkcellJCAQAAAAAAAAAAAAAAACVK6BUZ4TI7CETQWFG3QVUQUWC" localSheetId="0" hidden="1">Feuil1!$I$292:$J$295</definedName>
    <definedName name="___thinkcellJCAQAAAAAAAAAAAAAAADTYPSTN6A7DCEQED4SFILB5LLW" localSheetId="0" hidden="1">Feuil1!$I$349:$J$352</definedName>
    <definedName name="___thinkcellJCAQAAAAAAAAAAAAAAAEOELB22HR7KKJUMI4U34ERDHK6" localSheetId="0" hidden="1">Feuil1!$I$312:$J$315</definedName>
    <definedName name="___thinkcellJCAQAAAAAAAAAAAAAAAFNGHKMW6Z7FCGRJOIEZZLYTWEI" localSheetId="0" hidden="1">Feuil1!$A$349:$G$352</definedName>
    <definedName name="___thinkcellJCAQAAAAAAAAAAAAAAAGY4WAV7ES6LSFUKWJFYSYSZZ6G" localSheetId="0" hidden="1">Feuil1!$I$274:$J$277</definedName>
    <definedName name="___thinkcellJCAQAAAAAAAAAAAAAAAH54AQYTIZYYSLSRJNFXYE2476O" localSheetId="0" hidden="1">Feuil1!$A$292:$G$295</definedName>
    <definedName name="___thinkcellJCAQAAAAAAAAAAAAAAAIZYTDKDF6SDSCRKNOECPNDWRFC" localSheetId="0" hidden="1">Feuil1!$I$331:$J$334</definedName>
    <definedName name="___thinkcellJCAQAAABAAAAAAAAAAACYS7PLXWFJLCKTPYIWIL22NPQO" localSheetId="0" hidden="1">Feuil1!$D$318:$G$325</definedName>
    <definedName name="___thinkcellJCAQAAABAAAAAAAAAAAFXVYMQVHCJ7SMR774FSTDOAO52" localSheetId="0" hidden="1">Feuil1!$D$280:$G$286</definedName>
    <definedName name="___thinkcellJCAQAAABAAAAAAAAAAAJ3JBUEYB6IKSMTLLDNK76FX7QM" localSheetId="0" hidden="1">Feuil1!$D$298:$G$305</definedName>
    <definedName name="___thinkcellJCAQAAABAAAAAAAAAAAJAKNQATUUDBSBTT3AWKIW5BTNK" localSheetId="0" hidden="1">Feuil1!$D$355:$G$362</definedName>
    <definedName name="___thinkcellJCAQAAABAAAAAAAAAAAPN2VDAOI5NDSOQ6S2UND7OUPLY" localSheetId="0" hidden="1">Feuil1!$D$337:$G$343</definedName>
    <definedName name="___thinkcellJCAQAAABAAAAAAAAAAAPOH4EOEHLZBKMT7SXSHU67EX4O" localSheetId="0" hidden="1">Feuil1!$D$261:$G$268</definedName>
    <definedName name="___thinkcellMFJAAAAAAAAAAAIAAAABAGAAG5E3ID2IV3JT7YRK6QNBU" localSheetId="0" hidden="1">Feuil1!$I$6:$J$9</definedName>
    <definedName name="___thinkcellMFJAAAAAAAAAAAIAAAABNPCUOQ4HUWKJU7LCWBYEL6POC" localSheetId="0" hidden="1">Feuil1!$A$6:$G$9</definedName>
    <definedName name="___thinkcellMFJAAAAAAAAAAAIAAAABYOCYJTXY2HKGQISDE7IHP7E2Y" localSheetId="0" hidden="1">Feuil1!$I$102:$J$105</definedName>
    <definedName name="___thinkcellMFJAAAAAAAAAAAIAAAABYRHFMQERV2SLQC5632JXTKN7Q" localSheetId="0" hidden="1">Feuil1!$A$199:$H$202</definedName>
    <definedName name="___thinkcellMFJAAAAAAAAAAAIAAAACGNAKSBPQCSSOUMORDIRPMQBR6" localSheetId="0" hidden="1">Feuil1!$A$14:$H$17</definedName>
    <definedName name="___thinkcellMFJAAAAAAAAAAAIAAAADTKDPRFKA6ESIULXQXHILXLY6O" localSheetId="0" hidden="1">Feuil1!$I$131:$J$134</definedName>
    <definedName name="___thinkcellMFJAAAAAAAAAAAIAAAAE3SMXE5H2Y22DX2CC3ZRLXLGHY" localSheetId="0" hidden="1">Feuil1!$I$73:$J$76</definedName>
    <definedName name="___thinkcellMFJAAAAAAAAAAAIAAAAEAGSWKFODPKCLQUPEHNKEATECW" localSheetId="0" hidden="1">Feuil1!$A$211:$G$214</definedName>
    <definedName name="___thinkcellMFJAAAAAAAAAAAIAAAAF3QVSQT43JMKCXLAKQP4EYUENG" localSheetId="0" hidden="1">Feuil1!$A$193:$G$196</definedName>
    <definedName name="___thinkcellMFJAAAAAAAAAAAIAAAAHH4AAGDCCNUSLRJMYXMZ3Y2IUK" localSheetId="0" hidden="1">Feuil1!$I$229:$J$232</definedName>
    <definedName name="___thinkcellMFJAAAAAAAAAAAIAAAAHZJRM74LTFBSPQRD53WUDOPLCQ" localSheetId="0" hidden="1">Feuil1!$A$131:$F$134</definedName>
    <definedName name="___thinkcellMFJAAAAAAAAAAAIAAAAID4NEEE4M56KAVIQ3DIC56NJGG" localSheetId="0" hidden="1">Feuil1!$I$44:$J$47</definedName>
    <definedName name="___thinkcellMFJAAAAAAAAAAAIAAAAJZFYRDYH2YFSNXJ4RFJRVR7BJ4" localSheetId="0" hidden="1">Feuil1!$A$229:$G$232</definedName>
    <definedName name="___thinkcellMFJAAAAAAAAAAAIAAAAKT7ZHNADRPSCJSVH554A7YSXQ6" localSheetId="0" hidden="1">Feuil1!$I$211:$J$214</definedName>
    <definedName name="___thinkcellMFJAAAAAAAAAAAIAAAALE3MDNI3Q77CLTWYRE3PEFO6IQ" localSheetId="0" hidden="1">Feuil1!$I$159:$J$162</definedName>
    <definedName name="___thinkcellMFJAAAAAAAAAAAIAAAANQNYKK2GJVNKCQYG5REPXI4WRC" localSheetId="0" hidden="1">Feuil1!$A$187:$H$190</definedName>
    <definedName name="___thinkcellMFJAAAAAAAAAAAIAAAAPITBHBF6K5MCBWCSXNKPI76Y2G" localSheetId="0" hidden="1">Feuil1!$A$73:$F$76</definedName>
    <definedName name="___thinkcellMFJAAAAAAAAAAAIAAAAPURTTC7BTZRKPX3E75B62JMK6Y" localSheetId="0" hidden="1">Feuil1!$A$102:$G$105</definedName>
    <definedName name="___thinkcellMFJAAAAAAAAAAAQAAAAHYXZ4TEWPONKPSFY6U4NKRXZ6Y" localSheetId="1" hidden="1">Feuil2!$A$2:$U$5</definedName>
    <definedName name="___thinkcellMFJAAAAAAAAAAAYAAAAC5SVSKGXRMFCMTQV7MXECRC4ZE" localSheetId="0" hidden="1">Feuil1!$A$30:$B$37</definedName>
    <definedName name="___thinkcellMFJAAAAAAAAAAAYAAAACC3PCK2A4ASSKUYROU6BYUOARY" localSheetId="0" hidden="1">Feuil1!$A$51:$B$57</definedName>
    <definedName name="___thinkcellMFJAAAAAAAAAAAYAAAACMONTH3TPHS2GV4ZTLTELKNV7E" localSheetId="0" hidden="1">Feuil1!$A$165:$B$172</definedName>
    <definedName name="___thinkcellMFJAAAAAAAAAAAYAAAAE3ILP3SGHCFCETIWUTWYXAY3LS" localSheetId="0" hidden="1">Feuil1!$A$79:$B$86</definedName>
    <definedName name="___thinkcellMFJAAAAAAAAAAAYAAAAF3L2PV7AXP5CCUDRWB5HVD2T2A" localSheetId="0" hidden="1">Feuil1!$A$118:$B$125</definedName>
    <definedName name="___thinkcellMFJAAAAAAAAAAAYAAAAILHUGFVEJBHKIV5OI6ZHTIVY7E" localSheetId="0" hidden="1">Feuil1!$A$137:$B$143</definedName>
    <definedName name="___thinkcellMFJAAAAAAAAAAAYAAAAIPSNKG4WJMU2EW7LKJU4BQZRJA" localSheetId="0" hidden="1">Feuil1!$A$20:$B$27</definedName>
    <definedName name="___thinkcellMFJAAAAAAAAAAAYAAAAJKNGLZPJ57YSOWLSIZPLJM5V5M" localSheetId="0" hidden="1">Feuil1!$A$146:$B$152</definedName>
    <definedName name="___thinkcellMFJAAAAAAAAAAAYAAAAJQR6ZZUXTIVCNTZR7IU4552P4K" localSheetId="0" hidden="1">Feuil1!$A$89:$B$96</definedName>
    <definedName name="___thinkcellMFJAAAAAAAAAAAYAAAAMBTT6R2IBTPKBTMWQ5KZGR6QTI" localSheetId="0" hidden="1">Feuil1!$A$175:$B$182</definedName>
    <definedName name="___thinkcellMFJAAAAAAAAAAAYAAAAMPPUIELYENY2BXRZQRAHZ6CPBQ" localSheetId="0" hidden="1">Feuil1!$A$108:$B$115</definedName>
    <definedName name="___thinkcellMFJAAAAAAAAAAAYAAAAODRHHOL5C3X2PRNYSXUJ5S6QOU" localSheetId="0" hidden="1">Feuil1!$A$60:$B$66</definedName>
    <definedName name="___thinkcellMFJAAAABAAAAAAIAAAADPSBLTXTBA62KVSEOHQFPCTUE6" localSheetId="0" hidden="1">Feuil1!$D$108:$G$115</definedName>
    <definedName name="___thinkcellMFJAAAABAAAAAAIAAAAFY4M6DMLCOXKJTW6BCQD3KAIT4" localSheetId="0" hidden="1">Feuil1!$D$51:$G$57</definedName>
    <definedName name="___thinkcellMFJAAAABAAAAAAIAAAAIFD7YCTZGO22OROMKCGLBBIQH4" localSheetId="0" hidden="1">Feuil1!$D$137:$G$143</definedName>
    <definedName name="___thinkcellMFJAAAABAAAAAAIAAAAIJH3GKMPYCYSNSDYE5AL2JJ7TA" localSheetId="0" hidden="1">Feuil1!$D$217:$G$224</definedName>
    <definedName name="___thinkcellMFJAAAABAAAAAAIAAAAJPF5RX3GU7NCJXB533NEYQSFVS" localSheetId="0" hidden="1">Feuil1!$D$235:$G$242</definedName>
    <definedName name="___thinkcellVJ4AAAAAAAAAAAAAAAAFG3VRNHUP57KIW7RVEY5UNTUTS" localSheetId="0" hidden="1">Feuil1!$I$245:$J$248</definedName>
    <definedName name="___thinkcellVJ4AAAAAAAAAAAAAAAAHD6SUI7X7CXKOV42VNBZPLEGJ2" localSheetId="0" hidden="1">Feuil1!$A$245:$G$248</definedName>
    <definedName name="___thinkcellVRUQAAAAAAAAAAAAAAAMIZ2X5D7MWVSFWVSAHOFTTPPPI" localSheetId="1" hidden="1">Feuil2!$A$15:$E$17</definedName>
    <definedName name="___thinkcellVRUQAAAAAAAAAAAAAAAMUTQSES4F562KT6ZU3G7MAUJBQ" localSheetId="1" hidden="1">Feuil2!$A$24:$F$26</definedName>
    <definedName name="___thinkcellWKFAAAAAAAAAAAAAAAABMTKNX5TAF7CNV7PVQUPYD3GRM" localSheetId="0" hidden="1">Feuil1!$A$159:$G$162</definedName>
    <definedName name="___thinkcellWKFAAAAAAAAAAAAAAAAGAX4MFBODYGSAUBUJOTJZRIX74" localSheetId="0" hidden="1">Feuil1!$A$312:$G$315</definedName>
    <definedName name="___thinkcellYCFAAAAAAAAAAAAAAAAG5ULAVVJYPCKETDKNYBJYRURQI" localSheetId="0" hidden="1">Feuil1!$A$331:$F$334</definedName>
    <definedName name="___thinkcellZ2EQAAAAAAAAAAAAAAADHAIO3ODXWFSPQWQ72RA56FYM2" localSheetId="2" hidden="1">Feuil3!$M$20:$Q$28</definedName>
    <definedName name="___thinkcellZ2EQAAAAAAAAAAAAAAADZZXD6UW73TSMW5VOKFQNT2PQY" localSheetId="2" hidden="1">Feuil3!$M$13:$Q$15</definedName>
    <definedName name="___thinkcellZ2EQAAAAAAAAAAAAAAAL3Q5DQEVJGE2JS6A6KLQWXCFL6" localSheetId="2" hidden="1">Feuil3!$M$4:$Q$11</definedName>
    <definedName name="_xlnm.Print_Area" localSheetId="14">'ASSALAF AL AKHDAR'!$A$1:$I$117</definedName>
    <definedName name="_xlnm.Print_Area" localSheetId="13">'AXA CREDIT'!$A$1:$I$117</definedName>
    <definedName name="_xlnm.Print_Area" localSheetId="15">'DAR SALAF'!$A$1:$I$117</definedName>
    <definedName name="_xlnm.Print_Area" localSheetId="26">DIAC!$A$1:$I$117</definedName>
    <definedName name="_xlnm.Print_Area" localSheetId="16">EQDOM!$A$1:$I$118</definedName>
    <definedName name="_xlnm.Print_Area" localSheetId="27">FINACRED!$A$1:$I$117</definedName>
    <definedName name="_xlnm.Print_Area" localSheetId="17">FNAC!$A$1:$I$117</definedName>
    <definedName name="_xlnm.Print_Area" localSheetId="12">GLOBAL!$A$1:$I$117</definedName>
    <definedName name="_xlnm.Print_Area" localSheetId="18">'RCI '!$A$1:$I$117</definedName>
    <definedName name="_xlnm.Print_Area" localSheetId="28">'SALAF AL MOUSTAQBAL'!$A$1:$I$117</definedName>
    <definedName name="_xlnm.Print_Area" localSheetId="19">SALAFIN!$A$1:$I$117</definedName>
    <definedName name="_xlnm.Print_Area" localSheetId="20">SOFAC!$A$1:$I$117</definedName>
    <definedName name="_xlnm.Print_Area" localSheetId="22">SONAC!$A$1:$I$117</definedName>
    <definedName name="_xlnm.Print_Area" localSheetId="23">SOREC!$A$1:$I$117</definedName>
    <definedName name="_xlnm.Print_Area" localSheetId="4">'Syn prin concurents'!$A$1:$W$118</definedName>
    <definedName name="_xlnm.Print_Area" localSheetId="9">'Syn prin concurents Nbre'!$A$1:$W$31</definedName>
    <definedName name="_xlnm.Print_Area" localSheetId="10">'Syn prin concurents par cat Nbr'!$A$1:$AK$30</definedName>
    <definedName name="_xlnm.Print_Area" localSheetId="5">'Syn prin concurents par catégor'!$A$1:$AK$116</definedName>
    <definedName name="_xlnm.Print_Area" localSheetId="7">'Syn prin concurents par sem'!$A$1:$R$30</definedName>
    <definedName name="_xlnm.Print_Area" localSheetId="6">'Syn prin concurents par trim'!$A$1:$AC$31</definedName>
    <definedName name="_xlnm.Print_Area" localSheetId="24">VIVALIS!$A$1:$I$117</definedName>
    <definedName name="_xlnm.Print_Area" localSheetId="25">WAFASALAF!$A$1:$I$117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1" i="35" l="1"/>
  <c r="B11" i="23"/>
  <c r="U97" i="47"/>
  <c r="I97" i="47"/>
  <c r="E97" i="47"/>
  <c r="U72" i="47"/>
  <c r="I72" i="47"/>
  <c r="E72" i="47"/>
  <c r="U50" i="47"/>
  <c r="I50" i="47"/>
  <c r="E50" i="47"/>
  <c r="V26" i="47"/>
  <c r="J26" i="47"/>
  <c r="I26" i="47"/>
  <c r="F26" i="47"/>
  <c r="E26" i="47"/>
  <c r="C111" i="34"/>
  <c r="C110" i="34"/>
  <c r="C109" i="34"/>
  <c r="F109" i="34" s="1"/>
  <c r="C108" i="34"/>
  <c r="G108" i="34" s="1"/>
  <c r="C107" i="34"/>
  <c r="F107" i="34" s="1"/>
  <c r="B111" i="34"/>
  <c r="B110" i="34"/>
  <c r="B109" i="34"/>
  <c r="B108" i="34"/>
  <c r="B107" i="34"/>
  <c r="C100" i="34"/>
  <c r="C99" i="34"/>
  <c r="C98" i="34"/>
  <c r="B100" i="34"/>
  <c r="B99" i="34"/>
  <c r="B98" i="34"/>
  <c r="B97" i="34" s="1"/>
  <c r="B103" i="34" s="1"/>
  <c r="C55" i="34"/>
  <c r="G55" i="34" s="1"/>
  <c r="C54" i="34"/>
  <c r="C53" i="34"/>
  <c r="C52" i="34"/>
  <c r="C51" i="34"/>
  <c r="B55" i="34"/>
  <c r="B54" i="34"/>
  <c r="B53" i="34"/>
  <c r="B52" i="34"/>
  <c r="B51" i="34"/>
  <c r="C45" i="34"/>
  <c r="C72" i="34" s="1"/>
  <c r="C44" i="34"/>
  <c r="C43" i="34"/>
  <c r="C42" i="34"/>
  <c r="B45" i="34"/>
  <c r="B44" i="34"/>
  <c r="B43" i="34"/>
  <c r="B42" i="34"/>
  <c r="C28" i="34"/>
  <c r="C27" i="34"/>
  <c r="C26" i="34"/>
  <c r="C25" i="34"/>
  <c r="C24" i="34"/>
  <c r="B28" i="34"/>
  <c r="B27" i="34"/>
  <c r="B26" i="34"/>
  <c r="B25" i="34"/>
  <c r="B24" i="34"/>
  <c r="C15" i="34"/>
  <c r="C14" i="34"/>
  <c r="C12" i="34"/>
  <c r="C11" i="34"/>
  <c r="B15" i="34"/>
  <c r="B14" i="34"/>
  <c r="B12" i="34"/>
  <c r="I111" i="34"/>
  <c r="H111" i="34"/>
  <c r="I110" i="34"/>
  <c r="H110" i="34"/>
  <c r="G110" i="34"/>
  <c r="F110" i="34"/>
  <c r="I109" i="34"/>
  <c r="H109" i="34"/>
  <c r="G109" i="34"/>
  <c r="I108" i="34"/>
  <c r="H108" i="34"/>
  <c r="F108" i="34"/>
  <c r="I107" i="34"/>
  <c r="H107" i="34"/>
  <c r="G107" i="34"/>
  <c r="E106" i="34"/>
  <c r="E115" i="34" s="1"/>
  <c r="I115" i="34" s="1"/>
  <c r="D106" i="34"/>
  <c r="D115" i="34" s="1"/>
  <c r="C106" i="34"/>
  <c r="B106" i="34"/>
  <c r="D103" i="34"/>
  <c r="I102" i="34"/>
  <c r="H102" i="34"/>
  <c r="G102" i="34"/>
  <c r="F102" i="34"/>
  <c r="I101" i="34"/>
  <c r="H101" i="34"/>
  <c r="G101" i="34"/>
  <c r="F101" i="34"/>
  <c r="I100" i="34"/>
  <c r="H100" i="34"/>
  <c r="G100" i="34"/>
  <c r="F100" i="34"/>
  <c r="I99" i="34"/>
  <c r="H99" i="34"/>
  <c r="G99" i="34"/>
  <c r="F99" i="34"/>
  <c r="I98" i="34"/>
  <c r="H98" i="34"/>
  <c r="I97" i="34"/>
  <c r="E97" i="34"/>
  <c r="E103" i="34" s="1"/>
  <c r="D97" i="34"/>
  <c r="C97" i="34"/>
  <c r="C103" i="34" s="1"/>
  <c r="I83" i="34"/>
  <c r="E83" i="34"/>
  <c r="H83" i="34" s="1"/>
  <c r="D83" i="34"/>
  <c r="I82" i="34"/>
  <c r="E82" i="34"/>
  <c r="H82" i="34" s="1"/>
  <c r="D82" i="34"/>
  <c r="C82" i="34"/>
  <c r="B82" i="34"/>
  <c r="F82" i="34" s="1"/>
  <c r="I81" i="34"/>
  <c r="E81" i="34"/>
  <c r="H81" i="34" s="1"/>
  <c r="D81" i="34"/>
  <c r="C81" i="34"/>
  <c r="G81" i="34" s="1"/>
  <c r="B81" i="34"/>
  <c r="I80" i="34"/>
  <c r="E80" i="34"/>
  <c r="H80" i="34" s="1"/>
  <c r="D80" i="34"/>
  <c r="B80" i="34"/>
  <c r="I79" i="34"/>
  <c r="E79" i="34"/>
  <c r="H79" i="34" s="1"/>
  <c r="D79" i="34"/>
  <c r="B79" i="34"/>
  <c r="I78" i="34"/>
  <c r="E78" i="34"/>
  <c r="H78" i="34" s="1"/>
  <c r="D78" i="34"/>
  <c r="D87" i="34" s="1"/>
  <c r="I74" i="34"/>
  <c r="E74" i="34"/>
  <c r="H74" i="34" s="1"/>
  <c r="D74" i="34"/>
  <c r="C74" i="34"/>
  <c r="G74" i="34" s="1"/>
  <c r="B74" i="34"/>
  <c r="F74" i="34" s="1"/>
  <c r="I73" i="34"/>
  <c r="E73" i="34"/>
  <c r="H73" i="34" s="1"/>
  <c r="D73" i="34"/>
  <c r="C73" i="34"/>
  <c r="G73" i="34" s="1"/>
  <c r="B73" i="34"/>
  <c r="F73" i="34" s="1"/>
  <c r="I72" i="34"/>
  <c r="E72" i="34"/>
  <c r="H72" i="34" s="1"/>
  <c r="D72" i="34"/>
  <c r="B72" i="34"/>
  <c r="I71" i="34"/>
  <c r="E71" i="34"/>
  <c r="H71" i="34" s="1"/>
  <c r="D71" i="34"/>
  <c r="C71" i="34"/>
  <c r="B71" i="34"/>
  <c r="I70" i="34"/>
  <c r="E70" i="34"/>
  <c r="H70" i="34" s="1"/>
  <c r="D70" i="34"/>
  <c r="C70" i="34"/>
  <c r="I69" i="34"/>
  <c r="E69" i="34"/>
  <c r="H69" i="34" s="1"/>
  <c r="D69" i="34"/>
  <c r="D75" i="34" s="1"/>
  <c r="I55" i="34"/>
  <c r="H55" i="34"/>
  <c r="I54" i="34"/>
  <c r="H54" i="34"/>
  <c r="G54" i="34"/>
  <c r="F54" i="34"/>
  <c r="I53" i="34"/>
  <c r="H53" i="34"/>
  <c r="G53" i="34"/>
  <c r="F53" i="34"/>
  <c r="I52" i="34"/>
  <c r="H52" i="34"/>
  <c r="G52" i="34"/>
  <c r="F52" i="34"/>
  <c r="I51" i="34"/>
  <c r="H51" i="34"/>
  <c r="G51" i="34"/>
  <c r="F51" i="34"/>
  <c r="E50" i="34"/>
  <c r="E59" i="34" s="1"/>
  <c r="I59" i="34" s="1"/>
  <c r="D50" i="34"/>
  <c r="D59" i="34" s="1"/>
  <c r="C50" i="34"/>
  <c r="C59" i="34" s="1"/>
  <c r="B50" i="34"/>
  <c r="I47" i="34"/>
  <c r="H47" i="34"/>
  <c r="G47" i="34"/>
  <c r="F47" i="34"/>
  <c r="I46" i="34"/>
  <c r="H46" i="34"/>
  <c r="G46" i="34"/>
  <c r="F46" i="34"/>
  <c r="I45" i="34"/>
  <c r="H45" i="34"/>
  <c r="G45" i="34"/>
  <c r="F45" i="34"/>
  <c r="I44" i="34"/>
  <c r="H44" i="34"/>
  <c r="G44" i="34"/>
  <c r="F44" i="34"/>
  <c r="I43" i="34"/>
  <c r="H43" i="34"/>
  <c r="G43" i="34"/>
  <c r="F43" i="34"/>
  <c r="I42" i="34"/>
  <c r="H42" i="34"/>
  <c r="G42" i="34"/>
  <c r="F42" i="34"/>
  <c r="E41" i="34"/>
  <c r="E48" i="34" s="1"/>
  <c r="D41" i="34"/>
  <c r="D48" i="34" s="1"/>
  <c r="C41" i="34"/>
  <c r="C48" i="34" s="1"/>
  <c r="B41" i="34"/>
  <c r="B48" i="34" s="1"/>
  <c r="E32" i="34"/>
  <c r="E33" i="34" s="1"/>
  <c r="D32" i="34"/>
  <c r="H32" i="34" s="1"/>
  <c r="I28" i="34"/>
  <c r="H28" i="34"/>
  <c r="G28" i="34"/>
  <c r="F28" i="34"/>
  <c r="I27" i="34"/>
  <c r="H27" i="34"/>
  <c r="G27" i="34"/>
  <c r="F27" i="34"/>
  <c r="I26" i="34"/>
  <c r="H26" i="34"/>
  <c r="G26" i="34"/>
  <c r="F26" i="34"/>
  <c r="I25" i="34"/>
  <c r="H25" i="34"/>
  <c r="G25" i="34"/>
  <c r="F25" i="34"/>
  <c r="I24" i="34"/>
  <c r="H24" i="34"/>
  <c r="G24" i="34"/>
  <c r="F24" i="34"/>
  <c r="I23" i="34"/>
  <c r="E23" i="34"/>
  <c r="H23" i="34" s="1"/>
  <c r="D23" i="34"/>
  <c r="C23" i="34"/>
  <c r="C32" i="34" s="1"/>
  <c r="B23" i="34"/>
  <c r="B32" i="34" s="1"/>
  <c r="E20" i="34"/>
  <c r="C20" i="34"/>
  <c r="I19" i="34"/>
  <c r="H19" i="34"/>
  <c r="G19" i="34"/>
  <c r="F19" i="34"/>
  <c r="I18" i="34"/>
  <c r="H18" i="34"/>
  <c r="G18" i="34"/>
  <c r="F18" i="34"/>
  <c r="I17" i="34"/>
  <c r="H17" i="34"/>
  <c r="G17" i="34"/>
  <c r="F17" i="34"/>
  <c r="I13" i="34"/>
  <c r="H13" i="34"/>
  <c r="C13" i="34"/>
  <c r="B13" i="34"/>
  <c r="I12" i="34"/>
  <c r="H12" i="34"/>
  <c r="G12" i="34"/>
  <c r="F12" i="34"/>
  <c r="I11" i="34"/>
  <c r="H11" i="34"/>
  <c r="H20" i="34" s="1"/>
  <c r="E11" i="34"/>
  <c r="D11" i="34"/>
  <c r="D20" i="34" s="1"/>
  <c r="B11" i="34"/>
  <c r="F11" i="34" s="1"/>
  <c r="F20" i="34" s="1"/>
  <c r="G341" i="51"/>
  <c r="G361" i="51"/>
  <c r="G267" i="51"/>
  <c r="G304" i="51"/>
  <c r="G323" i="51"/>
  <c r="G285" i="51"/>
  <c r="I89" i="47"/>
  <c r="E89" i="47"/>
  <c r="I68" i="47"/>
  <c r="E68" i="47"/>
  <c r="I44" i="47"/>
  <c r="E44" i="47"/>
  <c r="C110" i="40"/>
  <c r="B110" i="40"/>
  <c r="C109" i="40"/>
  <c r="B109" i="40"/>
  <c r="C108" i="40"/>
  <c r="B108" i="40"/>
  <c r="C107" i="40"/>
  <c r="B107" i="40"/>
  <c r="C100" i="40"/>
  <c r="B100" i="40"/>
  <c r="C99" i="40"/>
  <c r="B99" i="40"/>
  <c r="C98" i="40"/>
  <c r="B98" i="40"/>
  <c r="C54" i="40"/>
  <c r="B54" i="40"/>
  <c r="C53" i="40"/>
  <c r="B53" i="40"/>
  <c r="C52" i="40"/>
  <c r="B52" i="40"/>
  <c r="C51" i="40"/>
  <c r="B51" i="40"/>
  <c r="C45" i="40"/>
  <c r="B45" i="40"/>
  <c r="C44" i="40"/>
  <c r="B44" i="40"/>
  <c r="C43" i="40"/>
  <c r="B43" i="40"/>
  <c r="C42" i="40"/>
  <c r="B42" i="40"/>
  <c r="I111" i="40"/>
  <c r="H111" i="40"/>
  <c r="G111" i="40"/>
  <c r="F111" i="40"/>
  <c r="I110" i="40"/>
  <c r="H110" i="40"/>
  <c r="G110" i="40"/>
  <c r="F110" i="40"/>
  <c r="I109" i="40"/>
  <c r="H109" i="40"/>
  <c r="G109" i="40"/>
  <c r="F109" i="40"/>
  <c r="I108" i="40"/>
  <c r="H108" i="40"/>
  <c r="G108" i="40"/>
  <c r="F108" i="40"/>
  <c r="I107" i="40"/>
  <c r="H107" i="40"/>
  <c r="G107" i="40"/>
  <c r="F107" i="40"/>
  <c r="E106" i="40"/>
  <c r="E115" i="40" s="1"/>
  <c r="I115" i="40" s="1"/>
  <c r="D106" i="40"/>
  <c r="D115" i="40" s="1"/>
  <c r="H115" i="40" s="1"/>
  <c r="C106" i="40"/>
  <c r="C115" i="40" s="1"/>
  <c r="B106" i="40"/>
  <c r="B115" i="40" s="1"/>
  <c r="D103" i="40"/>
  <c r="D117" i="40" s="1"/>
  <c r="I102" i="40"/>
  <c r="H102" i="40"/>
  <c r="G102" i="40"/>
  <c r="F102" i="40"/>
  <c r="I101" i="40"/>
  <c r="H101" i="40"/>
  <c r="G101" i="40"/>
  <c r="F101" i="40"/>
  <c r="I100" i="40"/>
  <c r="H100" i="40"/>
  <c r="G100" i="40"/>
  <c r="F100" i="40"/>
  <c r="I99" i="40"/>
  <c r="H99" i="40"/>
  <c r="G99" i="40"/>
  <c r="F99" i="40"/>
  <c r="I98" i="40"/>
  <c r="H98" i="40"/>
  <c r="G98" i="40"/>
  <c r="E97" i="40"/>
  <c r="E103" i="40" s="1"/>
  <c r="D97" i="40"/>
  <c r="C97" i="40"/>
  <c r="C103" i="40" s="1"/>
  <c r="D59" i="40"/>
  <c r="I55" i="40"/>
  <c r="H55" i="40"/>
  <c r="G55" i="40"/>
  <c r="F55" i="40"/>
  <c r="I54" i="40"/>
  <c r="H54" i="40"/>
  <c r="G54" i="40"/>
  <c r="F54" i="40"/>
  <c r="I53" i="40"/>
  <c r="H53" i="40"/>
  <c r="G53" i="40"/>
  <c r="F53" i="40"/>
  <c r="I52" i="40"/>
  <c r="H52" i="40"/>
  <c r="G52" i="40"/>
  <c r="F52" i="40"/>
  <c r="I51" i="40"/>
  <c r="H51" i="40"/>
  <c r="G51" i="40"/>
  <c r="F51" i="40"/>
  <c r="E50" i="40"/>
  <c r="E59" i="40" s="1"/>
  <c r="I59" i="40" s="1"/>
  <c r="D50" i="40"/>
  <c r="C50" i="40"/>
  <c r="C59" i="40" s="1"/>
  <c r="B50" i="40"/>
  <c r="B59" i="40" s="1"/>
  <c r="I47" i="40"/>
  <c r="H47" i="40"/>
  <c r="G47" i="40"/>
  <c r="F47" i="40"/>
  <c r="I46" i="40"/>
  <c r="H46" i="40"/>
  <c r="G46" i="40"/>
  <c r="F46" i="40"/>
  <c r="I45" i="40"/>
  <c r="H45" i="40"/>
  <c r="G45" i="40"/>
  <c r="F45" i="40"/>
  <c r="I44" i="40"/>
  <c r="H44" i="40"/>
  <c r="G44" i="40"/>
  <c r="F44" i="40"/>
  <c r="I43" i="40"/>
  <c r="H43" i="40"/>
  <c r="G43" i="40"/>
  <c r="F43" i="40"/>
  <c r="I42" i="40"/>
  <c r="H42" i="40"/>
  <c r="G42" i="40"/>
  <c r="F42" i="40"/>
  <c r="E41" i="40"/>
  <c r="E48" i="40" s="1"/>
  <c r="D41" i="40"/>
  <c r="D48" i="40" s="1"/>
  <c r="C41" i="40"/>
  <c r="C48" i="40" s="1"/>
  <c r="B41" i="40"/>
  <c r="B48" i="40" s="1"/>
  <c r="V99" i="47"/>
  <c r="V76" i="47"/>
  <c r="Q18" i="47"/>
  <c r="B247" i="51"/>
  <c r="G142" i="51"/>
  <c r="G114" i="51"/>
  <c r="C54" i="23"/>
  <c r="B54" i="23"/>
  <c r="C53" i="23"/>
  <c r="B53" i="23"/>
  <c r="C52" i="23"/>
  <c r="B52" i="23"/>
  <c r="C51" i="23"/>
  <c r="B51" i="23"/>
  <c r="C43" i="23"/>
  <c r="B43" i="23"/>
  <c r="C42" i="23"/>
  <c r="B42" i="23"/>
  <c r="C111" i="23"/>
  <c r="B111" i="23"/>
  <c r="C110" i="23"/>
  <c r="G110" i="23" s="1"/>
  <c r="B110" i="23"/>
  <c r="C109" i="23"/>
  <c r="B109" i="23"/>
  <c r="C108" i="23"/>
  <c r="B108" i="23"/>
  <c r="C107" i="23"/>
  <c r="F107" i="23" s="1"/>
  <c r="B107" i="23"/>
  <c r="B99" i="23"/>
  <c r="C98" i="23"/>
  <c r="B98" i="23"/>
  <c r="I111" i="23"/>
  <c r="H111" i="23"/>
  <c r="G111" i="23"/>
  <c r="F111" i="23"/>
  <c r="I110" i="23"/>
  <c r="H110" i="23"/>
  <c r="I109" i="23"/>
  <c r="H109" i="23"/>
  <c r="G109" i="23"/>
  <c r="F109" i="23"/>
  <c r="I108" i="23"/>
  <c r="H108" i="23"/>
  <c r="G108" i="23"/>
  <c r="F108" i="23"/>
  <c r="I107" i="23"/>
  <c r="H107" i="23"/>
  <c r="G107" i="23"/>
  <c r="E106" i="23"/>
  <c r="E115" i="23" s="1"/>
  <c r="D106" i="23"/>
  <c r="D115" i="23" s="1"/>
  <c r="H115" i="23" s="1"/>
  <c r="C106" i="23"/>
  <c r="C115" i="23" s="1"/>
  <c r="B106" i="23"/>
  <c r="D103" i="23"/>
  <c r="D117" i="23" s="1"/>
  <c r="I102" i="23"/>
  <c r="H102" i="23"/>
  <c r="G102" i="23"/>
  <c r="F102" i="23"/>
  <c r="I101" i="23"/>
  <c r="H101" i="23"/>
  <c r="G101" i="23"/>
  <c r="F101" i="23"/>
  <c r="I100" i="23"/>
  <c r="H100" i="23"/>
  <c r="G100" i="23"/>
  <c r="F100" i="23"/>
  <c r="I99" i="23"/>
  <c r="H99" i="23"/>
  <c r="G99" i="23"/>
  <c r="F99" i="23"/>
  <c r="I98" i="23"/>
  <c r="H98" i="23"/>
  <c r="G98" i="23"/>
  <c r="F98" i="23"/>
  <c r="H97" i="23"/>
  <c r="E97" i="23"/>
  <c r="E103" i="23" s="1"/>
  <c r="D97" i="23"/>
  <c r="C97" i="23"/>
  <c r="C103" i="23" s="1"/>
  <c r="B97" i="23"/>
  <c r="B103" i="23" s="1"/>
  <c r="I55" i="23"/>
  <c r="H55" i="23"/>
  <c r="G55" i="23"/>
  <c r="F55" i="23"/>
  <c r="I54" i="23"/>
  <c r="H54" i="23"/>
  <c r="G54" i="23"/>
  <c r="F54" i="23"/>
  <c r="I53" i="23"/>
  <c r="H53" i="23"/>
  <c r="G53" i="23"/>
  <c r="F53" i="23"/>
  <c r="I52" i="23"/>
  <c r="H52" i="23"/>
  <c r="G52" i="23"/>
  <c r="F52" i="23"/>
  <c r="I51" i="23"/>
  <c r="H51" i="23"/>
  <c r="G51" i="23"/>
  <c r="F51" i="23"/>
  <c r="E50" i="23"/>
  <c r="E59" i="23" s="1"/>
  <c r="D50" i="23"/>
  <c r="D59" i="23" s="1"/>
  <c r="H59" i="23" s="1"/>
  <c r="C50" i="23"/>
  <c r="C59" i="23" s="1"/>
  <c r="B50" i="23"/>
  <c r="I47" i="23"/>
  <c r="H47" i="23"/>
  <c r="G47" i="23"/>
  <c r="F47" i="23"/>
  <c r="I46" i="23"/>
  <c r="H46" i="23"/>
  <c r="G46" i="23"/>
  <c r="F46" i="23"/>
  <c r="I45" i="23"/>
  <c r="H45" i="23"/>
  <c r="G45" i="23"/>
  <c r="F45" i="23"/>
  <c r="I44" i="23"/>
  <c r="H44" i="23"/>
  <c r="G44" i="23"/>
  <c r="F44" i="23"/>
  <c r="I43" i="23"/>
  <c r="H43" i="23"/>
  <c r="G43" i="23"/>
  <c r="F43" i="23"/>
  <c r="I42" i="23"/>
  <c r="H42" i="23"/>
  <c r="G42" i="23"/>
  <c r="F42" i="23"/>
  <c r="E41" i="23"/>
  <c r="E48" i="23" s="1"/>
  <c r="D41" i="23"/>
  <c r="D48" i="23" s="1"/>
  <c r="C41" i="23"/>
  <c r="C48" i="23" s="1"/>
  <c r="B41" i="23"/>
  <c r="B48" i="23" s="1"/>
  <c r="C82" i="40"/>
  <c r="B82" i="40"/>
  <c r="E83" i="40"/>
  <c r="D83" i="40"/>
  <c r="C83" i="40"/>
  <c r="B83" i="40"/>
  <c r="G83" i="40" s="1"/>
  <c r="E82" i="40"/>
  <c r="D82" i="40"/>
  <c r="E81" i="40"/>
  <c r="D81" i="40"/>
  <c r="I81" i="40" s="1"/>
  <c r="C81" i="40"/>
  <c r="B81" i="40"/>
  <c r="E80" i="40"/>
  <c r="D80" i="40"/>
  <c r="H80" i="40" s="1"/>
  <c r="C80" i="40"/>
  <c r="B80" i="40"/>
  <c r="E79" i="40"/>
  <c r="D79" i="40"/>
  <c r="I79" i="40" s="1"/>
  <c r="C79" i="40"/>
  <c r="B79" i="40"/>
  <c r="E74" i="40"/>
  <c r="D74" i="40"/>
  <c r="C74" i="40"/>
  <c r="B74" i="40"/>
  <c r="E73" i="40"/>
  <c r="D73" i="40"/>
  <c r="I73" i="40" s="1"/>
  <c r="C73" i="40"/>
  <c r="B73" i="40"/>
  <c r="E72" i="40"/>
  <c r="D72" i="40"/>
  <c r="E71" i="40"/>
  <c r="D71" i="40"/>
  <c r="I71" i="40" s="1"/>
  <c r="C71" i="40"/>
  <c r="E70" i="40"/>
  <c r="E69" i="40" s="1"/>
  <c r="E75" i="40" s="1"/>
  <c r="D70" i="40"/>
  <c r="C70" i="40"/>
  <c r="D110" i="35"/>
  <c r="D109" i="35"/>
  <c r="D108" i="35"/>
  <c r="D107" i="35"/>
  <c r="D101" i="35"/>
  <c r="D99" i="35"/>
  <c r="D98" i="35"/>
  <c r="D54" i="35"/>
  <c r="D53" i="35"/>
  <c r="D52" i="35"/>
  <c r="D51" i="35"/>
  <c r="D46" i="35"/>
  <c r="D43" i="35"/>
  <c r="D42" i="35"/>
  <c r="D27" i="35"/>
  <c r="D26" i="35"/>
  <c r="D25" i="35"/>
  <c r="D24" i="35"/>
  <c r="B110" i="35"/>
  <c r="B109" i="35"/>
  <c r="B108" i="35"/>
  <c r="B107" i="35"/>
  <c r="B101" i="35"/>
  <c r="B100" i="35"/>
  <c r="B99" i="35"/>
  <c r="B98" i="35"/>
  <c r="B54" i="35"/>
  <c r="B53" i="35"/>
  <c r="B52" i="35"/>
  <c r="B51" i="35"/>
  <c r="B46" i="35"/>
  <c r="B44" i="35"/>
  <c r="B43" i="35"/>
  <c r="B42" i="35"/>
  <c r="B27" i="35"/>
  <c r="B26" i="35"/>
  <c r="B25" i="35"/>
  <c r="B24" i="35"/>
  <c r="C27" i="35"/>
  <c r="C26" i="35"/>
  <c r="C25" i="35"/>
  <c r="C24" i="35"/>
  <c r="G111" i="34" l="1"/>
  <c r="C115" i="34"/>
  <c r="F81" i="34"/>
  <c r="C80" i="34"/>
  <c r="F80" i="34" s="1"/>
  <c r="G106" i="34"/>
  <c r="C79" i="34"/>
  <c r="G79" i="34" s="1"/>
  <c r="F111" i="34"/>
  <c r="B83" i="34"/>
  <c r="B115" i="34"/>
  <c r="G115" i="34"/>
  <c r="F106" i="34"/>
  <c r="C69" i="34"/>
  <c r="F71" i="34"/>
  <c r="B70" i="34"/>
  <c r="F98" i="34"/>
  <c r="G98" i="34"/>
  <c r="C83" i="34"/>
  <c r="G83" i="34" s="1"/>
  <c r="F55" i="34"/>
  <c r="F50" i="34"/>
  <c r="F79" i="34"/>
  <c r="C78" i="34"/>
  <c r="C87" i="34" s="1"/>
  <c r="G82" i="34"/>
  <c r="B78" i="34"/>
  <c r="G80" i="34"/>
  <c r="G50" i="34"/>
  <c r="B59" i="34"/>
  <c r="F59" i="34" s="1"/>
  <c r="G59" i="34"/>
  <c r="F72" i="34"/>
  <c r="F70" i="34"/>
  <c r="G72" i="34"/>
  <c r="G71" i="34"/>
  <c r="G70" i="34"/>
  <c r="B69" i="34"/>
  <c r="G69" i="34" s="1"/>
  <c r="F41" i="34"/>
  <c r="G41" i="34"/>
  <c r="C33" i="34"/>
  <c r="F32" i="34"/>
  <c r="F13" i="34"/>
  <c r="G13" i="34"/>
  <c r="G11" i="34"/>
  <c r="B20" i="34"/>
  <c r="B33" i="34" s="1"/>
  <c r="G32" i="34"/>
  <c r="B117" i="34"/>
  <c r="F103" i="34"/>
  <c r="I20" i="34"/>
  <c r="D33" i="34"/>
  <c r="H33" i="34" s="1"/>
  <c r="B61" i="34"/>
  <c r="F48" i="34"/>
  <c r="H59" i="34"/>
  <c r="C117" i="34"/>
  <c r="G103" i="34"/>
  <c r="D117" i="34"/>
  <c r="H117" i="34" s="1"/>
  <c r="C61" i="34"/>
  <c r="G48" i="34"/>
  <c r="D61" i="34"/>
  <c r="H48" i="34"/>
  <c r="E117" i="34"/>
  <c r="I103" i="34"/>
  <c r="E61" i="34"/>
  <c r="I61" i="34" s="1"/>
  <c r="I48" i="34"/>
  <c r="H115" i="34"/>
  <c r="D89" i="34"/>
  <c r="C75" i="34"/>
  <c r="H41" i="34"/>
  <c r="H50" i="34"/>
  <c r="H103" i="34"/>
  <c r="H106" i="34"/>
  <c r="I32" i="34"/>
  <c r="I41" i="34"/>
  <c r="I50" i="34"/>
  <c r="E75" i="34"/>
  <c r="E87" i="34"/>
  <c r="I87" i="34" s="1"/>
  <c r="I106" i="34"/>
  <c r="F23" i="34"/>
  <c r="F97" i="34"/>
  <c r="G23" i="34"/>
  <c r="G97" i="34"/>
  <c r="H97" i="34"/>
  <c r="F106" i="40"/>
  <c r="F115" i="40"/>
  <c r="G115" i="40"/>
  <c r="G106" i="40"/>
  <c r="F98" i="40"/>
  <c r="B97" i="40"/>
  <c r="B103" i="40" s="1"/>
  <c r="G103" i="40" s="1"/>
  <c r="B70" i="40"/>
  <c r="F50" i="40"/>
  <c r="G59" i="40"/>
  <c r="F41" i="40"/>
  <c r="B117" i="40"/>
  <c r="F103" i="40"/>
  <c r="C117" i="40"/>
  <c r="E117" i="40"/>
  <c r="I117" i="40" s="1"/>
  <c r="I103" i="40"/>
  <c r="H103" i="40"/>
  <c r="H106" i="40"/>
  <c r="I106" i="40"/>
  <c r="F97" i="40"/>
  <c r="H97" i="40"/>
  <c r="G73" i="40"/>
  <c r="I83" i="40"/>
  <c r="I97" i="40"/>
  <c r="B61" i="40"/>
  <c r="F48" i="40"/>
  <c r="C61" i="40"/>
  <c r="G48" i="40"/>
  <c r="D61" i="40"/>
  <c r="H61" i="40" s="1"/>
  <c r="H48" i="40"/>
  <c r="E61" i="40"/>
  <c r="I48" i="40"/>
  <c r="F59" i="40"/>
  <c r="H59" i="40"/>
  <c r="I70" i="40"/>
  <c r="G41" i="40"/>
  <c r="G50" i="40"/>
  <c r="H41" i="40"/>
  <c r="H50" i="40"/>
  <c r="I41" i="40"/>
  <c r="I50" i="40"/>
  <c r="H79" i="40"/>
  <c r="H83" i="40"/>
  <c r="E78" i="40"/>
  <c r="E87" i="40" s="1"/>
  <c r="E89" i="40" s="1"/>
  <c r="I72" i="40"/>
  <c r="I74" i="40"/>
  <c r="I82" i="40"/>
  <c r="F50" i="23"/>
  <c r="B59" i="23"/>
  <c r="G59" i="23" s="1"/>
  <c r="F41" i="23"/>
  <c r="F110" i="23"/>
  <c r="G106" i="23"/>
  <c r="B115" i="23"/>
  <c r="F115" i="23" s="1"/>
  <c r="F106" i="23"/>
  <c r="B117" i="23"/>
  <c r="F103" i="23"/>
  <c r="G103" i="23"/>
  <c r="C117" i="23"/>
  <c r="E117" i="23"/>
  <c r="I117" i="23" s="1"/>
  <c r="I103" i="23"/>
  <c r="I115" i="23"/>
  <c r="H103" i="23"/>
  <c r="H106" i="23"/>
  <c r="I106" i="23"/>
  <c r="F97" i="23"/>
  <c r="G97" i="23"/>
  <c r="I97" i="23"/>
  <c r="B61" i="23"/>
  <c r="F48" i="23"/>
  <c r="I59" i="23"/>
  <c r="C61" i="23"/>
  <c r="G61" i="23" s="1"/>
  <c r="G48" i="23"/>
  <c r="D61" i="23"/>
  <c r="H48" i="23"/>
  <c r="E61" i="23"/>
  <c r="I61" i="23" s="1"/>
  <c r="I48" i="23"/>
  <c r="F59" i="23"/>
  <c r="G41" i="23"/>
  <c r="G50" i="23"/>
  <c r="H41" i="23"/>
  <c r="H50" i="23"/>
  <c r="I41" i="23"/>
  <c r="I50" i="23"/>
  <c r="B72" i="40"/>
  <c r="G81" i="40"/>
  <c r="B78" i="40"/>
  <c r="B87" i="40" s="1"/>
  <c r="C78" i="40"/>
  <c r="C87" i="40" s="1"/>
  <c r="C72" i="40"/>
  <c r="B71" i="40"/>
  <c r="G71" i="40" s="1"/>
  <c r="H82" i="40"/>
  <c r="G80" i="40"/>
  <c r="D69" i="40"/>
  <c r="I69" i="40" s="1"/>
  <c r="D78" i="40"/>
  <c r="H81" i="40"/>
  <c r="I80" i="40"/>
  <c r="G82" i="40"/>
  <c r="G70" i="40"/>
  <c r="G74" i="40"/>
  <c r="G79" i="40"/>
  <c r="D87" i="40"/>
  <c r="H87" i="40" s="1"/>
  <c r="F70" i="40"/>
  <c r="F73" i="40"/>
  <c r="F74" i="40"/>
  <c r="F79" i="40"/>
  <c r="F80" i="40"/>
  <c r="F81" i="40"/>
  <c r="F82" i="40"/>
  <c r="F83" i="40"/>
  <c r="H70" i="40"/>
  <c r="H71" i="40"/>
  <c r="H72" i="40"/>
  <c r="H73" i="40"/>
  <c r="H74" i="40"/>
  <c r="H78" i="40"/>
  <c r="E111" i="35"/>
  <c r="C111" i="35"/>
  <c r="E110" i="35"/>
  <c r="C110" i="35"/>
  <c r="E109" i="35"/>
  <c r="C109" i="35"/>
  <c r="E108" i="35"/>
  <c r="C108" i="35"/>
  <c r="E107" i="35"/>
  <c r="C107" i="35"/>
  <c r="E102" i="35"/>
  <c r="C102" i="35"/>
  <c r="E101" i="35"/>
  <c r="C101" i="35"/>
  <c r="E100" i="35"/>
  <c r="C100" i="35"/>
  <c r="E99" i="35"/>
  <c r="C99" i="35"/>
  <c r="E98" i="35"/>
  <c r="C98" i="35"/>
  <c r="E55" i="35"/>
  <c r="C55" i="35"/>
  <c r="E54" i="35"/>
  <c r="C54" i="35"/>
  <c r="E53" i="35"/>
  <c r="C53" i="35"/>
  <c r="E52" i="35"/>
  <c r="C52" i="35"/>
  <c r="E51" i="35"/>
  <c r="C51" i="35"/>
  <c r="E47" i="35"/>
  <c r="C47" i="35"/>
  <c r="E46" i="35"/>
  <c r="C46" i="35"/>
  <c r="E45" i="35"/>
  <c r="C45" i="35"/>
  <c r="C44" i="35"/>
  <c r="E43" i="35"/>
  <c r="C43" i="35"/>
  <c r="E42" i="35"/>
  <c r="C42" i="35"/>
  <c r="E28" i="35"/>
  <c r="C28" i="35"/>
  <c r="E27" i="35"/>
  <c r="E26" i="35"/>
  <c r="E25" i="35"/>
  <c r="E24" i="35"/>
  <c r="C19" i="35"/>
  <c r="E18" i="35"/>
  <c r="C18" i="35"/>
  <c r="C17" i="35"/>
  <c r="C16" i="35"/>
  <c r="C15" i="35"/>
  <c r="C14" i="35"/>
  <c r="E13" i="35"/>
  <c r="E12" i="35"/>
  <c r="C12" i="35"/>
  <c r="F115" i="34" l="1"/>
  <c r="B87" i="34"/>
  <c r="G117" i="34"/>
  <c r="F83" i="34"/>
  <c r="G78" i="34"/>
  <c r="F78" i="34"/>
  <c r="G87" i="34"/>
  <c r="G61" i="34"/>
  <c r="F69" i="34"/>
  <c r="B75" i="34"/>
  <c r="B89" i="34" s="1"/>
  <c r="F33" i="34"/>
  <c r="G20" i="34"/>
  <c r="H87" i="34"/>
  <c r="I75" i="34"/>
  <c r="E89" i="34"/>
  <c r="I89" i="34" s="1"/>
  <c r="B61" i="50"/>
  <c r="F61" i="34"/>
  <c r="G33" i="34"/>
  <c r="F87" i="34"/>
  <c r="I117" i="34"/>
  <c r="F117" i="34"/>
  <c r="H75" i="34"/>
  <c r="I33" i="34"/>
  <c r="C89" i="34"/>
  <c r="H61" i="34"/>
  <c r="G72" i="40"/>
  <c r="B69" i="40"/>
  <c r="G97" i="40"/>
  <c r="G117" i="40"/>
  <c r="G61" i="40"/>
  <c r="F72" i="40"/>
  <c r="F61" i="40"/>
  <c r="F117" i="40"/>
  <c r="C69" i="40"/>
  <c r="C75" i="40" s="1"/>
  <c r="C89" i="40" s="1"/>
  <c r="H117" i="40"/>
  <c r="I61" i="40"/>
  <c r="I78" i="40"/>
  <c r="G115" i="23"/>
  <c r="G117" i="23"/>
  <c r="H117" i="23"/>
  <c r="F117" i="23"/>
  <c r="H61" i="23"/>
  <c r="F61" i="23"/>
  <c r="F71" i="40"/>
  <c r="F78" i="40"/>
  <c r="F87" i="40"/>
  <c r="G78" i="40"/>
  <c r="D75" i="40"/>
  <c r="I75" i="40" s="1"/>
  <c r="H69" i="40"/>
  <c r="I87" i="40"/>
  <c r="G87" i="40"/>
  <c r="B75" i="40"/>
  <c r="C111" i="41"/>
  <c r="B111" i="41"/>
  <c r="C110" i="41"/>
  <c r="B110" i="41"/>
  <c r="C109" i="41"/>
  <c r="B109" i="41"/>
  <c r="C108" i="41"/>
  <c r="B108" i="41"/>
  <c r="C107" i="41"/>
  <c r="B107" i="41"/>
  <c r="C101" i="41"/>
  <c r="B101" i="41"/>
  <c r="C100" i="41"/>
  <c r="B100" i="41"/>
  <c r="C99" i="41"/>
  <c r="B99" i="41"/>
  <c r="C98" i="41"/>
  <c r="B98" i="41"/>
  <c r="C55" i="41"/>
  <c r="B55" i="41"/>
  <c r="C54" i="41"/>
  <c r="B54" i="41"/>
  <c r="C53" i="41"/>
  <c r="B53" i="41"/>
  <c r="C52" i="41"/>
  <c r="B52" i="41"/>
  <c r="C51" i="41"/>
  <c r="B51" i="41"/>
  <c r="C46" i="41"/>
  <c r="B46" i="41"/>
  <c r="C44" i="41"/>
  <c r="B44" i="41"/>
  <c r="C43" i="41"/>
  <c r="B43" i="41"/>
  <c r="C42" i="41"/>
  <c r="B42" i="41"/>
  <c r="C28" i="41"/>
  <c r="B28" i="41"/>
  <c r="C27" i="41"/>
  <c r="B27" i="41"/>
  <c r="C26" i="41"/>
  <c r="B26" i="41"/>
  <c r="C25" i="41"/>
  <c r="B25" i="41"/>
  <c r="C24" i="41"/>
  <c r="B24" i="41"/>
  <c r="C18" i="41"/>
  <c r="B18" i="41"/>
  <c r="C16" i="41"/>
  <c r="B16" i="41"/>
  <c r="C15" i="41"/>
  <c r="B15" i="41"/>
  <c r="C14" i="41"/>
  <c r="B14" i="41"/>
  <c r="C11" i="41"/>
  <c r="C12" i="41"/>
  <c r="B12" i="41"/>
  <c r="C27" i="40"/>
  <c r="B27" i="40"/>
  <c r="C26" i="40"/>
  <c r="B26" i="40"/>
  <c r="C25" i="40"/>
  <c r="B25" i="40"/>
  <c r="C24" i="40"/>
  <c r="B24" i="40"/>
  <c r="C16" i="40"/>
  <c r="B16" i="40"/>
  <c r="C15" i="40"/>
  <c r="B15" i="40"/>
  <c r="C14" i="40"/>
  <c r="B14" i="40"/>
  <c r="C11" i="40"/>
  <c r="C12" i="40"/>
  <c r="F12" i="40" s="1"/>
  <c r="B12" i="40"/>
  <c r="C110" i="37"/>
  <c r="B110" i="37"/>
  <c r="C98" i="37"/>
  <c r="B98" i="37"/>
  <c r="C54" i="37"/>
  <c r="B54" i="37"/>
  <c r="C42" i="37"/>
  <c r="B42" i="37"/>
  <c r="B27" i="37"/>
  <c r="C11" i="37"/>
  <c r="C12" i="37"/>
  <c r="B12" i="37"/>
  <c r="C99" i="32"/>
  <c r="B99" i="32"/>
  <c r="C98" i="32"/>
  <c r="B98" i="32"/>
  <c r="C43" i="32"/>
  <c r="B43" i="32"/>
  <c r="C42" i="32"/>
  <c r="B42" i="32"/>
  <c r="C11" i="32"/>
  <c r="C15" i="32"/>
  <c r="B15" i="32"/>
  <c r="C14" i="32"/>
  <c r="B14" i="32"/>
  <c r="C12" i="32"/>
  <c r="B12" i="32"/>
  <c r="C110" i="29"/>
  <c r="B110" i="29"/>
  <c r="C109" i="29"/>
  <c r="B109" i="29"/>
  <c r="G109" i="29" s="1"/>
  <c r="C108" i="29"/>
  <c r="C80" i="29" s="1"/>
  <c r="B108" i="29"/>
  <c r="C107" i="29"/>
  <c r="B107" i="29"/>
  <c r="C101" i="29"/>
  <c r="B101" i="29"/>
  <c r="C99" i="29"/>
  <c r="B99" i="29"/>
  <c r="C98" i="29"/>
  <c r="B98" i="29"/>
  <c r="C54" i="29"/>
  <c r="B54" i="29"/>
  <c r="C53" i="29"/>
  <c r="B53" i="29"/>
  <c r="C52" i="29"/>
  <c r="B52" i="29"/>
  <c r="C51" i="29"/>
  <c r="B51" i="29"/>
  <c r="C46" i="29"/>
  <c r="B46" i="29"/>
  <c r="C44" i="29"/>
  <c r="B44" i="29"/>
  <c r="C43" i="29"/>
  <c r="B43" i="29"/>
  <c r="C42" i="29"/>
  <c r="B42" i="29"/>
  <c r="C27" i="29"/>
  <c r="C26" i="29"/>
  <c r="C25" i="29"/>
  <c r="C24" i="29"/>
  <c r="B27" i="29"/>
  <c r="B26" i="29"/>
  <c r="B25" i="29"/>
  <c r="B24" i="29"/>
  <c r="C18" i="29"/>
  <c r="C16" i="29"/>
  <c r="C15" i="29"/>
  <c r="C14" i="29"/>
  <c r="C12" i="29"/>
  <c r="F12" i="29" s="1"/>
  <c r="B18" i="29"/>
  <c r="B16" i="29"/>
  <c r="B15" i="29"/>
  <c r="B14" i="29"/>
  <c r="C11" i="29"/>
  <c r="B12" i="29"/>
  <c r="C110" i="27"/>
  <c r="B110" i="27"/>
  <c r="C98" i="27"/>
  <c r="B98" i="27"/>
  <c r="C54" i="27"/>
  <c r="B54" i="27"/>
  <c r="C42" i="27"/>
  <c r="B42" i="27"/>
  <c r="C27" i="27"/>
  <c r="B27" i="27"/>
  <c r="C12" i="27"/>
  <c r="C11" i="27"/>
  <c r="B12" i="27"/>
  <c r="C27" i="23"/>
  <c r="B27" i="23"/>
  <c r="C26" i="23"/>
  <c r="B26" i="23"/>
  <c r="C25" i="23"/>
  <c r="B25" i="23"/>
  <c r="C24" i="23"/>
  <c r="B24" i="23"/>
  <c r="C16" i="23"/>
  <c r="B16" i="23"/>
  <c r="C15" i="23"/>
  <c r="B15" i="23"/>
  <c r="C14" i="23"/>
  <c r="B14" i="23"/>
  <c r="C11" i="23"/>
  <c r="C12" i="23"/>
  <c r="B12" i="23"/>
  <c r="L99" i="46"/>
  <c r="L97" i="46"/>
  <c r="L95" i="46"/>
  <c r="L93" i="46"/>
  <c r="L91" i="46"/>
  <c r="L89" i="46"/>
  <c r="X99" i="46"/>
  <c r="X97" i="46"/>
  <c r="X95" i="46"/>
  <c r="X93" i="46"/>
  <c r="X91" i="46"/>
  <c r="X89" i="46"/>
  <c r="X87" i="46"/>
  <c r="X85" i="46"/>
  <c r="T99" i="46"/>
  <c r="T97" i="46"/>
  <c r="T95" i="46"/>
  <c r="T93" i="46"/>
  <c r="T91" i="46"/>
  <c r="T89" i="46"/>
  <c r="T87" i="46"/>
  <c r="T85" i="46"/>
  <c r="P99" i="46"/>
  <c r="P97" i="46"/>
  <c r="P95" i="46"/>
  <c r="P93" i="46"/>
  <c r="P91" i="46"/>
  <c r="P89" i="46"/>
  <c r="P87" i="46"/>
  <c r="P85" i="46"/>
  <c r="L85" i="46"/>
  <c r="H99" i="46"/>
  <c r="H97" i="46"/>
  <c r="H95" i="46"/>
  <c r="H93" i="46"/>
  <c r="H91" i="46"/>
  <c r="H89" i="46"/>
  <c r="H87" i="46"/>
  <c r="H85" i="46"/>
  <c r="D99" i="46"/>
  <c r="D97" i="46"/>
  <c r="D95" i="46"/>
  <c r="D93" i="46"/>
  <c r="D91" i="46"/>
  <c r="D89" i="46"/>
  <c r="D87" i="46"/>
  <c r="D85" i="46"/>
  <c r="X76" i="46"/>
  <c r="X74" i="46"/>
  <c r="X72" i="46"/>
  <c r="X70" i="46"/>
  <c r="X68" i="46"/>
  <c r="X66" i="46"/>
  <c r="X64" i="46"/>
  <c r="X62" i="46"/>
  <c r="T76" i="46"/>
  <c r="T74" i="46"/>
  <c r="T72" i="46"/>
  <c r="T70" i="46"/>
  <c r="T68" i="46"/>
  <c r="T66" i="46"/>
  <c r="T64" i="46"/>
  <c r="T62" i="46"/>
  <c r="P76" i="46"/>
  <c r="P74" i="46"/>
  <c r="P72" i="46"/>
  <c r="P70" i="46"/>
  <c r="P68" i="46"/>
  <c r="P66" i="46"/>
  <c r="P64" i="46"/>
  <c r="P62" i="46"/>
  <c r="L76" i="46"/>
  <c r="L74" i="46"/>
  <c r="L72" i="46"/>
  <c r="L70" i="46"/>
  <c r="L68" i="46"/>
  <c r="L66" i="46"/>
  <c r="L64" i="46"/>
  <c r="L62" i="46"/>
  <c r="H76" i="46"/>
  <c r="H74" i="46"/>
  <c r="H72" i="46"/>
  <c r="H70" i="46"/>
  <c r="H68" i="46"/>
  <c r="H66" i="46"/>
  <c r="H64" i="46"/>
  <c r="H62" i="46"/>
  <c r="D76" i="46"/>
  <c r="D74" i="46"/>
  <c r="D72" i="46"/>
  <c r="D70" i="46"/>
  <c r="D68" i="46"/>
  <c r="D66" i="46"/>
  <c r="D64" i="46"/>
  <c r="D62" i="46"/>
  <c r="L53" i="46"/>
  <c r="L51" i="46"/>
  <c r="L49" i="46"/>
  <c r="L47" i="46"/>
  <c r="L45" i="46"/>
  <c r="L43" i="46"/>
  <c r="X53" i="46"/>
  <c r="X51" i="46"/>
  <c r="X49" i="46"/>
  <c r="X47" i="46"/>
  <c r="X45" i="46"/>
  <c r="X43" i="46"/>
  <c r="X41" i="46"/>
  <c r="X39" i="46"/>
  <c r="T53" i="46"/>
  <c r="T51" i="46"/>
  <c r="T49" i="46"/>
  <c r="T47" i="46"/>
  <c r="T45" i="46"/>
  <c r="T43" i="46"/>
  <c r="T41" i="46"/>
  <c r="T39" i="46"/>
  <c r="P53" i="46"/>
  <c r="P51" i="46"/>
  <c r="P49" i="46"/>
  <c r="P47" i="46"/>
  <c r="P45" i="46"/>
  <c r="P43" i="46"/>
  <c r="P41" i="46"/>
  <c r="P39" i="46"/>
  <c r="L39" i="46"/>
  <c r="H51" i="46"/>
  <c r="H49" i="46"/>
  <c r="H47" i="46"/>
  <c r="H45" i="46"/>
  <c r="H43" i="46"/>
  <c r="H41" i="46"/>
  <c r="H39" i="46"/>
  <c r="D51" i="46"/>
  <c r="D49" i="46"/>
  <c r="D47" i="46"/>
  <c r="D45" i="46"/>
  <c r="D43" i="46"/>
  <c r="D41" i="46"/>
  <c r="D39" i="46"/>
  <c r="F42" i="47"/>
  <c r="N101" i="47"/>
  <c r="R101" i="47"/>
  <c r="R99" i="47"/>
  <c r="R97" i="47"/>
  <c r="R95" i="47"/>
  <c r="R93" i="47"/>
  <c r="R91" i="47"/>
  <c r="R89" i="47"/>
  <c r="R87" i="47"/>
  <c r="N97" i="47"/>
  <c r="N95" i="47"/>
  <c r="N93" i="47"/>
  <c r="N91" i="47"/>
  <c r="N89" i="47"/>
  <c r="N87" i="47"/>
  <c r="J101" i="47"/>
  <c r="J99" i="47"/>
  <c r="J97" i="47"/>
  <c r="J95" i="47"/>
  <c r="J93" i="47"/>
  <c r="J91" i="47"/>
  <c r="J89" i="47"/>
  <c r="J87" i="47"/>
  <c r="F101" i="47"/>
  <c r="F99" i="47"/>
  <c r="F97" i="47"/>
  <c r="F95" i="47"/>
  <c r="F93" i="47"/>
  <c r="F91" i="47"/>
  <c r="F89" i="47"/>
  <c r="F87" i="47"/>
  <c r="N78" i="47"/>
  <c r="R78" i="47"/>
  <c r="R76" i="47"/>
  <c r="R74" i="47"/>
  <c r="R72" i="47"/>
  <c r="R70" i="47"/>
  <c r="R68" i="47"/>
  <c r="R66" i="47"/>
  <c r="R64" i="47"/>
  <c r="N74" i="47"/>
  <c r="N72" i="47"/>
  <c r="N70" i="47"/>
  <c r="N68" i="47"/>
  <c r="N66" i="47"/>
  <c r="N64" i="47"/>
  <c r="J78" i="47"/>
  <c r="J76" i="47"/>
  <c r="J74" i="47"/>
  <c r="J72" i="47"/>
  <c r="J70" i="47"/>
  <c r="J68" i="47"/>
  <c r="J66" i="47"/>
  <c r="J64" i="47"/>
  <c r="F78" i="47"/>
  <c r="F76" i="47"/>
  <c r="F74" i="47"/>
  <c r="F72" i="47"/>
  <c r="F70" i="47"/>
  <c r="F68" i="47"/>
  <c r="F66" i="47"/>
  <c r="F64" i="47"/>
  <c r="N54" i="47"/>
  <c r="F54" i="47"/>
  <c r="F52" i="47"/>
  <c r="F50" i="47"/>
  <c r="F48" i="47"/>
  <c r="F46" i="47"/>
  <c r="F44" i="47"/>
  <c r="R54" i="47"/>
  <c r="R52" i="47"/>
  <c r="R50" i="47"/>
  <c r="R48" i="47"/>
  <c r="R46" i="47"/>
  <c r="R44" i="47"/>
  <c r="R42" i="47"/>
  <c r="R40" i="47"/>
  <c r="N50" i="47"/>
  <c r="N48" i="47"/>
  <c r="N46" i="47"/>
  <c r="N44" i="47"/>
  <c r="N42" i="47"/>
  <c r="N40" i="47"/>
  <c r="J54" i="47"/>
  <c r="J52" i="47"/>
  <c r="J50" i="47"/>
  <c r="J48" i="47"/>
  <c r="J46" i="47"/>
  <c r="J44" i="47"/>
  <c r="J42" i="47"/>
  <c r="J40" i="47"/>
  <c r="F40" i="47"/>
  <c r="I111" i="41"/>
  <c r="H111" i="41"/>
  <c r="G111" i="41"/>
  <c r="F111" i="41"/>
  <c r="I110" i="41"/>
  <c r="H110" i="41"/>
  <c r="G110" i="41"/>
  <c r="F110" i="41"/>
  <c r="I109" i="41"/>
  <c r="H109" i="41"/>
  <c r="G109" i="41"/>
  <c r="F109" i="41"/>
  <c r="I108" i="41"/>
  <c r="H108" i="41"/>
  <c r="G108" i="41"/>
  <c r="F108" i="41"/>
  <c r="I107" i="41"/>
  <c r="H107" i="41"/>
  <c r="G107" i="41"/>
  <c r="F107" i="41"/>
  <c r="E106" i="41"/>
  <c r="E115" i="41" s="1"/>
  <c r="I115" i="41" s="1"/>
  <c r="D106" i="41"/>
  <c r="D115" i="41" s="1"/>
  <c r="C106" i="41"/>
  <c r="C115" i="41" s="1"/>
  <c r="B106" i="41"/>
  <c r="I102" i="41"/>
  <c r="H102" i="41"/>
  <c r="G102" i="41"/>
  <c r="F102" i="41"/>
  <c r="I101" i="41"/>
  <c r="H101" i="41"/>
  <c r="G101" i="41"/>
  <c r="F101" i="41"/>
  <c r="I100" i="41"/>
  <c r="H100" i="41"/>
  <c r="G100" i="41"/>
  <c r="F100" i="41"/>
  <c r="I99" i="41"/>
  <c r="H99" i="41"/>
  <c r="G99" i="41"/>
  <c r="F99" i="41"/>
  <c r="I98" i="41"/>
  <c r="H98" i="41"/>
  <c r="G98" i="41"/>
  <c r="F98" i="41"/>
  <c r="E97" i="41"/>
  <c r="E103" i="41" s="1"/>
  <c r="D97" i="41"/>
  <c r="D103" i="41" s="1"/>
  <c r="C97" i="41"/>
  <c r="C103" i="41" s="1"/>
  <c r="B97" i="41"/>
  <c r="B103" i="41" s="1"/>
  <c r="E83" i="41"/>
  <c r="I83" i="41" s="1"/>
  <c r="D83" i="41"/>
  <c r="H83" i="41" s="1"/>
  <c r="C83" i="41"/>
  <c r="B83" i="41"/>
  <c r="E82" i="41"/>
  <c r="I82" i="41" s="1"/>
  <c r="D82" i="41"/>
  <c r="H82" i="41" s="1"/>
  <c r="C82" i="41"/>
  <c r="B82" i="41"/>
  <c r="E81" i="41"/>
  <c r="I81" i="41" s="1"/>
  <c r="D81" i="41"/>
  <c r="H81" i="41" s="1"/>
  <c r="C81" i="41"/>
  <c r="B81" i="41"/>
  <c r="E80" i="41"/>
  <c r="I80" i="41" s="1"/>
  <c r="D80" i="41"/>
  <c r="H80" i="41" s="1"/>
  <c r="C80" i="41"/>
  <c r="G80" i="41" s="1"/>
  <c r="B80" i="41"/>
  <c r="E79" i="41"/>
  <c r="I79" i="41" s="1"/>
  <c r="D79" i="41"/>
  <c r="H79" i="41" s="1"/>
  <c r="C79" i="41"/>
  <c r="B79" i="41"/>
  <c r="F79" i="41" s="1"/>
  <c r="E78" i="41"/>
  <c r="I78" i="41" s="1"/>
  <c r="D78" i="41"/>
  <c r="H78" i="41" s="1"/>
  <c r="E74" i="41"/>
  <c r="I74" i="41" s="1"/>
  <c r="D74" i="41"/>
  <c r="H74" i="41" s="1"/>
  <c r="C74" i="41"/>
  <c r="G74" i="41" s="1"/>
  <c r="B74" i="41"/>
  <c r="F74" i="41" s="1"/>
  <c r="E73" i="41"/>
  <c r="I73" i="41" s="1"/>
  <c r="D73" i="41"/>
  <c r="H73" i="41" s="1"/>
  <c r="C73" i="41"/>
  <c r="G73" i="41" s="1"/>
  <c r="B73" i="41"/>
  <c r="E72" i="41"/>
  <c r="I72" i="41" s="1"/>
  <c r="D72" i="41"/>
  <c r="H72" i="41" s="1"/>
  <c r="C72" i="41"/>
  <c r="C69" i="41" s="1"/>
  <c r="B72" i="41"/>
  <c r="F72" i="41" s="1"/>
  <c r="E71" i="41"/>
  <c r="I71" i="41" s="1"/>
  <c r="D71" i="41"/>
  <c r="H71" i="41" s="1"/>
  <c r="C71" i="41"/>
  <c r="G71" i="41" s="1"/>
  <c r="B71" i="41"/>
  <c r="E70" i="41"/>
  <c r="I70" i="41" s="1"/>
  <c r="D70" i="41"/>
  <c r="H70" i="41" s="1"/>
  <c r="C70" i="41"/>
  <c r="B70" i="41"/>
  <c r="F70" i="41" s="1"/>
  <c r="E69" i="41"/>
  <c r="I69" i="41" s="1"/>
  <c r="D69" i="41"/>
  <c r="H69" i="41" s="1"/>
  <c r="D59" i="41"/>
  <c r="I55" i="41"/>
  <c r="H55" i="41"/>
  <c r="G55" i="41"/>
  <c r="F55" i="41"/>
  <c r="I54" i="41"/>
  <c r="H54" i="41"/>
  <c r="G54" i="41"/>
  <c r="F54" i="41"/>
  <c r="I53" i="41"/>
  <c r="H53" i="41"/>
  <c r="G53" i="41"/>
  <c r="F53" i="41"/>
  <c r="I52" i="41"/>
  <c r="H52" i="41"/>
  <c r="G52" i="41"/>
  <c r="F52" i="41"/>
  <c r="I51" i="41"/>
  <c r="H51" i="41"/>
  <c r="G51" i="41"/>
  <c r="F51" i="41"/>
  <c r="I50" i="41"/>
  <c r="E50" i="41"/>
  <c r="E59" i="41" s="1"/>
  <c r="I59" i="41" s="1"/>
  <c r="D50" i="41"/>
  <c r="C50" i="41"/>
  <c r="C59" i="41" s="1"/>
  <c r="B50" i="41"/>
  <c r="I47" i="41"/>
  <c r="H47" i="41"/>
  <c r="G47" i="41"/>
  <c r="F47" i="41"/>
  <c r="I46" i="41"/>
  <c r="H46" i="41"/>
  <c r="G46" i="41"/>
  <c r="F46" i="41"/>
  <c r="I45" i="41"/>
  <c r="H45" i="41"/>
  <c r="G45" i="41"/>
  <c r="F45" i="41"/>
  <c r="I44" i="41"/>
  <c r="H44" i="41"/>
  <c r="G44" i="41"/>
  <c r="F44" i="41"/>
  <c r="I43" i="41"/>
  <c r="H43" i="41"/>
  <c r="G43" i="41"/>
  <c r="F43" i="41"/>
  <c r="I42" i="41"/>
  <c r="H42" i="41"/>
  <c r="G42" i="41"/>
  <c r="F42" i="41"/>
  <c r="I41" i="41"/>
  <c r="F41" i="41"/>
  <c r="E41" i="41"/>
  <c r="E48" i="41" s="1"/>
  <c r="D41" i="41"/>
  <c r="D48" i="41" s="1"/>
  <c r="C41" i="41"/>
  <c r="C48" i="41" s="1"/>
  <c r="B41" i="41"/>
  <c r="B48" i="41" s="1"/>
  <c r="I28" i="41"/>
  <c r="H28" i="41"/>
  <c r="G28" i="41"/>
  <c r="F28" i="41"/>
  <c r="I27" i="41"/>
  <c r="H27" i="41"/>
  <c r="G27" i="41"/>
  <c r="F27" i="41"/>
  <c r="I26" i="41"/>
  <c r="H26" i="41"/>
  <c r="G26" i="41"/>
  <c r="F26" i="41"/>
  <c r="I25" i="41"/>
  <c r="H25" i="41"/>
  <c r="G25" i="41"/>
  <c r="F25" i="41"/>
  <c r="I24" i="41"/>
  <c r="H24" i="41"/>
  <c r="G24" i="41"/>
  <c r="F24" i="41"/>
  <c r="E23" i="41"/>
  <c r="E32" i="41" s="1"/>
  <c r="D23" i="41"/>
  <c r="D32" i="41" s="1"/>
  <c r="H32" i="41" s="1"/>
  <c r="C23" i="41"/>
  <c r="C32" i="41" s="1"/>
  <c r="B23" i="41"/>
  <c r="B32" i="41" s="1"/>
  <c r="E20" i="41"/>
  <c r="C20" i="41"/>
  <c r="I19" i="41"/>
  <c r="H19" i="41"/>
  <c r="G19" i="41"/>
  <c r="F19" i="41"/>
  <c r="I18" i="41"/>
  <c r="H18" i="41"/>
  <c r="G18" i="41"/>
  <c r="F18" i="41"/>
  <c r="I17" i="41"/>
  <c r="H17" i="41"/>
  <c r="G17" i="41"/>
  <c r="F17" i="41"/>
  <c r="I13" i="41"/>
  <c r="H13" i="41"/>
  <c r="C13" i="41"/>
  <c r="B13" i="41"/>
  <c r="I12" i="41"/>
  <c r="H12" i="41"/>
  <c r="G12" i="41"/>
  <c r="F12" i="41"/>
  <c r="I11" i="41"/>
  <c r="H11" i="41"/>
  <c r="H20" i="41" s="1"/>
  <c r="E11" i="41"/>
  <c r="D11" i="41"/>
  <c r="D20" i="41" s="1"/>
  <c r="B11" i="41"/>
  <c r="G11" i="41" s="1"/>
  <c r="E32" i="40"/>
  <c r="I28" i="40"/>
  <c r="H28" i="40"/>
  <c r="G28" i="40"/>
  <c r="F28" i="40"/>
  <c r="I27" i="40"/>
  <c r="H27" i="40"/>
  <c r="G27" i="40"/>
  <c r="F27" i="40"/>
  <c r="I26" i="40"/>
  <c r="H26" i="40"/>
  <c r="G26" i="40"/>
  <c r="F26" i="40"/>
  <c r="I25" i="40"/>
  <c r="H25" i="40"/>
  <c r="G25" i="40"/>
  <c r="F25" i="40"/>
  <c r="I24" i="40"/>
  <c r="H24" i="40"/>
  <c r="G24" i="40"/>
  <c r="F24" i="40"/>
  <c r="E23" i="40"/>
  <c r="D23" i="40"/>
  <c r="I23" i="40" s="1"/>
  <c r="C23" i="40"/>
  <c r="B23" i="40"/>
  <c r="B32" i="40" s="1"/>
  <c r="D20" i="40"/>
  <c r="C20" i="40"/>
  <c r="I19" i="40"/>
  <c r="H19" i="40"/>
  <c r="G19" i="40"/>
  <c r="F19" i="40"/>
  <c r="I18" i="40"/>
  <c r="H18" i="40"/>
  <c r="G18" i="40"/>
  <c r="F18" i="40"/>
  <c r="I17" i="40"/>
  <c r="H17" i="40"/>
  <c r="G17" i="40"/>
  <c r="F17" i="40"/>
  <c r="I13" i="40"/>
  <c r="H13" i="40"/>
  <c r="C13" i="40"/>
  <c r="B13" i="40"/>
  <c r="B11" i="40" s="1"/>
  <c r="F11" i="40" s="1"/>
  <c r="F20" i="40" s="1"/>
  <c r="I12" i="40"/>
  <c r="H12" i="40"/>
  <c r="I11" i="40"/>
  <c r="H11" i="40"/>
  <c r="H20" i="40" s="1"/>
  <c r="E11" i="40"/>
  <c r="E20" i="40" s="1"/>
  <c r="D11" i="40"/>
  <c r="D115" i="37"/>
  <c r="I111" i="37"/>
  <c r="H111" i="37"/>
  <c r="G111" i="37"/>
  <c r="F111" i="37"/>
  <c r="I110" i="37"/>
  <c r="H110" i="37"/>
  <c r="G110" i="37"/>
  <c r="F110" i="37"/>
  <c r="I109" i="37"/>
  <c r="H109" i="37"/>
  <c r="G109" i="37"/>
  <c r="F109" i="37"/>
  <c r="I108" i="37"/>
  <c r="H108" i="37"/>
  <c r="G108" i="37"/>
  <c r="F108" i="37"/>
  <c r="I107" i="37"/>
  <c r="H107" i="37"/>
  <c r="G107" i="37"/>
  <c r="F107" i="37"/>
  <c r="H106" i="37"/>
  <c r="E106" i="37"/>
  <c r="E115" i="37" s="1"/>
  <c r="I115" i="37" s="1"/>
  <c r="D106" i="37"/>
  <c r="C106" i="37"/>
  <c r="C115" i="37" s="1"/>
  <c r="B106" i="37"/>
  <c r="I102" i="37"/>
  <c r="H102" i="37"/>
  <c r="G102" i="37"/>
  <c r="F102" i="37"/>
  <c r="I101" i="37"/>
  <c r="H101" i="37"/>
  <c r="G101" i="37"/>
  <c r="F101" i="37"/>
  <c r="I100" i="37"/>
  <c r="H100" i="37"/>
  <c r="G100" i="37"/>
  <c r="F100" i="37"/>
  <c r="I99" i="37"/>
  <c r="H99" i="37"/>
  <c r="G99" i="37"/>
  <c r="F99" i="37"/>
  <c r="I98" i="37"/>
  <c r="H98" i="37"/>
  <c r="G98" i="37"/>
  <c r="F98" i="37"/>
  <c r="E97" i="37"/>
  <c r="E103" i="37" s="1"/>
  <c r="D97" i="37"/>
  <c r="I97" i="37" s="1"/>
  <c r="C97" i="37"/>
  <c r="C103" i="37" s="1"/>
  <c r="C117" i="37" s="1"/>
  <c r="B97" i="37"/>
  <c r="E83" i="37"/>
  <c r="I83" i="37" s="1"/>
  <c r="D83" i="37"/>
  <c r="H83" i="37" s="1"/>
  <c r="C83" i="37"/>
  <c r="B83" i="37"/>
  <c r="G83" i="37" s="1"/>
  <c r="E82" i="37"/>
  <c r="I82" i="37" s="1"/>
  <c r="D82" i="37"/>
  <c r="H82" i="37" s="1"/>
  <c r="C82" i="37"/>
  <c r="C78" i="37" s="1"/>
  <c r="B82" i="37"/>
  <c r="E81" i="37"/>
  <c r="I81" i="37" s="1"/>
  <c r="D81" i="37"/>
  <c r="H81" i="37" s="1"/>
  <c r="C81" i="37"/>
  <c r="B81" i="37"/>
  <c r="G81" i="37" s="1"/>
  <c r="E80" i="37"/>
  <c r="I80" i="37" s="1"/>
  <c r="D80" i="37"/>
  <c r="H80" i="37" s="1"/>
  <c r="C80" i="37"/>
  <c r="G80" i="37" s="1"/>
  <c r="B80" i="37"/>
  <c r="F80" i="37" s="1"/>
  <c r="E79" i="37"/>
  <c r="I79" i="37" s="1"/>
  <c r="D79" i="37"/>
  <c r="H79" i="37" s="1"/>
  <c r="C79" i="37"/>
  <c r="G79" i="37" s="1"/>
  <c r="B79" i="37"/>
  <c r="F79" i="37" s="1"/>
  <c r="E78" i="37"/>
  <c r="B78" i="37"/>
  <c r="E74" i="37"/>
  <c r="I74" i="37" s="1"/>
  <c r="D74" i="37"/>
  <c r="H74" i="37" s="1"/>
  <c r="C74" i="37"/>
  <c r="G74" i="37" s="1"/>
  <c r="B74" i="37"/>
  <c r="F74" i="37" s="1"/>
  <c r="E73" i="37"/>
  <c r="I73" i="37" s="1"/>
  <c r="D73" i="37"/>
  <c r="H73" i="37" s="1"/>
  <c r="C73" i="37"/>
  <c r="G73" i="37" s="1"/>
  <c r="B73" i="37"/>
  <c r="F73" i="37" s="1"/>
  <c r="E72" i="37"/>
  <c r="I72" i="37" s="1"/>
  <c r="D72" i="37"/>
  <c r="H72" i="37" s="1"/>
  <c r="C72" i="37"/>
  <c r="G72" i="37" s="1"/>
  <c r="B72" i="37"/>
  <c r="F72" i="37" s="1"/>
  <c r="E71" i="37"/>
  <c r="I71" i="37" s="1"/>
  <c r="D71" i="37"/>
  <c r="H71" i="37" s="1"/>
  <c r="C71" i="37"/>
  <c r="G71" i="37" s="1"/>
  <c r="B71" i="37"/>
  <c r="F71" i="37" s="1"/>
  <c r="E70" i="37"/>
  <c r="I70" i="37" s="1"/>
  <c r="D70" i="37"/>
  <c r="H70" i="37" s="1"/>
  <c r="C70" i="37"/>
  <c r="B70" i="37"/>
  <c r="B69" i="37" s="1"/>
  <c r="E69" i="37"/>
  <c r="I69" i="37" s="1"/>
  <c r="D69" i="37"/>
  <c r="H69" i="37" s="1"/>
  <c r="D59" i="37"/>
  <c r="I55" i="37"/>
  <c r="H55" i="37"/>
  <c r="G55" i="37"/>
  <c r="F55" i="37"/>
  <c r="I54" i="37"/>
  <c r="H54" i="37"/>
  <c r="G54" i="37"/>
  <c r="F54" i="37"/>
  <c r="I53" i="37"/>
  <c r="H53" i="37"/>
  <c r="G53" i="37"/>
  <c r="F53" i="37"/>
  <c r="I52" i="37"/>
  <c r="H52" i="37"/>
  <c r="G52" i="37"/>
  <c r="F52" i="37"/>
  <c r="I51" i="37"/>
  <c r="H51" i="37"/>
  <c r="G51" i="37"/>
  <c r="F51" i="37"/>
  <c r="I50" i="37"/>
  <c r="H50" i="37"/>
  <c r="E50" i="37"/>
  <c r="E59" i="37" s="1"/>
  <c r="I59" i="37" s="1"/>
  <c r="D50" i="37"/>
  <c r="C50" i="37"/>
  <c r="C59" i="37" s="1"/>
  <c r="B50" i="37"/>
  <c r="I47" i="37"/>
  <c r="H47" i="37"/>
  <c r="G47" i="37"/>
  <c r="F47" i="37"/>
  <c r="I46" i="37"/>
  <c r="H46" i="37"/>
  <c r="G46" i="37"/>
  <c r="F46" i="37"/>
  <c r="I45" i="37"/>
  <c r="H45" i="37"/>
  <c r="G45" i="37"/>
  <c r="F45" i="37"/>
  <c r="I44" i="37"/>
  <c r="H44" i="37"/>
  <c r="G44" i="37"/>
  <c r="F44" i="37"/>
  <c r="I43" i="37"/>
  <c r="H43" i="37"/>
  <c r="G43" i="37"/>
  <c r="F43" i="37"/>
  <c r="I42" i="37"/>
  <c r="H42" i="37"/>
  <c r="G42" i="37"/>
  <c r="F42" i="37"/>
  <c r="I41" i="37"/>
  <c r="H41" i="37"/>
  <c r="F41" i="37"/>
  <c r="E41" i="37"/>
  <c r="E48" i="37" s="1"/>
  <c r="D41" i="37"/>
  <c r="D48" i="37" s="1"/>
  <c r="C41" i="37"/>
  <c r="C48" i="37" s="1"/>
  <c r="B41" i="37"/>
  <c r="B48" i="37" s="1"/>
  <c r="I28" i="37"/>
  <c r="H28" i="37"/>
  <c r="G28" i="37"/>
  <c r="F28" i="37"/>
  <c r="I27" i="37"/>
  <c r="H27" i="37"/>
  <c r="G27" i="37"/>
  <c r="F27" i="37"/>
  <c r="I26" i="37"/>
  <c r="H26" i="37"/>
  <c r="G26" i="37"/>
  <c r="F26" i="37"/>
  <c r="I25" i="37"/>
  <c r="H25" i="37"/>
  <c r="G25" i="37"/>
  <c r="F25" i="37"/>
  <c r="I24" i="37"/>
  <c r="H24" i="37"/>
  <c r="G24" i="37"/>
  <c r="F24" i="37"/>
  <c r="E23" i="37"/>
  <c r="E32" i="37" s="1"/>
  <c r="D23" i="37"/>
  <c r="D32" i="37" s="1"/>
  <c r="H32" i="37" s="1"/>
  <c r="C23" i="37"/>
  <c r="C32" i="37" s="1"/>
  <c r="B23" i="37"/>
  <c r="B32" i="37" s="1"/>
  <c r="F32" i="37" s="1"/>
  <c r="E20" i="37"/>
  <c r="D20" i="37"/>
  <c r="C20" i="37"/>
  <c r="B20" i="37"/>
  <c r="I19" i="37"/>
  <c r="H19" i="37"/>
  <c r="G19" i="37"/>
  <c r="F19" i="37"/>
  <c r="I18" i="37"/>
  <c r="H18" i="37"/>
  <c r="G18" i="37"/>
  <c r="F18" i="37"/>
  <c r="I17" i="37"/>
  <c r="H17" i="37"/>
  <c r="G17" i="37"/>
  <c r="F17" i="37"/>
  <c r="I13" i="37"/>
  <c r="H13" i="37"/>
  <c r="F13" i="37"/>
  <c r="C13" i="37"/>
  <c r="G13" i="37" s="1"/>
  <c r="B13" i="37"/>
  <c r="I12" i="37"/>
  <c r="H12" i="37"/>
  <c r="G12" i="37"/>
  <c r="F12" i="37"/>
  <c r="H11" i="37"/>
  <c r="H20" i="37" s="1"/>
  <c r="E11" i="37"/>
  <c r="I11" i="37" s="1"/>
  <c r="D11" i="37"/>
  <c r="B11" i="37"/>
  <c r="G11" i="37" s="1"/>
  <c r="D19" i="35"/>
  <c r="B19" i="35"/>
  <c r="D18" i="35"/>
  <c r="B18" i="35"/>
  <c r="D17" i="35"/>
  <c r="B17" i="35"/>
  <c r="D16" i="35"/>
  <c r="B16" i="35"/>
  <c r="D15" i="35"/>
  <c r="B15" i="35"/>
  <c r="D14" i="35"/>
  <c r="B14" i="35"/>
  <c r="D13" i="35"/>
  <c r="D12" i="35"/>
  <c r="B12" i="35"/>
  <c r="C115" i="32"/>
  <c r="G115" i="32" s="1"/>
  <c r="B115" i="32"/>
  <c r="F115" i="32" s="1"/>
  <c r="I111" i="32"/>
  <c r="H111" i="32"/>
  <c r="G111" i="32"/>
  <c r="F111" i="32"/>
  <c r="I110" i="32"/>
  <c r="H110" i="32"/>
  <c r="G110" i="32"/>
  <c r="F110" i="32"/>
  <c r="I109" i="32"/>
  <c r="H109" i="32"/>
  <c r="G109" i="32"/>
  <c r="F109" i="32"/>
  <c r="I108" i="32"/>
  <c r="H108" i="32"/>
  <c r="G108" i="32"/>
  <c r="F108" i="32"/>
  <c r="I107" i="32"/>
  <c r="H107" i="32"/>
  <c r="G107" i="32"/>
  <c r="F107" i="32"/>
  <c r="I106" i="32"/>
  <c r="G106" i="32"/>
  <c r="F106" i="32"/>
  <c r="E106" i="32"/>
  <c r="E115" i="32" s="1"/>
  <c r="D106" i="32"/>
  <c r="D115" i="32" s="1"/>
  <c r="H115" i="32" s="1"/>
  <c r="C106" i="32"/>
  <c r="B106" i="32"/>
  <c r="D103" i="32"/>
  <c r="I102" i="32"/>
  <c r="H102" i="32"/>
  <c r="G102" i="32"/>
  <c r="F102" i="32"/>
  <c r="I101" i="32"/>
  <c r="H101" i="32"/>
  <c r="G101" i="32"/>
  <c r="F101" i="32"/>
  <c r="I100" i="32"/>
  <c r="H100" i="32"/>
  <c r="G100" i="32"/>
  <c r="F100" i="32"/>
  <c r="I99" i="32"/>
  <c r="H99" i="32"/>
  <c r="G99" i="32"/>
  <c r="F99" i="32"/>
  <c r="I98" i="32"/>
  <c r="H98" i="32"/>
  <c r="G98" i="32"/>
  <c r="F98" i="32"/>
  <c r="E97" i="32"/>
  <c r="E103" i="32" s="1"/>
  <c r="D97" i="32"/>
  <c r="C97" i="32"/>
  <c r="C103" i="32" s="1"/>
  <c r="B97" i="32"/>
  <c r="B103" i="32" s="1"/>
  <c r="E83" i="32"/>
  <c r="I83" i="32" s="1"/>
  <c r="D83" i="32"/>
  <c r="C83" i="32"/>
  <c r="G83" i="32" s="1"/>
  <c r="B83" i="32"/>
  <c r="F83" i="32" s="1"/>
  <c r="E82" i="32"/>
  <c r="I82" i="32" s="1"/>
  <c r="D82" i="32"/>
  <c r="C82" i="32"/>
  <c r="G82" i="32" s="1"/>
  <c r="B82" i="32"/>
  <c r="F82" i="32" s="1"/>
  <c r="E81" i="32"/>
  <c r="I81" i="32" s="1"/>
  <c r="D81" i="32"/>
  <c r="C81" i="32"/>
  <c r="G81" i="32" s="1"/>
  <c r="B81" i="32"/>
  <c r="F81" i="32" s="1"/>
  <c r="E80" i="32"/>
  <c r="I80" i="32" s="1"/>
  <c r="D80" i="32"/>
  <c r="C80" i="32"/>
  <c r="G80" i="32" s="1"/>
  <c r="B80" i="32"/>
  <c r="F80" i="32" s="1"/>
  <c r="E79" i="32"/>
  <c r="I79" i="32" s="1"/>
  <c r="D79" i="32"/>
  <c r="C79" i="32"/>
  <c r="G79" i="32" s="1"/>
  <c r="B79" i="32"/>
  <c r="F79" i="32" s="1"/>
  <c r="E78" i="32"/>
  <c r="I78" i="32" s="1"/>
  <c r="D78" i="32"/>
  <c r="D87" i="32" s="1"/>
  <c r="C78" i="32"/>
  <c r="E74" i="32"/>
  <c r="I74" i="32" s="1"/>
  <c r="D74" i="32"/>
  <c r="C74" i="32"/>
  <c r="G74" i="32" s="1"/>
  <c r="B74" i="32"/>
  <c r="F74" i="32" s="1"/>
  <c r="E73" i="32"/>
  <c r="I73" i="32" s="1"/>
  <c r="D73" i="32"/>
  <c r="C73" i="32"/>
  <c r="G73" i="32" s="1"/>
  <c r="B73" i="32"/>
  <c r="F73" i="32" s="1"/>
  <c r="E72" i="32"/>
  <c r="I72" i="32" s="1"/>
  <c r="D72" i="32"/>
  <c r="C72" i="32"/>
  <c r="G72" i="32" s="1"/>
  <c r="B72" i="32"/>
  <c r="F72" i="32" s="1"/>
  <c r="E71" i="32"/>
  <c r="I71" i="32" s="1"/>
  <c r="D71" i="32"/>
  <c r="C71" i="32"/>
  <c r="B71" i="32"/>
  <c r="F71" i="32" s="1"/>
  <c r="E70" i="32"/>
  <c r="I70" i="32" s="1"/>
  <c r="D70" i="32"/>
  <c r="C70" i="32"/>
  <c r="B70" i="32"/>
  <c r="E69" i="32"/>
  <c r="I69" i="32" s="1"/>
  <c r="D69" i="32"/>
  <c r="D75" i="32" s="1"/>
  <c r="E59" i="32"/>
  <c r="C59" i="32"/>
  <c r="G59" i="32" s="1"/>
  <c r="B59" i="32"/>
  <c r="F59" i="32" s="1"/>
  <c r="I55" i="32"/>
  <c r="H55" i="32"/>
  <c r="G55" i="32"/>
  <c r="F55" i="32"/>
  <c r="I54" i="32"/>
  <c r="H54" i="32"/>
  <c r="G54" i="32"/>
  <c r="F54" i="32"/>
  <c r="I53" i="32"/>
  <c r="H53" i="32"/>
  <c r="G53" i="32"/>
  <c r="F53" i="32"/>
  <c r="I52" i="32"/>
  <c r="H52" i="32"/>
  <c r="G52" i="32"/>
  <c r="F52" i="32"/>
  <c r="I51" i="32"/>
  <c r="H51" i="32"/>
  <c r="G51" i="32"/>
  <c r="F51" i="32"/>
  <c r="I50" i="32"/>
  <c r="G50" i="32"/>
  <c r="F50" i="32"/>
  <c r="E50" i="32"/>
  <c r="D50" i="32"/>
  <c r="D59" i="32" s="1"/>
  <c r="H59" i="32" s="1"/>
  <c r="C50" i="32"/>
  <c r="B50" i="32"/>
  <c r="I47" i="32"/>
  <c r="H47" i="32"/>
  <c r="G47" i="32"/>
  <c r="F47" i="32"/>
  <c r="I46" i="32"/>
  <c r="H46" i="32"/>
  <c r="G46" i="32"/>
  <c r="F46" i="32"/>
  <c r="I45" i="32"/>
  <c r="H45" i="32"/>
  <c r="G45" i="32"/>
  <c r="F45" i="32"/>
  <c r="I44" i="32"/>
  <c r="H44" i="32"/>
  <c r="G44" i="32"/>
  <c r="F44" i="32"/>
  <c r="I43" i="32"/>
  <c r="H43" i="32"/>
  <c r="G43" i="32"/>
  <c r="F43" i="32"/>
  <c r="I42" i="32"/>
  <c r="H42" i="32"/>
  <c r="G42" i="32"/>
  <c r="F42" i="32"/>
  <c r="I41" i="32"/>
  <c r="E41" i="32"/>
  <c r="E48" i="32" s="1"/>
  <c r="D41" i="32"/>
  <c r="D48" i="32" s="1"/>
  <c r="C41" i="32"/>
  <c r="C48" i="32" s="1"/>
  <c r="B41" i="32"/>
  <c r="B48" i="32" s="1"/>
  <c r="D32" i="32"/>
  <c r="I28" i="32"/>
  <c r="H28" i="32"/>
  <c r="G28" i="32"/>
  <c r="F28" i="32"/>
  <c r="I27" i="32"/>
  <c r="H27" i="32"/>
  <c r="G27" i="32"/>
  <c r="F27" i="32"/>
  <c r="I26" i="32"/>
  <c r="H26" i="32"/>
  <c r="G26" i="32"/>
  <c r="F26" i="32"/>
  <c r="I25" i="32"/>
  <c r="H25" i="32"/>
  <c r="G25" i="32"/>
  <c r="F25" i="32"/>
  <c r="I24" i="32"/>
  <c r="H24" i="32"/>
  <c r="G24" i="32"/>
  <c r="F24" i="32"/>
  <c r="E23" i="32"/>
  <c r="E32" i="32" s="1"/>
  <c r="I32" i="32" s="1"/>
  <c r="D23" i="32"/>
  <c r="C23" i="32"/>
  <c r="C32" i="32" s="1"/>
  <c r="G32" i="32" s="1"/>
  <c r="B23" i="32"/>
  <c r="B32" i="32" s="1"/>
  <c r="E20" i="32"/>
  <c r="C20" i="32"/>
  <c r="C33" i="32" s="1"/>
  <c r="I19" i="32"/>
  <c r="H19" i="32"/>
  <c r="G19" i="32"/>
  <c r="F19" i="32"/>
  <c r="I18" i="32"/>
  <c r="H18" i="32"/>
  <c r="G18" i="32"/>
  <c r="F18" i="32"/>
  <c r="I17" i="32"/>
  <c r="H17" i="32"/>
  <c r="G17" i="32"/>
  <c r="F17" i="32"/>
  <c r="I13" i="32"/>
  <c r="H13" i="32"/>
  <c r="C13" i="32"/>
  <c r="B13" i="32"/>
  <c r="I12" i="32"/>
  <c r="H12" i="32"/>
  <c r="G12" i="32"/>
  <c r="F12" i="32"/>
  <c r="I11" i="32"/>
  <c r="H11" i="32"/>
  <c r="H20" i="32" s="1"/>
  <c r="E11" i="32"/>
  <c r="D11" i="32"/>
  <c r="D20" i="32" s="1"/>
  <c r="D33" i="32" s="1"/>
  <c r="I111" i="29"/>
  <c r="H111" i="29"/>
  <c r="G111" i="29"/>
  <c r="F111" i="29"/>
  <c r="I110" i="29"/>
  <c r="H110" i="29"/>
  <c r="G110" i="29"/>
  <c r="F110" i="29"/>
  <c r="I109" i="29"/>
  <c r="H109" i="29"/>
  <c r="I108" i="29"/>
  <c r="H108" i="29"/>
  <c r="F108" i="29"/>
  <c r="I107" i="29"/>
  <c r="H107" i="29"/>
  <c r="G107" i="29"/>
  <c r="F107" i="29"/>
  <c r="E106" i="29"/>
  <c r="E115" i="29" s="1"/>
  <c r="D106" i="29"/>
  <c r="D115" i="29" s="1"/>
  <c r="H115" i="29" s="1"/>
  <c r="D103" i="29"/>
  <c r="I102" i="29"/>
  <c r="H102" i="29"/>
  <c r="G102" i="29"/>
  <c r="F102" i="29"/>
  <c r="I101" i="29"/>
  <c r="H101" i="29"/>
  <c r="G101" i="29"/>
  <c r="F101" i="29"/>
  <c r="I100" i="29"/>
  <c r="H100" i="29"/>
  <c r="G100" i="29"/>
  <c r="F100" i="29"/>
  <c r="I99" i="29"/>
  <c r="H99" i="29"/>
  <c r="G99" i="29"/>
  <c r="F99" i="29"/>
  <c r="I98" i="29"/>
  <c r="H98" i="29"/>
  <c r="G98" i="29"/>
  <c r="F98" i="29"/>
  <c r="H97" i="29"/>
  <c r="E97" i="29"/>
  <c r="E103" i="29" s="1"/>
  <c r="D97" i="29"/>
  <c r="C97" i="29"/>
  <c r="C103" i="29" s="1"/>
  <c r="B97" i="29"/>
  <c r="B103" i="29" s="1"/>
  <c r="H83" i="29"/>
  <c r="E83" i="29"/>
  <c r="I83" i="29" s="1"/>
  <c r="D83" i="29"/>
  <c r="C83" i="29"/>
  <c r="G83" i="29" s="1"/>
  <c r="B83" i="29"/>
  <c r="F83" i="29" s="1"/>
  <c r="H82" i="29"/>
  <c r="E82" i="29"/>
  <c r="I82" i="29" s="1"/>
  <c r="D82" i="29"/>
  <c r="C82" i="29"/>
  <c r="B82" i="29"/>
  <c r="H81" i="29"/>
  <c r="E81" i="29"/>
  <c r="I81" i="29" s="1"/>
  <c r="D81" i="29"/>
  <c r="C81" i="29"/>
  <c r="H80" i="29"/>
  <c r="E80" i="29"/>
  <c r="I80" i="29" s="1"/>
  <c r="D80" i="29"/>
  <c r="B80" i="29"/>
  <c r="H79" i="29"/>
  <c r="E79" i="29"/>
  <c r="I79" i="29" s="1"/>
  <c r="D79" i="29"/>
  <c r="C79" i="29"/>
  <c r="G79" i="29" s="1"/>
  <c r="B79" i="29"/>
  <c r="H78" i="29"/>
  <c r="E78" i="29"/>
  <c r="I78" i="29" s="1"/>
  <c r="D78" i="29"/>
  <c r="D87" i="29" s="1"/>
  <c r="H74" i="29"/>
  <c r="E74" i="29"/>
  <c r="I74" i="29" s="1"/>
  <c r="D74" i="29"/>
  <c r="C74" i="29"/>
  <c r="G74" i="29" s="1"/>
  <c r="B74" i="29"/>
  <c r="F74" i="29" s="1"/>
  <c r="H73" i="29"/>
  <c r="E73" i="29"/>
  <c r="I73" i="29" s="1"/>
  <c r="D73" i="29"/>
  <c r="C73" i="29"/>
  <c r="B73" i="29"/>
  <c r="H72" i="29"/>
  <c r="E72" i="29"/>
  <c r="I72" i="29" s="1"/>
  <c r="D72" i="29"/>
  <c r="C72" i="29"/>
  <c r="G72" i="29" s="1"/>
  <c r="B72" i="29"/>
  <c r="F72" i="29" s="1"/>
  <c r="H71" i="29"/>
  <c r="E71" i="29"/>
  <c r="I71" i="29" s="1"/>
  <c r="D71" i="29"/>
  <c r="C71" i="29"/>
  <c r="B71" i="29"/>
  <c r="H70" i="29"/>
  <c r="E70" i="29"/>
  <c r="I70" i="29" s="1"/>
  <c r="D70" i="29"/>
  <c r="C70" i="29"/>
  <c r="B70" i="29"/>
  <c r="F70" i="29" s="1"/>
  <c r="H69" i="29"/>
  <c r="E69" i="29"/>
  <c r="I69" i="29" s="1"/>
  <c r="D69" i="29"/>
  <c r="D75" i="29" s="1"/>
  <c r="I55" i="29"/>
  <c r="H55" i="29"/>
  <c r="G55" i="29"/>
  <c r="F55" i="29"/>
  <c r="I54" i="29"/>
  <c r="H54" i="29"/>
  <c r="G54" i="29"/>
  <c r="F54" i="29"/>
  <c r="I53" i="29"/>
  <c r="H53" i="29"/>
  <c r="G53" i="29"/>
  <c r="F53" i="29"/>
  <c r="I52" i="29"/>
  <c r="H52" i="29"/>
  <c r="G52" i="29"/>
  <c r="F52" i="29"/>
  <c r="I51" i="29"/>
  <c r="H51" i="29"/>
  <c r="G51" i="29"/>
  <c r="F51" i="29"/>
  <c r="E50" i="29"/>
  <c r="E59" i="29" s="1"/>
  <c r="D50" i="29"/>
  <c r="I50" i="29" s="1"/>
  <c r="C50" i="29"/>
  <c r="C59" i="29" s="1"/>
  <c r="B50" i="29"/>
  <c r="I47" i="29"/>
  <c r="H47" i="29"/>
  <c r="G47" i="29"/>
  <c r="F47" i="29"/>
  <c r="I46" i="29"/>
  <c r="H46" i="29"/>
  <c r="G46" i="29"/>
  <c r="F46" i="29"/>
  <c r="I45" i="29"/>
  <c r="H45" i="29"/>
  <c r="G45" i="29"/>
  <c r="F45" i="29"/>
  <c r="I44" i="29"/>
  <c r="H44" i="29"/>
  <c r="G44" i="29"/>
  <c r="F44" i="29"/>
  <c r="I43" i="29"/>
  <c r="H43" i="29"/>
  <c r="G43" i="29"/>
  <c r="F43" i="29"/>
  <c r="I42" i="29"/>
  <c r="H42" i="29"/>
  <c r="G42" i="29"/>
  <c r="F42" i="29"/>
  <c r="E41" i="29"/>
  <c r="E48" i="29" s="1"/>
  <c r="D41" i="29"/>
  <c r="D48" i="29" s="1"/>
  <c r="C41" i="29"/>
  <c r="C48" i="29" s="1"/>
  <c r="B41" i="29"/>
  <c r="B48" i="29" s="1"/>
  <c r="I28" i="29"/>
  <c r="H28" i="29"/>
  <c r="G28" i="29"/>
  <c r="F28" i="29"/>
  <c r="I27" i="29"/>
  <c r="H27" i="29"/>
  <c r="G27" i="29"/>
  <c r="F27" i="29"/>
  <c r="I26" i="29"/>
  <c r="H26" i="29"/>
  <c r="G26" i="29"/>
  <c r="F26" i="29"/>
  <c r="I25" i="29"/>
  <c r="H25" i="29"/>
  <c r="G25" i="29"/>
  <c r="F25" i="29"/>
  <c r="I24" i="29"/>
  <c r="H24" i="29"/>
  <c r="G24" i="29"/>
  <c r="F24" i="29"/>
  <c r="E23" i="29"/>
  <c r="E32" i="29" s="1"/>
  <c r="D23" i="29"/>
  <c r="D32" i="29" s="1"/>
  <c r="H32" i="29" s="1"/>
  <c r="C23" i="29"/>
  <c r="C32" i="29" s="1"/>
  <c r="B23" i="29"/>
  <c r="B32" i="29" s="1"/>
  <c r="C20" i="29"/>
  <c r="I19" i="29"/>
  <c r="H19" i="29"/>
  <c r="G19" i="29"/>
  <c r="F19" i="29"/>
  <c r="I18" i="29"/>
  <c r="H18" i="29"/>
  <c r="G18" i="29"/>
  <c r="F18" i="29"/>
  <c r="I17" i="29"/>
  <c r="H17" i="29"/>
  <c r="G17" i="29"/>
  <c r="F17" i="29"/>
  <c r="I13" i="29"/>
  <c r="H13" i="29"/>
  <c r="C13" i="29"/>
  <c r="G13" i="29" s="1"/>
  <c r="B13" i="29"/>
  <c r="B11" i="29" s="1"/>
  <c r="I12" i="29"/>
  <c r="H12" i="29"/>
  <c r="G12" i="29"/>
  <c r="I11" i="29"/>
  <c r="H11" i="29"/>
  <c r="H20" i="29" s="1"/>
  <c r="E11" i="29"/>
  <c r="E20" i="29" s="1"/>
  <c r="D11" i="29"/>
  <c r="D20" i="29" s="1"/>
  <c r="D33" i="29" s="1"/>
  <c r="D115" i="27"/>
  <c r="C115" i="27"/>
  <c r="B115" i="27"/>
  <c r="I111" i="27"/>
  <c r="H111" i="27"/>
  <c r="G111" i="27"/>
  <c r="F111" i="27"/>
  <c r="I110" i="27"/>
  <c r="H110" i="27"/>
  <c r="G110" i="27"/>
  <c r="F110" i="27"/>
  <c r="I109" i="27"/>
  <c r="H109" i="27"/>
  <c r="G109" i="27"/>
  <c r="F109" i="27"/>
  <c r="I108" i="27"/>
  <c r="H108" i="27"/>
  <c r="G108" i="27"/>
  <c r="F108" i="27"/>
  <c r="I107" i="27"/>
  <c r="H107" i="27"/>
  <c r="G107" i="27"/>
  <c r="F107" i="27"/>
  <c r="F106" i="27"/>
  <c r="E106" i="27"/>
  <c r="E115" i="27" s="1"/>
  <c r="I115" i="27" s="1"/>
  <c r="D106" i="27"/>
  <c r="C106" i="27"/>
  <c r="G106" i="27" s="1"/>
  <c r="B106" i="27"/>
  <c r="I102" i="27"/>
  <c r="H102" i="27"/>
  <c r="G102" i="27"/>
  <c r="F102" i="27"/>
  <c r="I101" i="27"/>
  <c r="H101" i="27"/>
  <c r="G101" i="27"/>
  <c r="F101" i="27"/>
  <c r="I100" i="27"/>
  <c r="H100" i="27"/>
  <c r="G100" i="27"/>
  <c r="F100" i="27"/>
  <c r="I99" i="27"/>
  <c r="H99" i="27"/>
  <c r="G99" i="27"/>
  <c r="F99" i="27"/>
  <c r="I98" i="27"/>
  <c r="H98" i="27"/>
  <c r="G98" i="27"/>
  <c r="F98" i="27"/>
  <c r="E97" i="27"/>
  <c r="E103" i="27" s="1"/>
  <c r="D97" i="27"/>
  <c r="I97" i="27" s="1"/>
  <c r="C97" i="27"/>
  <c r="C103" i="27" s="1"/>
  <c r="B97" i="27"/>
  <c r="B103" i="27" s="1"/>
  <c r="E83" i="27"/>
  <c r="D83" i="27"/>
  <c r="I83" i="27" s="1"/>
  <c r="C83" i="27"/>
  <c r="G83" i="27" s="1"/>
  <c r="B83" i="27"/>
  <c r="F83" i="27" s="1"/>
  <c r="E82" i="27"/>
  <c r="D82" i="27"/>
  <c r="I82" i="27" s="1"/>
  <c r="C82" i="27"/>
  <c r="B82" i="27"/>
  <c r="F82" i="27" s="1"/>
  <c r="E81" i="27"/>
  <c r="D81" i="27"/>
  <c r="I81" i="27" s="1"/>
  <c r="C81" i="27"/>
  <c r="G81" i="27" s="1"/>
  <c r="B81" i="27"/>
  <c r="F81" i="27" s="1"/>
  <c r="E80" i="27"/>
  <c r="D80" i="27"/>
  <c r="I80" i="27" s="1"/>
  <c r="C80" i="27"/>
  <c r="G80" i="27" s="1"/>
  <c r="B80" i="27"/>
  <c r="F80" i="27" s="1"/>
  <c r="E79" i="27"/>
  <c r="D79" i="27"/>
  <c r="I79" i="27" s="1"/>
  <c r="C79" i="27"/>
  <c r="G79" i="27" s="1"/>
  <c r="B79" i="27"/>
  <c r="F79" i="27" s="1"/>
  <c r="E78" i="27"/>
  <c r="E87" i="27" s="1"/>
  <c r="D78" i="27"/>
  <c r="I78" i="27" s="1"/>
  <c r="C78" i="27"/>
  <c r="B78" i="27"/>
  <c r="F78" i="27" s="1"/>
  <c r="E74" i="27"/>
  <c r="D74" i="27"/>
  <c r="I74" i="27" s="1"/>
  <c r="C74" i="27"/>
  <c r="G74" i="27" s="1"/>
  <c r="B74" i="27"/>
  <c r="F74" i="27" s="1"/>
  <c r="E73" i="27"/>
  <c r="D73" i="27"/>
  <c r="I73" i="27" s="1"/>
  <c r="C73" i="27"/>
  <c r="G73" i="27" s="1"/>
  <c r="B73" i="27"/>
  <c r="F73" i="27" s="1"/>
  <c r="E72" i="27"/>
  <c r="D72" i="27"/>
  <c r="I72" i="27" s="1"/>
  <c r="C72" i="27"/>
  <c r="G72" i="27" s="1"/>
  <c r="B72" i="27"/>
  <c r="F72" i="27" s="1"/>
  <c r="E71" i="27"/>
  <c r="D71" i="27"/>
  <c r="I71" i="27" s="1"/>
  <c r="C71" i="27"/>
  <c r="G71" i="27" s="1"/>
  <c r="B71" i="27"/>
  <c r="F71" i="27" s="1"/>
  <c r="E70" i="27"/>
  <c r="D70" i="27"/>
  <c r="I70" i="27" s="1"/>
  <c r="C70" i="27"/>
  <c r="B70" i="27"/>
  <c r="E69" i="27"/>
  <c r="E75" i="27" s="1"/>
  <c r="D69" i="27"/>
  <c r="I69" i="27" s="1"/>
  <c r="D59" i="27"/>
  <c r="C59" i="27"/>
  <c r="B59" i="27"/>
  <c r="I55" i="27"/>
  <c r="H55" i="27"/>
  <c r="G55" i="27"/>
  <c r="F55" i="27"/>
  <c r="I54" i="27"/>
  <c r="H54" i="27"/>
  <c r="G54" i="27"/>
  <c r="F54" i="27"/>
  <c r="I53" i="27"/>
  <c r="H53" i="27"/>
  <c r="G53" i="27"/>
  <c r="F53" i="27"/>
  <c r="I52" i="27"/>
  <c r="H52" i="27"/>
  <c r="G52" i="27"/>
  <c r="F52" i="27"/>
  <c r="I51" i="27"/>
  <c r="H51" i="27"/>
  <c r="G51" i="27"/>
  <c r="F51" i="27"/>
  <c r="H50" i="27"/>
  <c r="F50" i="27"/>
  <c r="E50" i="27"/>
  <c r="I50" i="27" s="1"/>
  <c r="D50" i="27"/>
  <c r="C50" i="27"/>
  <c r="G50" i="27" s="1"/>
  <c r="B50" i="27"/>
  <c r="I47" i="27"/>
  <c r="H47" i="27"/>
  <c r="G47" i="27"/>
  <c r="F47" i="27"/>
  <c r="I46" i="27"/>
  <c r="H46" i="27"/>
  <c r="G46" i="27"/>
  <c r="F46" i="27"/>
  <c r="I45" i="27"/>
  <c r="H45" i="27"/>
  <c r="G45" i="27"/>
  <c r="F45" i="27"/>
  <c r="I44" i="27"/>
  <c r="H44" i="27"/>
  <c r="G44" i="27"/>
  <c r="F44" i="27"/>
  <c r="I43" i="27"/>
  <c r="H43" i="27"/>
  <c r="G43" i="27"/>
  <c r="F43" i="27"/>
  <c r="I42" i="27"/>
  <c r="H42" i="27"/>
  <c r="G42" i="27"/>
  <c r="F42" i="27"/>
  <c r="E41" i="27"/>
  <c r="E48" i="27" s="1"/>
  <c r="D41" i="27"/>
  <c r="D48" i="27" s="1"/>
  <c r="C41" i="27"/>
  <c r="C48" i="27" s="1"/>
  <c r="B41" i="27"/>
  <c r="B48" i="27" s="1"/>
  <c r="E32" i="27"/>
  <c r="E33" i="27" s="1"/>
  <c r="I28" i="27"/>
  <c r="H28" i="27"/>
  <c r="G28" i="27"/>
  <c r="F28" i="27"/>
  <c r="I27" i="27"/>
  <c r="H27" i="27"/>
  <c r="G27" i="27"/>
  <c r="F27" i="27"/>
  <c r="I26" i="27"/>
  <c r="H26" i="27"/>
  <c r="G26" i="27"/>
  <c r="F26" i="27"/>
  <c r="I25" i="27"/>
  <c r="H25" i="27"/>
  <c r="G25" i="27"/>
  <c r="F25" i="27"/>
  <c r="I24" i="27"/>
  <c r="H24" i="27"/>
  <c r="G24" i="27"/>
  <c r="F24" i="27"/>
  <c r="I23" i="27"/>
  <c r="E23" i="27"/>
  <c r="D23" i="27"/>
  <c r="D32" i="27" s="1"/>
  <c r="H32" i="27" s="1"/>
  <c r="C23" i="27"/>
  <c r="C32" i="27" s="1"/>
  <c r="B23" i="27"/>
  <c r="B32" i="27" s="1"/>
  <c r="F32" i="27" s="1"/>
  <c r="I20" i="27"/>
  <c r="E20" i="27"/>
  <c r="D20" i="27"/>
  <c r="D33" i="27" s="1"/>
  <c r="H33" i="27" s="1"/>
  <c r="C20" i="27"/>
  <c r="I19" i="27"/>
  <c r="H19" i="27"/>
  <c r="G19" i="27"/>
  <c r="F19" i="27"/>
  <c r="I18" i="27"/>
  <c r="H18" i="27"/>
  <c r="G18" i="27"/>
  <c r="F18" i="27"/>
  <c r="I17" i="27"/>
  <c r="H17" i="27"/>
  <c r="G17" i="27"/>
  <c r="F17" i="27"/>
  <c r="I13" i="27"/>
  <c r="H13" i="27"/>
  <c r="G13" i="27"/>
  <c r="C13" i="27"/>
  <c r="F13" i="27" s="1"/>
  <c r="B13" i="27"/>
  <c r="I12" i="27"/>
  <c r="H12" i="27"/>
  <c r="G12" i="27"/>
  <c r="F12" i="27"/>
  <c r="I11" i="27"/>
  <c r="H11" i="27"/>
  <c r="H20" i="27" s="1"/>
  <c r="E11" i="27"/>
  <c r="D11" i="27"/>
  <c r="B11" i="27"/>
  <c r="F11" i="27" s="1"/>
  <c r="F20" i="27" s="1"/>
  <c r="E83" i="23"/>
  <c r="I83" i="23" s="1"/>
  <c r="D83" i="23"/>
  <c r="C83" i="23"/>
  <c r="B83" i="23"/>
  <c r="E82" i="23"/>
  <c r="D82" i="23"/>
  <c r="C82" i="23"/>
  <c r="B82" i="23"/>
  <c r="E81" i="23"/>
  <c r="I81" i="23" s="1"/>
  <c r="D81" i="23"/>
  <c r="C81" i="23"/>
  <c r="B81" i="23"/>
  <c r="F81" i="23" s="1"/>
  <c r="E80" i="23"/>
  <c r="D80" i="23"/>
  <c r="H80" i="23" s="1"/>
  <c r="C80" i="23"/>
  <c r="B80" i="23"/>
  <c r="E79" i="23"/>
  <c r="I79" i="23" s="1"/>
  <c r="D79" i="23"/>
  <c r="C79" i="23"/>
  <c r="B79" i="23"/>
  <c r="F79" i="23" s="1"/>
  <c r="D78" i="23"/>
  <c r="E74" i="23"/>
  <c r="I74" i="23" s="1"/>
  <c r="D74" i="23"/>
  <c r="C74" i="23"/>
  <c r="G74" i="23" s="1"/>
  <c r="B74" i="23"/>
  <c r="F74" i="23" s="1"/>
  <c r="E73" i="23"/>
  <c r="I73" i="23" s="1"/>
  <c r="D73" i="23"/>
  <c r="C73" i="23"/>
  <c r="G73" i="23" s="1"/>
  <c r="B73" i="23"/>
  <c r="E72" i="23"/>
  <c r="I72" i="23" s="1"/>
  <c r="D72" i="23"/>
  <c r="C72" i="23"/>
  <c r="G72" i="23" s="1"/>
  <c r="B72" i="23"/>
  <c r="F72" i="23" s="1"/>
  <c r="E71" i="23"/>
  <c r="D71" i="23"/>
  <c r="C71" i="23"/>
  <c r="B71" i="23"/>
  <c r="E70" i="23"/>
  <c r="I70" i="23" s="1"/>
  <c r="D70" i="23"/>
  <c r="C70" i="23"/>
  <c r="B70" i="23"/>
  <c r="F70" i="23" s="1"/>
  <c r="D69" i="23"/>
  <c r="I28" i="23"/>
  <c r="H28" i="23"/>
  <c r="G28" i="23"/>
  <c r="F28" i="23"/>
  <c r="I27" i="23"/>
  <c r="H27" i="23"/>
  <c r="G27" i="23"/>
  <c r="F27" i="23"/>
  <c r="I26" i="23"/>
  <c r="H26" i="23"/>
  <c r="G26" i="23"/>
  <c r="F26" i="23"/>
  <c r="I25" i="23"/>
  <c r="H25" i="23"/>
  <c r="G25" i="23"/>
  <c r="F25" i="23"/>
  <c r="I24" i="23"/>
  <c r="H24" i="23"/>
  <c r="G24" i="23"/>
  <c r="F24" i="23"/>
  <c r="E23" i="23"/>
  <c r="E32" i="23" s="1"/>
  <c r="I32" i="23" s="1"/>
  <c r="D23" i="23"/>
  <c r="D32" i="23" s="1"/>
  <c r="C23" i="23"/>
  <c r="C32" i="23" s="1"/>
  <c r="B23" i="23"/>
  <c r="B32" i="23" s="1"/>
  <c r="E20" i="23"/>
  <c r="E33" i="23" s="1"/>
  <c r="C20" i="23"/>
  <c r="I19" i="23"/>
  <c r="H19" i="23"/>
  <c r="G19" i="23"/>
  <c r="F19" i="23"/>
  <c r="I18" i="23"/>
  <c r="H18" i="23"/>
  <c r="G18" i="23"/>
  <c r="F18" i="23"/>
  <c r="I17" i="23"/>
  <c r="H17" i="23"/>
  <c r="G17" i="23"/>
  <c r="F17" i="23"/>
  <c r="I13" i="23"/>
  <c r="H13" i="23"/>
  <c r="C13" i="23"/>
  <c r="B13" i="23"/>
  <c r="I12" i="23"/>
  <c r="H12" i="23"/>
  <c r="G12" i="23"/>
  <c r="F12" i="23"/>
  <c r="I11" i="23"/>
  <c r="H11" i="23"/>
  <c r="H20" i="23" s="1"/>
  <c r="E11" i="23"/>
  <c r="D11" i="23"/>
  <c r="D20" i="23" s="1"/>
  <c r="D33" i="23" s="1"/>
  <c r="H33" i="23" s="1"/>
  <c r="F11" i="23"/>
  <c r="F20" i="23" s="1"/>
  <c r="G75" i="34" l="1"/>
  <c r="G89" i="34"/>
  <c r="F75" i="34"/>
  <c r="F89" i="34"/>
  <c r="H89" i="34"/>
  <c r="F69" i="40"/>
  <c r="G69" i="40"/>
  <c r="D89" i="40"/>
  <c r="H75" i="40"/>
  <c r="F82" i="23"/>
  <c r="F80" i="23"/>
  <c r="C78" i="23"/>
  <c r="C69" i="23"/>
  <c r="F71" i="23"/>
  <c r="F83" i="23"/>
  <c r="G83" i="23"/>
  <c r="H83" i="23"/>
  <c r="F73" i="23"/>
  <c r="B78" i="23"/>
  <c r="B69" i="23"/>
  <c r="F69" i="23" s="1"/>
  <c r="H71" i="23"/>
  <c r="H73" i="23"/>
  <c r="H78" i="23"/>
  <c r="H82" i="23"/>
  <c r="E78" i="23"/>
  <c r="G71" i="23"/>
  <c r="G80" i="23"/>
  <c r="G82" i="23"/>
  <c r="I71" i="23"/>
  <c r="I78" i="23"/>
  <c r="I80" i="23"/>
  <c r="I82" i="23"/>
  <c r="E69" i="23"/>
  <c r="I69" i="23" s="1"/>
  <c r="G70" i="23"/>
  <c r="G79" i="23"/>
  <c r="G81" i="23"/>
  <c r="H70" i="23"/>
  <c r="H72" i="23"/>
  <c r="H74" i="23"/>
  <c r="H79" i="23"/>
  <c r="H81" i="23"/>
  <c r="V72" i="47"/>
  <c r="F75" i="40"/>
  <c r="B89" i="40"/>
  <c r="G75" i="40"/>
  <c r="C78" i="41"/>
  <c r="F81" i="41"/>
  <c r="G106" i="41"/>
  <c r="B115" i="41"/>
  <c r="F115" i="41" s="1"/>
  <c r="G115" i="41"/>
  <c r="F106" i="41"/>
  <c r="G72" i="41"/>
  <c r="F83" i="41"/>
  <c r="G83" i="41"/>
  <c r="F82" i="41"/>
  <c r="G82" i="41"/>
  <c r="F50" i="41"/>
  <c r="G81" i="41"/>
  <c r="B78" i="41"/>
  <c r="F78" i="41" s="1"/>
  <c r="G50" i="41"/>
  <c r="F80" i="41"/>
  <c r="B59" i="41"/>
  <c r="G59" i="41" s="1"/>
  <c r="G79" i="41"/>
  <c r="F73" i="41"/>
  <c r="F71" i="41"/>
  <c r="G41" i="41"/>
  <c r="B69" i="41"/>
  <c r="F69" i="41" s="1"/>
  <c r="G70" i="41"/>
  <c r="G32" i="41"/>
  <c r="G13" i="41"/>
  <c r="F13" i="41"/>
  <c r="G23" i="40"/>
  <c r="G11" i="40"/>
  <c r="G13" i="40"/>
  <c r="F13" i="40"/>
  <c r="G12" i="40"/>
  <c r="B20" i="40"/>
  <c r="B33" i="40" s="1"/>
  <c r="G20" i="40"/>
  <c r="G82" i="37"/>
  <c r="F106" i="37"/>
  <c r="G78" i="37"/>
  <c r="B115" i="37"/>
  <c r="G115" i="37" s="1"/>
  <c r="G97" i="37"/>
  <c r="G70" i="37"/>
  <c r="F50" i="37"/>
  <c r="F78" i="37"/>
  <c r="B59" i="37"/>
  <c r="G59" i="37" s="1"/>
  <c r="C69" i="37"/>
  <c r="F69" i="37" s="1"/>
  <c r="F70" i="37"/>
  <c r="G69" i="37"/>
  <c r="C69" i="32"/>
  <c r="B69" i="32"/>
  <c r="G69" i="32" s="1"/>
  <c r="G41" i="32"/>
  <c r="G71" i="32"/>
  <c r="F41" i="32"/>
  <c r="G70" i="32"/>
  <c r="G13" i="32"/>
  <c r="F13" i="32"/>
  <c r="B11" i="32"/>
  <c r="G11" i="32" s="1"/>
  <c r="B81" i="29"/>
  <c r="F81" i="29" s="1"/>
  <c r="G81" i="29"/>
  <c r="B106" i="29"/>
  <c r="F109" i="29"/>
  <c r="C106" i="29"/>
  <c r="C115" i="29" s="1"/>
  <c r="G108" i="29"/>
  <c r="C78" i="29"/>
  <c r="C87" i="29" s="1"/>
  <c r="B115" i="29"/>
  <c r="B117" i="29" s="1"/>
  <c r="F71" i="29"/>
  <c r="C69" i="29"/>
  <c r="F82" i="29"/>
  <c r="G82" i="29"/>
  <c r="F80" i="29"/>
  <c r="B78" i="29"/>
  <c r="G80" i="29"/>
  <c r="G50" i="29"/>
  <c r="F79" i="29"/>
  <c r="B59" i="29"/>
  <c r="G59" i="29" s="1"/>
  <c r="F50" i="29"/>
  <c r="F73" i="29"/>
  <c r="G73" i="29"/>
  <c r="G71" i="29"/>
  <c r="G41" i="29"/>
  <c r="G70" i="29"/>
  <c r="B69" i="29"/>
  <c r="B75" i="29" s="1"/>
  <c r="F41" i="29"/>
  <c r="G32" i="29"/>
  <c r="F13" i="29"/>
  <c r="F115" i="27"/>
  <c r="G115" i="27"/>
  <c r="G78" i="27"/>
  <c r="G82" i="27"/>
  <c r="G70" i="27"/>
  <c r="F59" i="27"/>
  <c r="G59" i="27"/>
  <c r="F70" i="27"/>
  <c r="F41" i="27"/>
  <c r="B69" i="27"/>
  <c r="B75" i="27" s="1"/>
  <c r="G41" i="27"/>
  <c r="G11" i="27"/>
  <c r="B20" i="27"/>
  <c r="B33" i="27" s="1"/>
  <c r="C33" i="23"/>
  <c r="F32" i="23"/>
  <c r="F13" i="23"/>
  <c r="B20" i="23"/>
  <c r="G13" i="23"/>
  <c r="G11" i="23"/>
  <c r="C61" i="41"/>
  <c r="G48" i="41"/>
  <c r="D61" i="41"/>
  <c r="H48" i="41"/>
  <c r="I32" i="41"/>
  <c r="E61" i="41"/>
  <c r="I61" i="41" s="1"/>
  <c r="I48" i="41"/>
  <c r="H59" i="41"/>
  <c r="D33" i="41"/>
  <c r="B117" i="41"/>
  <c r="F103" i="41"/>
  <c r="C33" i="41"/>
  <c r="C117" i="41"/>
  <c r="G103" i="41"/>
  <c r="E33" i="41"/>
  <c r="I33" i="41" s="1"/>
  <c r="D117" i="41"/>
  <c r="H103" i="41"/>
  <c r="H115" i="41"/>
  <c r="F32" i="41"/>
  <c r="F48" i="41"/>
  <c r="E117" i="41"/>
  <c r="I117" i="41" s="1"/>
  <c r="I103" i="41"/>
  <c r="B20" i="41"/>
  <c r="B33" i="41" s="1"/>
  <c r="H41" i="41"/>
  <c r="H50" i="41"/>
  <c r="D75" i="41"/>
  <c r="D87" i="41"/>
  <c r="H87" i="41" s="1"/>
  <c r="H106" i="41"/>
  <c r="E75" i="41"/>
  <c r="E87" i="41"/>
  <c r="I106" i="41"/>
  <c r="F23" i="41"/>
  <c r="F97" i="41"/>
  <c r="C75" i="41"/>
  <c r="C87" i="41"/>
  <c r="G23" i="41"/>
  <c r="G97" i="41"/>
  <c r="F11" i="41"/>
  <c r="F20" i="41" s="1"/>
  <c r="H23" i="41"/>
  <c r="H97" i="41"/>
  <c r="I20" i="41"/>
  <c r="I23" i="41"/>
  <c r="I97" i="41"/>
  <c r="E33" i="40"/>
  <c r="I20" i="40"/>
  <c r="I32" i="40"/>
  <c r="F23" i="40"/>
  <c r="C32" i="40"/>
  <c r="G32" i="40" s="1"/>
  <c r="H23" i="40"/>
  <c r="D32" i="40"/>
  <c r="H32" i="40" s="1"/>
  <c r="B61" i="37"/>
  <c r="F48" i="37"/>
  <c r="G32" i="37"/>
  <c r="C61" i="37"/>
  <c r="G48" i="37"/>
  <c r="D61" i="37"/>
  <c r="H61" i="37" s="1"/>
  <c r="H48" i="37"/>
  <c r="F59" i="37"/>
  <c r="I32" i="37"/>
  <c r="E61" i="37"/>
  <c r="I48" i="37"/>
  <c r="H59" i="37"/>
  <c r="B33" i="37"/>
  <c r="C33" i="37"/>
  <c r="G33" i="37" s="1"/>
  <c r="D33" i="37"/>
  <c r="H33" i="37" s="1"/>
  <c r="E117" i="37"/>
  <c r="F115" i="37"/>
  <c r="E33" i="37"/>
  <c r="H115" i="37"/>
  <c r="B75" i="37"/>
  <c r="B87" i="37"/>
  <c r="F87" i="37" s="1"/>
  <c r="G41" i="37"/>
  <c r="G50" i="37"/>
  <c r="C75" i="37"/>
  <c r="C87" i="37"/>
  <c r="G106" i="37"/>
  <c r="E75" i="37"/>
  <c r="E87" i="37"/>
  <c r="I106" i="37"/>
  <c r="F23" i="37"/>
  <c r="F81" i="37"/>
  <c r="F82" i="37"/>
  <c r="F83" i="37"/>
  <c r="F97" i="37"/>
  <c r="B103" i="37"/>
  <c r="D75" i="37"/>
  <c r="D78" i="37"/>
  <c r="G20" i="37"/>
  <c r="G23" i="37"/>
  <c r="F11" i="37"/>
  <c r="F20" i="37" s="1"/>
  <c r="H23" i="37"/>
  <c r="H97" i="37"/>
  <c r="D103" i="37"/>
  <c r="I103" i="37" s="1"/>
  <c r="I20" i="37"/>
  <c r="I23" i="37"/>
  <c r="C61" i="32"/>
  <c r="G48" i="32"/>
  <c r="D61" i="32"/>
  <c r="H61" i="32" s="1"/>
  <c r="H48" i="32"/>
  <c r="E61" i="32"/>
  <c r="I61" i="32" s="1"/>
  <c r="I48" i="32"/>
  <c r="B117" i="32"/>
  <c r="F117" i="32" s="1"/>
  <c r="F103" i="32"/>
  <c r="D117" i="32"/>
  <c r="H117" i="32" s="1"/>
  <c r="I59" i="32"/>
  <c r="C117" i="32"/>
  <c r="G103" i="32"/>
  <c r="H87" i="32"/>
  <c r="D89" i="32"/>
  <c r="E117" i="32"/>
  <c r="I103" i="32"/>
  <c r="E33" i="32"/>
  <c r="I33" i="32" s="1"/>
  <c r="F32" i="32"/>
  <c r="H32" i="32"/>
  <c r="I115" i="32"/>
  <c r="F48" i="32"/>
  <c r="B61" i="32"/>
  <c r="F61" i="32" s="1"/>
  <c r="F69" i="32"/>
  <c r="B78" i="32"/>
  <c r="G78" i="32" s="1"/>
  <c r="C75" i="32"/>
  <c r="C87" i="32"/>
  <c r="H41" i="32"/>
  <c r="H50" i="32"/>
  <c r="H103" i="32"/>
  <c r="H106" i="32"/>
  <c r="E75" i="32"/>
  <c r="E87" i="32"/>
  <c r="I87" i="32" s="1"/>
  <c r="F23" i="32"/>
  <c r="F70" i="32"/>
  <c r="F97" i="32"/>
  <c r="G23" i="32"/>
  <c r="G97" i="32"/>
  <c r="F11" i="32"/>
  <c r="F20" i="32" s="1"/>
  <c r="H23" i="32"/>
  <c r="H69" i="32"/>
  <c r="H70" i="32"/>
  <c r="H71" i="32"/>
  <c r="H72" i="32"/>
  <c r="H73" i="32"/>
  <c r="H74" i="32"/>
  <c r="H78" i="32"/>
  <c r="H79" i="32"/>
  <c r="H80" i="32"/>
  <c r="H81" i="32"/>
  <c r="H82" i="32"/>
  <c r="H83" i="32"/>
  <c r="H97" i="32"/>
  <c r="I20" i="32"/>
  <c r="I23" i="32"/>
  <c r="I97" i="32"/>
  <c r="H48" i="29"/>
  <c r="D61" i="29"/>
  <c r="H61" i="29" s="1"/>
  <c r="I115" i="29"/>
  <c r="C61" i="29"/>
  <c r="G48" i="29"/>
  <c r="I32" i="29"/>
  <c r="E61" i="29"/>
  <c r="I48" i="29"/>
  <c r="D89" i="29"/>
  <c r="H33" i="29"/>
  <c r="F103" i="29"/>
  <c r="E33" i="29"/>
  <c r="I33" i="29" s="1"/>
  <c r="I20" i="29"/>
  <c r="C117" i="29"/>
  <c r="G103" i="29"/>
  <c r="D117" i="29"/>
  <c r="I59" i="29"/>
  <c r="G11" i="29"/>
  <c r="F11" i="29"/>
  <c r="F20" i="29" s="1"/>
  <c r="B20" i="29"/>
  <c r="B33" i="29" s="1"/>
  <c r="C33" i="29"/>
  <c r="F32" i="29"/>
  <c r="B61" i="29"/>
  <c r="F48" i="29"/>
  <c r="E117" i="29"/>
  <c r="I117" i="29" s="1"/>
  <c r="I103" i="29"/>
  <c r="C75" i="29"/>
  <c r="G106" i="29"/>
  <c r="H41" i="29"/>
  <c r="H103" i="29"/>
  <c r="H106" i="29"/>
  <c r="H50" i="29"/>
  <c r="D59" i="29"/>
  <c r="H59" i="29" s="1"/>
  <c r="I41" i="29"/>
  <c r="E75" i="29"/>
  <c r="E87" i="29"/>
  <c r="I87" i="29" s="1"/>
  <c r="I106" i="29"/>
  <c r="F23" i="29"/>
  <c r="F97" i="29"/>
  <c r="G23" i="29"/>
  <c r="G97" i="29"/>
  <c r="H23" i="29"/>
  <c r="I23" i="29"/>
  <c r="I97" i="29"/>
  <c r="B61" i="27"/>
  <c r="F48" i="27"/>
  <c r="C33" i="27"/>
  <c r="G33" i="27" s="1"/>
  <c r="D61" i="27"/>
  <c r="H48" i="27"/>
  <c r="I48" i="27"/>
  <c r="B117" i="27"/>
  <c r="F103" i="27"/>
  <c r="F33" i="27"/>
  <c r="C61" i="27"/>
  <c r="G61" i="27" s="1"/>
  <c r="G48" i="27"/>
  <c r="C117" i="27"/>
  <c r="G103" i="27"/>
  <c r="I75" i="27"/>
  <c r="E89" i="27"/>
  <c r="E117" i="27"/>
  <c r="G32" i="27"/>
  <c r="I33" i="27"/>
  <c r="H115" i="27"/>
  <c r="B87" i="27"/>
  <c r="H41" i="27"/>
  <c r="D75" i="27"/>
  <c r="D87" i="27"/>
  <c r="H87" i="27" s="1"/>
  <c r="H106" i="27"/>
  <c r="I41" i="27"/>
  <c r="E59" i="27"/>
  <c r="I59" i="27" s="1"/>
  <c r="I106" i="27"/>
  <c r="F97" i="27"/>
  <c r="C69" i="27"/>
  <c r="F69" i="27" s="1"/>
  <c r="C87" i="27"/>
  <c r="I32" i="27"/>
  <c r="F23" i="27"/>
  <c r="G20" i="27"/>
  <c r="G23" i="27"/>
  <c r="G97" i="27"/>
  <c r="H23" i="27"/>
  <c r="H69" i="27"/>
  <c r="H70" i="27"/>
  <c r="H71" i="27"/>
  <c r="H72" i="27"/>
  <c r="H73" i="27"/>
  <c r="H74" i="27"/>
  <c r="H78" i="27"/>
  <c r="H79" i="27"/>
  <c r="H80" i="27"/>
  <c r="H81" i="27"/>
  <c r="H82" i="27"/>
  <c r="H83" i="27"/>
  <c r="H97" i="27"/>
  <c r="D103" i="27"/>
  <c r="B33" i="23"/>
  <c r="F33" i="23" s="1"/>
  <c r="I33" i="23"/>
  <c r="G32" i="23"/>
  <c r="H32" i="23"/>
  <c r="B75" i="23"/>
  <c r="C75" i="23"/>
  <c r="C87" i="23"/>
  <c r="D75" i="23"/>
  <c r="D87" i="23"/>
  <c r="E87" i="23"/>
  <c r="I87" i="23" s="1"/>
  <c r="F23" i="23"/>
  <c r="G20" i="23"/>
  <c r="G23" i="23"/>
  <c r="H23" i="23"/>
  <c r="I20" i="23"/>
  <c r="I23" i="23"/>
  <c r="H89" i="40" l="1"/>
  <c r="I89" i="40"/>
  <c r="F78" i="23"/>
  <c r="G78" i="23"/>
  <c r="E75" i="23"/>
  <c r="G69" i="23"/>
  <c r="H69" i="23"/>
  <c r="B87" i="23"/>
  <c r="G87" i="23" s="1"/>
  <c r="F87" i="23"/>
  <c r="F89" i="40"/>
  <c r="G89" i="40"/>
  <c r="B87" i="41"/>
  <c r="B75" i="41"/>
  <c r="G117" i="41"/>
  <c r="F59" i="41"/>
  <c r="B61" i="41"/>
  <c r="G78" i="41"/>
  <c r="G87" i="41"/>
  <c r="G69" i="41"/>
  <c r="F61" i="41"/>
  <c r="F33" i="41"/>
  <c r="C33" i="40"/>
  <c r="G33" i="40" s="1"/>
  <c r="G61" i="37"/>
  <c r="B75" i="32"/>
  <c r="B20" i="32"/>
  <c r="F115" i="29"/>
  <c r="F78" i="29"/>
  <c r="F106" i="29"/>
  <c r="G115" i="29"/>
  <c r="F117" i="29"/>
  <c r="F69" i="29"/>
  <c r="B87" i="29"/>
  <c r="F87" i="29" s="1"/>
  <c r="G87" i="29"/>
  <c r="G78" i="29"/>
  <c r="F59" i="29"/>
  <c r="G61" i="29"/>
  <c r="G69" i="29"/>
  <c r="G33" i="29"/>
  <c r="G20" i="29"/>
  <c r="G117" i="27"/>
  <c r="F87" i="27"/>
  <c r="F61" i="27"/>
  <c r="G33" i="23"/>
  <c r="I75" i="41"/>
  <c r="E89" i="41"/>
  <c r="H117" i="41"/>
  <c r="G20" i="41"/>
  <c r="G75" i="41"/>
  <c r="C89" i="41"/>
  <c r="H75" i="41"/>
  <c r="D89" i="41"/>
  <c r="H89" i="41" s="1"/>
  <c r="G33" i="41"/>
  <c r="H61" i="41"/>
  <c r="F87" i="41"/>
  <c r="F117" i="41"/>
  <c r="I87" i="41"/>
  <c r="F75" i="41"/>
  <c r="B89" i="41"/>
  <c r="H33" i="41"/>
  <c r="G61" i="41"/>
  <c r="F33" i="40"/>
  <c r="F32" i="40"/>
  <c r="D33" i="40"/>
  <c r="H33" i="40" s="1"/>
  <c r="H75" i="37"/>
  <c r="B117" i="37"/>
  <c r="F103" i="37"/>
  <c r="I75" i="37"/>
  <c r="E89" i="37"/>
  <c r="F75" i="37"/>
  <c r="B89" i="37"/>
  <c r="F33" i="37"/>
  <c r="I33" i="37"/>
  <c r="G87" i="37"/>
  <c r="G75" i="37"/>
  <c r="C89" i="37"/>
  <c r="D117" i="37"/>
  <c r="H117" i="37" s="1"/>
  <c r="H103" i="37"/>
  <c r="G103" i="37"/>
  <c r="I61" i="37"/>
  <c r="H78" i="37"/>
  <c r="D87" i="37"/>
  <c r="H87" i="37" s="1"/>
  <c r="I78" i="37"/>
  <c r="F61" i="37"/>
  <c r="G75" i="32"/>
  <c r="C89" i="32"/>
  <c r="F78" i="32"/>
  <c r="B87" i="32"/>
  <c r="F87" i="32" s="1"/>
  <c r="G117" i="32"/>
  <c r="I75" i="32"/>
  <c r="E89" i="32"/>
  <c r="I89" i="32" s="1"/>
  <c r="F75" i="32"/>
  <c r="I117" i="32"/>
  <c r="H33" i="32"/>
  <c r="H75" i="32"/>
  <c r="G61" i="32"/>
  <c r="H117" i="29"/>
  <c r="G75" i="29"/>
  <c r="C89" i="29"/>
  <c r="H87" i="29"/>
  <c r="I75" i="29"/>
  <c r="E89" i="29"/>
  <c r="I89" i="29" s="1"/>
  <c r="F61" i="29"/>
  <c r="H75" i="29"/>
  <c r="G117" i="29"/>
  <c r="I61" i="29"/>
  <c r="B89" i="29"/>
  <c r="F33" i="29"/>
  <c r="F75" i="29"/>
  <c r="D117" i="27"/>
  <c r="H117" i="27" s="1"/>
  <c r="H103" i="27"/>
  <c r="H59" i="27"/>
  <c r="E61" i="27"/>
  <c r="I61" i="27" s="1"/>
  <c r="I103" i="27"/>
  <c r="G87" i="27"/>
  <c r="H75" i="27"/>
  <c r="D89" i="27"/>
  <c r="H89" i="27" s="1"/>
  <c r="I117" i="27"/>
  <c r="H61" i="27"/>
  <c r="I87" i="27"/>
  <c r="G69" i="27"/>
  <c r="C75" i="27"/>
  <c r="F75" i="27" s="1"/>
  <c r="B89" i="27"/>
  <c r="F117" i="27"/>
  <c r="G75" i="23"/>
  <c r="C89" i="23"/>
  <c r="F75" i="23"/>
  <c r="B89" i="23"/>
  <c r="I75" i="23"/>
  <c r="E89" i="23"/>
  <c r="H87" i="23"/>
  <c r="H75" i="23"/>
  <c r="D89" i="23"/>
  <c r="I89" i="23" l="1"/>
  <c r="F89" i="23"/>
  <c r="G89" i="41"/>
  <c r="G89" i="37"/>
  <c r="B33" i="32"/>
  <c r="G20" i="32"/>
  <c r="F89" i="29"/>
  <c r="F89" i="41"/>
  <c r="I89" i="41"/>
  <c r="I33" i="40"/>
  <c r="I87" i="37"/>
  <c r="F117" i="37"/>
  <c r="G117" i="37"/>
  <c r="I117" i="37"/>
  <c r="D89" i="37"/>
  <c r="H89" i="37" s="1"/>
  <c r="F89" i="37"/>
  <c r="B89" i="32"/>
  <c r="F89" i="32" s="1"/>
  <c r="H89" i="32"/>
  <c r="G87" i="32"/>
  <c r="G89" i="29"/>
  <c r="H89" i="29"/>
  <c r="I89" i="27"/>
  <c r="C89" i="27"/>
  <c r="G89" i="27" s="1"/>
  <c r="G75" i="27"/>
  <c r="H89" i="23"/>
  <c r="G89" i="23"/>
  <c r="F33" i="32" l="1"/>
  <c r="G33" i="32"/>
  <c r="I89" i="37"/>
  <c r="G89" i="32"/>
  <c r="F89" i="27"/>
  <c r="L41" i="46"/>
  <c r="F27" i="35" l="1"/>
  <c r="F26" i="35"/>
  <c r="G25" i="35"/>
  <c r="F18" i="35"/>
  <c r="F17" i="35"/>
  <c r="C13" i="35"/>
  <c r="F12" i="35"/>
  <c r="I28" i="35"/>
  <c r="H28" i="35"/>
  <c r="G28" i="35"/>
  <c r="F28" i="35"/>
  <c r="G27" i="35"/>
  <c r="H27" i="35"/>
  <c r="I26" i="35"/>
  <c r="H26" i="35"/>
  <c r="H25" i="35"/>
  <c r="G24" i="35"/>
  <c r="F24" i="35"/>
  <c r="I24" i="35"/>
  <c r="D23" i="35"/>
  <c r="D32" i="35" s="1"/>
  <c r="E23" i="35"/>
  <c r="E32" i="35" s="1"/>
  <c r="C23" i="35"/>
  <c r="C32" i="35" s="1"/>
  <c r="I19" i="35"/>
  <c r="G19" i="35"/>
  <c r="F19" i="35"/>
  <c r="H19" i="35"/>
  <c r="G18" i="35"/>
  <c r="I18" i="35"/>
  <c r="H18" i="35"/>
  <c r="I17" i="35"/>
  <c r="H17" i="35"/>
  <c r="B13" i="35"/>
  <c r="I13" i="35"/>
  <c r="H13" i="35"/>
  <c r="I12" i="35"/>
  <c r="D11" i="35"/>
  <c r="H24" i="35" l="1"/>
  <c r="I27" i="35"/>
  <c r="I25" i="35"/>
  <c r="I32" i="35"/>
  <c r="H32" i="35"/>
  <c r="H23" i="35"/>
  <c r="G12" i="35"/>
  <c r="B23" i="35"/>
  <c r="G23" i="35" s="1"/>
  <c r="G26" i="35"/>
  <c r="F25" i="35"/>
  <c r="F13" i="35"/>
  <c r="D20" i="35"/>
  <c r="D33" i="35" s="1"/>
  <c r="C11" i="35"/>
  <c r="G13" i="35"/>
  <c r="H12" i="35"/>
  <c r="I23" i="35"/>
  <c r="E11" i="35"/>
  <c r="H11" i="35" s="1"/>
  <c r="H20" i="35" s="1"/>
  <c r="G17" i="35"/>
  <c r="F23" i="35" l="1"/>
  <c r="B32" i="35"/>
  <c r="G11" i="35"/>
  <c r="C20" i="35"/>
  <c r="E20" i="35"/>
  <c r="I11" i="35"/>
  <c r="F11" i="35"/>
  <c r="F20" i="35" s="1"/>
  <c r="B20" i="35"/>
  <c r="B33" i="35" l="1"/>
  <c r="F32" i="35"/>
  <c r="G32" i="35"/>
  <c r="E33" i="35"/>
  <c r="I20" i="35"/>
  <c r="G20" i="35"/>
  <c r="C33" i="35"/>
  <c r="G33" i="35" l="1"/>
  <c r="I33" i="35"/>
  <c r="H33" i="35"/>
  <c r="F33" i="35"/>
  <c r="E115" i="38" l="1"/>
  <c r="I115" i="38" s="1"/>
  <c r="D115" i="38"/>
  <c r="H115" i="38" s="1"/>
  <c r="I111" i="38"/>
  <c r="H111" i="38"/>
  <c r="G111" i="38"/>
  <c r="F111" i="38"/>
  <c r="I110" i="38"/>
  <c r="H110" i="38"/>
  <c r="G110" i="38"/>
  <c r="F110" i="38"/>
  <c r="I109" i="38"/>
  <c r="H109" i="38"/>
  <c r="G109" i="38"/>
  <c r="F109" i="38"/>
  <c r="I108" i="38"/>
  <c r="H108" i="38"/>
  <c r="G108" i="38"/>
  <c r="F108" i="38"/>
  <c r="I107" i="38"/>
  <c r="H107" i="38"/>
  <c r="G107" i="38"/>
  <c r="F107" i="38"/>
  <c r="I106" i="38"/>
  <c r="H106" i="38"/>
  <c r="E106" i="38"/>
  <c r="D106" i="38"/>
  <c r="C106" i="38"/>
  <c r="C115" i="38" s="1"/>
  <c r="B106" i="38"/>
  <c r="B115" i="38" s="1"/>
  <c r="F115" i="38" s="1"/>
  <c r="I102" i="38"/>
  <c r="H102" i="38"/>
  <c r="G102" i="38"/>
  <c r="F102" i="38"/>
  <c r="I101" i="38"/>
  <c r="H101" i="38"/>
  <c r="G101" i="38"/>
  <c r="F101" i="38"/>
  <c r="I100" i="38"/>
  <c r="H100" i="38"/>
  <c r="G100" i="38"/>
  <c r="F100" i="38"/>
  <c r="I99" i="38"/>
  <c r="H99" i="38"/>
  <c r="G99" i="38"/>
  <c r="F99" i="38"/>
  <c r="I98" i="38"/>
  <c r="H98" i="38"/>
  <c r="G98" i="38"/>
  <c r="F98" i="38"/>
  <c r="E97" i="38"/>
  <c r="E103" i="38" s="1"/>
  <c r="D97" i="38"/>
  <c r="D103" i="38" s="1"/>
  <c r="C97" i="38"/>
  <c r="C103" i="38" s="1"/>
  <c r="B97" i="38"/>
  <c r="B103" i="38" s="1"/>
  <c r="B117" i="38" s="1"/>
  <c r="E83" i="38"/>
  <c r="I83" i="38" s="1"/>
  <c r="D83" i="38"/>
  <c r="H83" i="38" s="1"/>
  <c r="C83" i="38"/>
  <c r="G83" i="38" s="1"/>
  <c r="B83" i="38"/>
  <c r="E82" i="38"/>
  <c r="I82" i="38" s="1"/>
  <c r="D82" i="38"/>
  <c r="H82" i="38" s="1"/>
  <c r="C82" i="38"/>
  <c r="B82" i="38"/>
  <c r="E81" i="38"/>
  <c r="I81" i="38" s="1"/>
  <c r="D81" i="38"/>
  <c r="H81" i="38" s="1"/>
  <c r="C81" i="38"/>
  <c r="G81" i="38" s="1"/>
  <c r="B81" i="38"/>
  <c r="E80" i="38"/>
  <c r="I80" i="38" s="1"/>
  <c r="D80" i="38"/>
  <c r="H80" i="38" s="1"/>
  <c r="C80" i="38"/>
  <c r="B80" i="38"/>
  <c r="B78" i="38" s="1"/>
  <c r="B87" i="38" s="1"/>
  <c r="E79" i="38"/>
  <c r="I79" i="38" s="1"/>
  <c r="D79" i="38"/>
  <c r="D78" i="38" s="1"/>
  <c r="C79" i="38"/>
  <c r="G79" i="38" s="1"/>
  <c r="B79" i="38"/>
  <c r="E78" i="38"/>
  <c r="E74" i="38"/>
  <c r="I74" i="38" s="1"/>
  <c r="D74" i="38"/>
  <c r="H74" i="38" s="1"/>
  <c r="C74" i="38"/>
  <c r="G74" i="38" s="1"/>
  <c r="B74" i="38"/>
  <c r="E73" i="38"/>
  <c r="I73" i="38" s="1"/>
  <c r="D73" i="38"/>
  <c r="H73" i="38" s="1"/>
  <c r="C73" i="38"/>
  <c r="B73" i="38"/>
  <c r="E72" i="38"/>
  <c r="I72" i="38" s="1"/>
  <c r="D72" i="38"/>
  <c r="H72" i="38" s="1"/>
  <c r="C72" i="38"/>
  <c r="G72" i="38" s="1"/>
  <c r="B72" i="38"/>
  <c r="E71" i="38"/>
  <c r="I71" i="38" s="1"/>
  <c r="D71" i="38"/>
  <c r="H71" i="38" s="1"/>
  <c r="C71" i="38"/>
  <c r="B71" i="38"/>
  <c r="B69" i="38" s="1"/>
  <c r="B75" i="38" s="1"/>
  <c r="E70" i="38"/>
  <c r="I70" i="38" s="1"/>
  <c r="D70" i="38"/>
  <c r="H70" i="38" s="1"/>
  <c r="C70" i="38"/>
  <c r="G70" i="38" s="1"/>
  <c r="B70" i="38"/>
  <c r="E69" i="38"/>
  <c r="E59" i="38"/>
  <c r="I59" i="38" s="1"/>
  <c r="D59" i="38"/>
  <c r="H59" i="38" s="1"/>
  <c r="I55" i="38"/>
  <c r="H55" i="38"/>
  <c r="G55" i="38"/>
  <c r="F55" i="38"/>
  <c r="I54" i="38"/>
  <c r="H54" i="38"/>
  <c r="G54" i="38"/>
  <c r="F54" i="38"/>
  <c r="I53" i="38"/>
  <c r="H53" i="38"/>
  <c r="G53" i="38"/>
  <c r="F53" i="38"/>
  <c r="I52" i="38"/>
  <c r="H52" i="38"/>
  <c r="G52" i="38"/>
  <c r="F52" i="38"/>
  <c r="I51" i="38"/>
  <c r="H51" i="38"/>
  <c r="G51" i="38"/>
  <c r="F51" i="38"/>
  <c r="I50" i="38"/>
  <c r="H50" i="38"/>
  <c r="G50" i="38"/>
  <c r="E50" i="38"/>
  <c r="D50" i="38"/>
  <c r="C50" i="38"/>
  <c r="C59" i="38" s="1"/>
  <c r="G59" i="38" s="1"/>
  <c r="B50" i="38"/>
  <c r="B59" i="38" s="1"/>
  <c r="I47" i="38"/>
  <c r="H47" i="38"/>
  <c r="G47" i="38"/>
  <c r="F47" i="38"/>
  <c r="I46" i="38"/>
  <c r="H46" i="38"/>
  <c r="G46" i="38"/>
  <c r="F46" i="38"/>
  <c r="I45" i="38"/>
  <c r="H45" i="38"/>
  <c r="G45" i="38"/>
  <c r="F45" i="38"/>
  <c r="I44" i="38"/>
  <c r="H44" i="38"/>
  <c r="G44" i="38"/>
  <c r="F44" i="38"/>
  <c r="I43" i="38"/>
  <c r="H43" i="38"/>
  <c r="G43" i="38"/>
  <c r="F43" i="38"/>
  <c r="I42" i="38"/>
  <c r="H42" i="38"/>
  <c r="G42" i="38"/>
  <c r="F42" i="38"/>
  <c r="I41" i="38"/>
  <c r="H41" i="38"/>
  <c r="E41" i="38"/>
  <c r="E48" i="38" s="1"/>
  <c r="D41" i="38"/>
  <c r="D48" i="38" s="1"/>
  <c r="C41" i="38"/>
  <c r="C48" i="38" s="1"/>
  <c r="B41" i="38"/>
  <c r="B48" i="38" s="1"/>
  <c r="I28" i="38"/>
  <c r="H28" i="38"/>
  <c r="G28" i="38"/>
  <c r="F28" i="38"/>
  <c r="I27" i="38"/>
  <c r="H27" i="38"/>
  <c r="G27" i="38"/>
  <c r="F27" i="38"/>
  <c r="I26" i="38"/>
  <c r="H26" i="38"/>
  <c r="G26" i="38"/>
  <c r="F26" i="38"/>
  <c r="I25" i="38"/>
  <c r="H25" i="38"/>
  <c r="G25" i="38"/>
  <c r="F25" i="38"/>
  <c r="I24" i="38"/>
  <c r="H24" i="38"/>
  <c r="G24" i="38"/>
  <c r="F24" i="38"/>
  <c r="E23" i="38"/>
  <c r="E32" i="38" s="1"/>
  <c r="I32" i="38" s="1"/>
  <c r="D23" i="38"/>
  <c r="D32" i="38" s="1"/>
  <c r="H32" i="38" s="1"/>
  <c r="C23" i="38"/>
  <c r="C32" i="38" s="1"/>
  <c r="B23" i="38"/>
  <c r="B32" i="38" s="1"/>
  <c r="F32" i="38" s="1"/>
  <c r="E20" i="38"/>
  <c r="D20" i="38"/>
  <c r="C20" i="38"/>
  <c r="C33" i="38" s="1"/>
  <c r="I19" i="38"/>
  <c r="H19" i="38"/>
  <c r="G19" i="38"/>
  <c r="F19" i="38"/>
  <c r="I18" i="38"/>
  <c r="H18" i="38"/>
  <c r="G18" i="38"/>
  <c r="F18" i="38"/>
  <c r="I17" i="38"/>
  <c r="H17" i="38"/>
  <c r="G17" i="38"/>
  <c r="F17" i="38"/>
  <c r="I13" i="38"/>
  <c r="H13" i="38"/>
  <c r="C13" i="38"/>
  <c r="G13" i="38" s="1"/>
  <c r="B13" i="38"/>
  <c r="B11" i="38" s="1"/>
  <c r="G11" i="38" s="1"/>
  <c r="I12" i="38"/>
  <c r="H12" i="38"/>
  <c r="G12" i="38"/>
  <c r="F12" i="38"/>
  <c r="I11" i="38"/>
  <c r="E11" i="38"/>
  <c r="D11" i="38"/>
  <c r="H11" i="38" s="1"/>
  <c r="H20" i="38" s="1"/>
  <c r="G111" i="35"/>
  <c r="G110" i="35"/>
  <c r="G109" i="35"/>
  <c r="F107" i="35"/>
  <c r="G102" i="35"/>
  <c r="F100" i="35"/>
  <c r="B97" i="35"/>
  <c r="C83" i="35"/>
  <c r="B82" i="35"/>
  <c r="C81" i="35"/>
  <c r="C80" i="35"/>
  <c r="C50" i="35"/>
  <c r="B73" i="35"/>
  <c r="C71" i="35"/>
  <c r="I111" i="35"/>
  <c r="H110" i="35"/>
  <c r="H109" i="35"/>
  <c r="H108" i="35"/>
  <c r="H107" i="35"/>
  <c r="E106" i="35"/>
  <c r="H102" i="35"/>
  <c r="F101" i="35"/>
  <c r="I101" i="35"/>
  <c r="I100" i="35"/>
  <c r="H100" i="35"/>
  <c r="G99" i="35"/>
  <c r="F99" i="35"/>
  <c r="E97" i="35"/>
  <c r="I98" i="35"/>
  <c r="D83" i="35"/>
  <c r="B83" i="35"/>
  <c r="D74" i="35"/>
  <c r="B74" i="35"/>
  <c r="D72" i="35"/>
  <c r="B72" i="35"/>
  <c r="H55" i="35"/>
  <c r="I54" i="35"/>
  <c r="H51" i="35"/>
  <c r="E50" i="35"/>
  <c r="I47" i="35"/>
  <c r="E73" i="35"/>
  <c r="C73" i="35"/>
  <c r="H45" i="35"/>
  <c r="E72" i="35"/>
  <c r="I72" i="35" s="1"/>
  <c r="C72" i="35"/>
  <c r="E71" i="35"/>
  <c r="D71" i="35"/>
  <c r="E70" i="35"/>
  <c r="C70" i="35"/>
  <c r="F73" i="35" l="1"/>
  <c r="B106" i="35"/>
  <c r="B79" i="35"/>
  <c r="I109" i="35"/>
  <c r="B81" i="35"/>
  <c r="G81" i="35" s="1"/>
  <c r="D106" i="35"/>
  <c r="D115" i="35" s="1"/>
  <c r="D80" i="35"/>
  <c r="D41" i="35"/>
  <c r="D48" i="35" s="1"/>
  <c r="H48" i="35" s="1"/>
  <c r="D73" i="35"/>
  <c r="H73" i="35" s="1"/>
  <c r="D79" i="35"/>
  <c r="G107" i="35"/>
  <c r="D82" i="35"/>
  <c r="D70" i="35"/>
  <c r="I70" i="35" s="1"/>
  <c r="D81" i="35"/>
  <c r="I52" i="35"/>
  <c r="I71" i="35"/>
  <c r="H46" i="35"/>
  <c r="I53" i="35"/>
  <c r="G108" i="35"/>
  <c r="F109" i="35"/>
  <c r="B71" i="35"/>
  <c r="G71" i="35" s="1"/>
  <c r="B70" i="35"/>
  <c r="G70" i="35" s="1"/>
  <c r="C59" i="35"/>
  <c r="H42" i="35"/>
  <c r="I51" i="35"/>
  <c r="H54" i="35"/>
  <c r="I99" i="35"/>
  <c r="E115" i="35"/>
  <c r="I108" i="35"/>
  <c r="I110" i="35"/>
  <c r="G98" i="35"/>
  <c r="C106" i="35"/>
  <c r="H52" i="35"/>
  <c r="F108" i="35"/>
  <c r="H101" i="35"/>
  <c r="D97" i="35"/>
  <c r="I97" i="35" s="1"/>
  <c r="E103" i="35"/>
  <c r="I107" i="35"/>
  <c r="E41" i="35"/>
  <c r="E48" i="35" s="1"/>
  <c r="H43" i="35"/>
  <c r="I55" i="35"/>
  <c r="D50" i="35"/>
  <c r="I50" i="35" s="1"/>
  <c r="H53" i="35"/>
  <c r="G71" i="38"/>
  <c r="G73" i="38"/>
  <c r="C78" i="38"/>
  <c r="G78" i="38" s="1"/>
  <c r="C69" i="38"/>
  <c r="G69" i="38" s="1"/>
  <c r="F13" i="38"/>
  <c r="G41" i="38"/>
  <c r="G80" i="38"/>
  <c r="G82" i="38"/>
  <c r="F59" i="38"/>
  <c r="G32" i="38"/>
  <c r="G106" i="38"/>
  <c r="C61" i="38"/>
  <c r="G48" i="38"/>
  <c r="H78" i="38"/>
  <c r="D87" i="38"/>
  <c r="H87" i="38" s="1"/>
  <c r="D61" i="38"/>
  <c r="H61" i="38" s="1"/>
  <c r="H48" i="38"/>
  <c r="D33" i="38"/>
  <c r="B89" i="38"/>
  <c r="D117" i="38"/>
  <c r="H103" i="38"/>
  <c r="G115" i="38"/>
  <c r="E61" i="38"/>
  <c r="I48" i="38"/>
  <c r="E33" i="38"/>
  <c r="I33" i="38" s="1"/>
  <c r="I78" i="38"/>
  <c r="E117" i="38"/>
  <c r="I117" i="38" s="1"/>
  <c r="I103" i="38"/>
  <c r="G33" i="38"/>
  <c r="C117" i="38"/>
  <c r="G117" i="38" s="1"/>
  <c r="G103" i="38"/>
  <c r="B61" i="38"/>
  <c r="F61" i="38" s="1"/>
  <c r="F48" i="38"/>
  <c r="B20" i="38"/>
  <c r="B33" i="38" s="1"/>
  <c r="F33" i="38" s="1"/>
  <c r="F41" i="38"/>
  <c r="F50" i="38"/>
  <c r="F103" i="38"/>
  <c r="F106" i="38"/>
  <c r="C75" i="38"/>
  <c r="C87" i="38"/>
  <c r="G87" i="38" s="1"/>
  <c r="F23" i="38"/>
  <c r="F69" i="38"/>
  <c r="F70" i="38"/>
  <c r="F71" i="38"/>
  <c r="F72" i="38"/>
  <c r="F73" i="38"/>
  <c r="F74" i="38"/>
  <c r="F78" i="38"/>
  <c r="F79" i="38"/>
  <c r="F80" i="38"/>
  <c r="F81" i="38"/>
  <c r="F82" i="38"/>
  <c r="F83" i="38"/>
  <c r="F97" i="38"/>
  <c r="D69" i="38"/>
  <c r="E75" i="38"/>
  <c r="E87" i="38"/>
  <c r="G20" i="38"/>
  <c r="G23" i="38"/>
  <c r="G97" i="38"/>
  <c r="F11" i="38"/>
  <c r="F20" i="38" s="1"/>
  <c r="H23" i="38"/>
  <c r="H79" i="38"/>
  <c r="H97" i="38"/>
  <c r="I20" i="38"/>
  <c r="I23" i="38"/>
  <c r="I97" i="38"/>
  <c r="B103" i="35"/>
  <c r="C74" i="35"/>
  <c r="G74" i="35" s="1"/>
  <c r="G100" i="35"/>
  <c r="B41" i="35"/>
  <c r="B48" i="35" s="1"/>
  <c r="F98" i="35"/>
  <c r="B50" i="35"/>
  <c r="B59" i="35" s="1"/>
  <c r="F59" i="35" s="1"/>
  <c r="G52" i="35"/>
  <c r="C97" i="35"/>
  <c r="F110" i="35"/>
  <c r="C79" i="35"/>
  <c r="L87" i="46" s="1"/>
  <c r="C82" i="35"/>
  <c r="F82" i="35" s="1"/>
  <c r="G73" i="35"/>
  <c r="C69" i="35"/>
  <c r="H70" i="35"/>
  <c r="E69" i="35"/>
  <c r="H71" i="35"/>
  <c r="G72" i="35"/>
  <c r="F72" i="35"/>
  <c r="F83" i="35"/>
  <c r="G83" i="35"/>
  <c r="H72" i="35"/>
  <c r="B115" i="35"/>
  <c r="I42" i="35"/>
  <c r="I43" i="35"/>
  <c r="I45" i="35"/>
  <c r="I46" i="35"/>
  <c r="E59" i="35"/>
  <c r="E74" i="35"/>
  <c r="I74" i="35" s="1"/>
  <c r="E79" i="35"/>
  <c r="H79" i="35" s="1"/>
  <c r="E80" i="35"/>
  <c r="E81" i="35"/>
  <c r="E82" i="35"/>
  <c r="E83" i="35"/>
  <c r="I83" i="35" s="1"/>
  <c r="G101" i="35"/>
  <c r="I102" i="35"/>
  <c r="C41" i="35"/>
  <c r="G55" i="35"/>
  <c r="F55" i="35"/>
  <c r="F47" i="35"/>
  <c r="F51" i="35"/>
  <c r="F52" i="35"/>
  <c r="F53" i="35"/>
  <c r="F54" i="35"/>
  <c r="H98" i="35"/>
  <c r="H99" i="35"/>
  <c r="F111" i="35"/>
  <c r="G47" i="35"/>
  <c r="G51" i="35"/>
  <c r="G53" i="35"/>
  <c r="G54" i="35"/>
  <c r="F42" i="35"/>
  <c r="F43" i="35"/>
  <c r="F45" i="35"/>
  <c r="F46" i="35"/>
  <c r="H47" i="35"/>
  <c r="B80" i="35"/>
  <c r="F80" i="35" s="1"/>
  <c r="F102" i="35"/>
  <c r="H111" i="35"/>
  <c r="G42" i="35"/>
  <c r="G43" i="35"/>
  <c r="G45" i="35"/>
  <c r="G46" i="35"/>
  <c r="D69" i="35" l="1"/>
  <c r="F71" i="35"/>
  <c r="G106" i="35"/>
  <c r="D78" i="35"/>
  <c r="D87" i="35" s="1"/>
  <c r="I106" i="35"/>
  <c r="I115" i="35"/>
  <c r="I73" i="35"/>
  <c r="I82" i="35"/>
  <c r="F81" i="35"/>
  <c r="G50" i="35"/>
  <c r="F70" i="35"/>
  <c r="B69" i="35"/>
  <c r="B75" i="35" s="1"/>
  <c r="H106" i="35"/>
  <c r="I81" i="35"/>
  <c r="I80" i="35"/>
  <c r="G79" i="35"/>
  <c r="F50" i="35"/>
  <c r="H97" i="35"/>
  <c r="D103" i="35"/>
  <c r="I103" i="35" s="1"/>
  <c r="I48" i="35"/>
  <c r="I41" i="35"/>
  <c r="F74" i="35"/>
  <c r="C115" i="35"/>
  <c r="F115" i="35" s="1"/>
  <c r="F106" i="35"/>
  <c r="H80" i="35"/>
  <c r="E117" i="35"/>
  <c r="H115" i="35"/>
  <c r="H41" i="35"/>
  <c r="G59" i="35"/>
  <c r="C78" i="35"/>
  <c r="C87" i="35" s="1"/>
  <c r="B61" i="35"/>
  <c r="H50" i="35"/>
  <c r="D59" i="35"/>
  <c r="H59" i="35" s="1"/>
  <c r="F87" i="38"/>
  <c r="H69" i="38"/>
  <c r="D75" i="38"/>
  <c r="G75" i="38"/>
  <c r="C89" i="38"/>
  <c r="G89" i="38" s="1"/>
  <c r="I69" i="38"/>
  <c r="F75" i="38"/>
  <c r="F117" i="38"/>
  <c r="H33" i="38"/>
  <c r="I61" i="38"/>
  <c r="I87" i="38"/>
  <c r="H117" i="38"/>
  <c r="I75" i="38"/>
  <c r="E89" i="38"/>
  <c r="G61" i="38"/>
  <c r="G82" i="35"/>
  <c r="C103" i="35"/>
  <c r="F103" i="35" s="1"/>
  <c r="G97" i="35"/>
  <c r="F79" i="35"/>
  <c r="B78" i="35"/>
  <c r="B87" i="35" s="1"/>
  <c r="F97" i="35"/>
  <c r="C75" i="35"/>
  <c r="H83" i="35"/>
  <c r="H82" i="35"/>
  <c r="H81" i="35"/>
  <c r="G80" i="35"/>
  <c r="H69" i="35"/>
  <c r="D75" i="35"/>
  <c r="H74" i="35"/>
  <c r="G41" i="35"/>
  <c r="C48" i="35"/>
  <c r="I69" i="35"/>
  <c r="E75" i="35"/>
  <c r="E61" i="35"/>
  <c r="I79" i="35"/>
  <c r="E78" i="35"/>
  <c r="B117" i="35"/>
  <c r="F41" i="35"/>
  <c r="D61" i="35" l="1"/>
  <c r="F69" i="35"/>
  <c r="G69" i="35"/>
  <c r="G78" i="35"/>
  <c r="H103" i="35"/>
  <c r="I59" i="35"/>
  <c r="D117" i="35"/>
  <c r="H117" i="35" s="1"/>
  <c r="G115" i="35"/>
  <c r="F87" i="35"/>
  <c r="F89" i="38"/>
  <c r="D89" i="38"/>
  <c r="H89" i="38" s="1"/>
  <c r="H75" i="38"/>
  <c r="F78" i="35"/>
  <c r="C117" i="35"/>
  <c r="F117" i="35" s="1"/>
  <c r="G103" i="35"/>
  <c r="I61" i="35"/>
  <c r="H61" i="35"/>
  <c r="C61" i="35"/>
  <c r="G48" i="35"/>
  <c r="F48" i="35"/>
  <c r="I78" i="35"/>
  <c r="E87" i="35"/>
  <c r="H78" i="35"/>
  <c r="B89" i="35"/>
  <c r="F75" i="35"/>
  <c r="H75" i="35"/>
  <c r="D89" i="35"/>
  <c r="G87" i="35"/>
  <c r="I75" i="35"/>
  <c r="E89" i="35"/>
  <c r="I117" i="35"/>
  <c r="C89" i="35"/>
  <c r="G75" i="35"/>
  <c r="G89" i="35" l="1"/>
  <c r="G117" i="35"/>
  <c r="I89" i="35"/>
  <c r="I89" i="38"/>
  <c r="I87" i="35"/>
  <c r="H87" i="35"/>
  <c r="H89" i="35"/>
  <c r="G61" i="35"/>
  <c r="F61" i="35"/>
  <c r="F89" i="35"/>
  <c r="B115" i="31" l="1"/>
  <c r="I111" i="31"/>
  <c r="H111" i="31"/>
  <c r="G111" i="31"/>
  <c r="F111" i="31"/>
  <c r="I110" i="31"/>
  <c r="H110" i="31"/>
  <c r="G110" i="31"/>
  <c r="F110" i="31"/>
  <c r="I109" i="31"/>
  <c r="H109" i="31"/>
  <c r="G109" i="31"/>
  <c r="F109" i="31"/>
  <c r="I108" i="31"/>
  <c r="H108" i="31"/>
  <c r="G108" i="31"/>
  <c r="F108" i="31"/>
  <c r="I107" i="31"/>
  <c r="H107" i="31"/>
  <c r="G107" i="31"/>
  <c r="F107" i="31"/>
  <c r="G106" i="31"/>
  <c r="F106" i="31"/>
  <c r="E106" i="31"/>
  <c r="E115" i="31" s="1"/>
  <c r="D106" i="31"/>
  <c r="D115" i="31" s="1"/>
  <c r="H115" i="31" s="1"/>
  <c r="C106" i="31"/>
  <c r="C115" i="31" s="1"/>
  <c r="G115" i="31" s="1"/>
  <c r="B106" i="31"/>
  <c r="E103" i="31"/>
  <c r="D103" i="31"/>
  <c r="I102" i="31"/>
  <c r="H102" i="31"/>
  <c r="G102" i="31"/>
  <c r="F102" i="31"/>
  <c r="I101" i="31"/>
  <c r="H101" i="31"/>
  <c r="G101" i="31"/>
  <c r="F101" i="31"/>
  <c r="I100" i="31"/>
  <c r="H100" i="31"/>
  <c r="G100" i="31"/>
  <c r="F100" i="31"/>
  <c r="I99" i="31"/>
  <c r="H99" i="31"/>
  <c r="G99" i="31"/>
  <c r="F99" i="31"/>
  <c r="I98" i="31"/>
  <c r="H98" i="31"/>
  <c r="G98" i="31"/>
  <c r="F98" i="31"/>
  <c r="I97" i="31"/>
  <c r="E97" i="31"/>
  <c r="H97" i="31" s="1"/>
  <c r="D97" i="31"/>
  <c r="C97" i="31"/>
  <c r="C103" i="31" s="1"/>
  <c r="B97" i="31"/>
  <c r="B103" i="31" s="1"/>
  <c r="I83" i="31"/>
  <c r="E83" i="31"/>
  <c r="H83" i="31" s="1"/>
  <c r="D83" i="31"/>
  <c r="C83" i="31"/>
  <c r="G83" i="31" s="1"/>
  <c r="B83" i="31"/>
  <c r="F83" i="31" s="1"/>
  <c r="I82" i="31"/>
  <c r="E82" i="31"/>
  <c r="H82" i="31" s="1"/>
  <c r="D82" i="31"/>
  <c r="C82" i="31"/>
  <c r="G82" i="31" s="1"/>
  <c r="B82" i="31"/>
  <c r="I81" i="31"/>
  <c r="E81" i="31"/>
  <c r="H81" i="31" s="1"/>
  <c r="D81" i="31"/>
  <c r="C81" i="31"/>
  <c r="B81" i="31"/>
  <c r="F81" i="31" s="1"/>
  <c r="I80" i="31"/>
  <c r="E80" i="31"/>
  <c r="H80" i="31" s="1"/>
  <c r="D80" i="31"/>
  <c r="C80" i="31"/>
  <c r="G80" i="31" s="1"/>
  <c r="B80" i="31"/>
  <c r="I79" i="31"/>
  <c r="E79" i="31"/>
  <c r="H79" i="31" s="1"/>
  <c r="D79" i="31"/>
  <c r="C79" i="31"/>
  <c r="B79" i="31"/>
  <c r="F79" i="31" s="1"/>
  <c r="I78" i="31"/>
  <c r="E78" i="31"/>
  <c r="E87" i="31" s="1"/>
  <c r="D78" i="31"/>
  <c r="H78" i="31" s="1"/>
  <c r="I74" i="31"/>
  <c r="E74" i="31"/>
  <c r="D74" i="31"/>
  <c r="H74" i="31" s="1"/>
  <c r="C74" i="31"/>
  <c r="B74" i="31"/>
  <c r="F74" i="31" s="1"/>
  <c r="I73" i="31"/>
  <c r="E73" i="31"/>
  <c r="D73" i="31"/>
  <c r="H73" i="31" s="1"/>
  <c r="C73" i="31"/>
  <c r="B73" i="31"/>
  <c r="F73" i="31" s="1"/>
  <c r="I72" i="31"/>
  <c r="E72" i="31"/>
  <c r="D72" i="31"/>
  <c r="H72" i="31" s="1"/>
  <c r="C72" i="31"/>
  <c r="G72" i="31" s="1"/>
  <c r="B72" i="31"/>
  <c r="I71" i="31"/>
  <c r="E71" i="31"/>
  <c r="D71" i="31"/>
  <c r="H71" i="31" s="1"/>
  <c r="C71" i="31"/>
  <c r="G71" i="31" s="1"/>
  <c r="B71" i="31"/>
  <c r="I70" i="31"/>
  <c r="E70" i="31"/>
  <c r="D70" i="31"/>
  <c r="H70" i="31" s="1"/>
  <c r="C70" i="31"/>
  <c r="B70" i="31"/>
  <c r="B69" i="31" s="1"/>
  <c r="I69" i="31"/>
  <c r="E69" i="31"/>
  <c r="E75" i="31" s="1"/>
  <c r="D69" i="31"/>
  <c r="H69" i="31" s="1"/>
  <c r="I55" i="31"/>
  <c r="H55" i="31"/>
  <c r="G55" i="31"/>
  <c r="F55" i="31"/>
  <c r="I54" i="31"/>
  <c r="H54" i="31"/>
  <c r="G54" i="31"/>
  <c r="F54" i="31"/>
  <c r="I53" i="31"/>
  <c r="H53" i="31"/>
  <c r="G53" i="31"/>
  <c r="F53" i="31"/>
  <c r="I52" i="31"/>
  <c r="H52" i="31"/>
  <c r="G52" i="31"/>
  <c r="F52" i="31"/>
  <c r="I51" i="31"/>
  <c r="H51" i="31"/>
  <c r="G51" i="31"/>
  <c r="F51" i="31"/>
  <c r="E50" i="31"/>
  <c r="E59" i="31" s="1"/>
  <c r="I59" i="31" s="1"/>
  <c r="D50" i="31"/>
  <c r="D59" i="31" s="1"/>
  <c r="C50" i="31"/>
  <c r="G50" i="31" s="1"/>
  <c r="B50" i="31"/>
  <c r="F50" i="31" s="1"/>
  <c r="I47" i="31"/>
  <c r="H47" i="31"/>
  <c r="G47" i="31"/>
  <c r="F47" i="31"/>
  <c r="I46" i="31"/>
  <c r="H46" i="31"/>
  <c r="G46" i="31"/>
  <c r="F46" i="31"/>
  <c r="I45" i="31"/>
  <c r="H45" i="31"/>
  <c r="G45" i="31"/>
  <c r="F45" i="31"/>
  <c r="I44" i="31"/>
  <c r="H44" i="31"/>
  <c r="G44" i="31"/>
  <c r="F44" i="31"/>
  <c r="I43" i="31"/>
  <c r="H43" i="31"/>
  <c r="G43" i="31"/>
  <c r="F43" i="31"/>
  <c r="I42" i="31"/>
  <c r="H42" i="31"/>
  <c r="G42" i="31"/>
  <c r="F42" i="31"/>
  <c r="G41" i="31"/>
  <c r="F41" i="31"/>
  <c r="E41" i="31"/>
  <c r="E48" i="31" s="1"/>
  <c r="D41" i="31"/>
  <c r="D48" i="31" s="1"/>
  <c r="C41" i="31"/>
  <c r="C48" i="31" s="1"/>
  <c r="B41" i="31"/>
  <c r="B48" i="31" s="1"/>
  <c r="E32" i="31"/>
  <c r="I28" i="31"/>
  <c r="H28" i="31"/>
  <c r="G28" i="31"/>
  <c r="F28" i="31"/>
  <c r="I27" i="31"/>
  <c r="H27" i="31"/>
  <c r="G27" i="31"/>
  <c r="F27" i="31"/>
  <c r="I26" i="31"/>
  <c r="H26" i="31"/>
  <c r="G26" i="31"/>
  <c r="F26" i="31"/>
  <c r="I25" i="31"/>
  <c r="H25" i="31"/>
  <c r="G25" i="31"/>
  <c r="F25" i="31"/>
  <c r="I24" i="31"/>
  <c r="H24" i="31"/>
  <c r="G24" i="31"/>
  <c r="F24" i="31"/>
  <c r="I23" i="31"/>
  <c r="E23" i="31"/>
  <c r="D23" i="31"/>
  <c r="D32" i="31" s="1"/>
  <c r="H32" i="31" s="1"/>
  <c r="C23" i="31"/>
  <c r="C32" i="31" s="1"/>
  <c r="B23" i="31"/>
  <c r="B32" i="31" s="1"/>
  <c r="C20" i="31"/>
  <c r="C33" i="31" s="1"/>
  <c r="B20" i="31"/>
  <c r="B33" i="31" s="1"/>
  <c r="F33" i="31" s="1"/>
  <c r="I19" i="31"/>
  <c r="H19" i="31"/>
  <c r="G19" i="31"/>
  <c r="F19" i="31"/>
  <c r="I18" i="31"/>
  <c r="H18" i="31"/>
  <c r="G18" i="31"/>
  <c r="F18" i="31"/>
  <c r="I17" i="31"/>
  <c r="H17" i="31"/>
  <c r="G17" i="31"/>
  <c r="F17" i="31"/>
  <c r="I13" i="31"/>
  <c r="H13" i="31"/>
  <c r="C13" i="31"/>
  <c r="G13" i="31" s="1"/>
  <c r="B13" i="31"/>
  <c r="I12" i="31"/>
  <c r="H12" i="31"/>
  <c r="G12" i="31"/>
  <c r="F12" i="31"/>
  <c r="I11" i="31"/>
  <c r="H11" i="31"/>
  <c r="H20" i="31" s="1"/>
  <c r="G11" i="31"/>
  <c r="E11" i="31"/>
  <c r="E20" i="31" s="1"/>
  <c r="D11" i="31"/>
  <c r="D20" i="31" s="1"/>
  <c r="D33" i="31" s="1"/>
  <c r="B11" i="31"/>
  <c r="F11" i="31" s="1"/>
  <c r="F13" i="31" l="1"/>
  <c r="G79" i="31"/>
  <c r="G32" i="31"/>
  <c r="G70" i="31"/>
  <c r="B78" i="31"/>
  <c r="F78" i="31" s="1"/>
  <c r="G81" i="31"/>
  <c r="G73" i="31"/>
  <c r="B59" i="31"/>
  <c r="F59" i="31" s="1"/>
  <c r="F72" i="31"/>
  <c r="C78" i="31"/>
  <c r="F20" i="31"/>
  <c r="C59" i="31"/>
  <c r="F80" i="31"/>
  <c r="C69" i="31"/>
  <c r="G69" i="31" s="1"/>
  <c r="F115" i="31"/>
  <c r="F71" i="31"/>
  <c r="G74" i="31"/>
  <c r="F82" i="31"/>
  <c r="H33" i="31"/>
  <c r="E61" i="31"/>
  <c r="I61" i="31" s="1"/>
  <c r="I48" i="31"/>
  <c r="I115" i="31"/>
  <c r="E89" i="31"/>
  <c r="G33" i="31"/>
  <c r="F32" i="31"/>
  <c r="B75" i="31"/>
  <c r="C117" i="31"/>
  <c r="G103" i="31"/>
  <c r="D117" i="31"/>
  <c r="H117" i="31" s="1"/>
  <c r="E33" i="31"/>
  <c r="I33" i="31" s="1"/>
  <c r="I20" i="31"/>
  <c r="B117" i="31"/>
  <c r="F103" i="31"/>
  <c r="I32" i="31"/>
  <c r="E117" i="31"/>
  <c r="G48" i="31"/>
  <c r="C61" i="31"/>
  <c r="D61" i="31"/>
  <c r="H48" i="31"/>
  <c r="F48" i="31"/>
  <c r="H59" i="31"/>
  <c r="C87" i="31"/>
  <c r="H41" i="31"/>
  <c r="H50" i="31"/>
  <c r="D75" i="31"/>
  <c r="D87" i="31"/>
  <c r="H87" i="31" s="1"/>
  <c r="H103" i="31"/>
  <c r="H106" i="31"/>
  <c r="B87" i="31"/>
  <c r="F87" i="31" s="1"/>
  <c r="I41" i="31"/>
  <c r="I50" i="31"/>
  <c r="I103" i="31"/>
  <c r="I106" i="31"/>
  <c r="F23" i="31"/>
  <c r="F70" i="31"/>
  <c r="F97" i="31"/>
  <c r="G20" i="31"/>
  <c r="G23" i="31"/>
  <c r="G97" i="31"/>
  <c r="H23" i="31"/>
  <c r="C118" i="29"/>
  <c r="E118" i="29"/>
  <c r="D118" i="29"/>
  <c r="H118" i="29" s="1"/>
  <c r="W95" i="46"/>
  <c r="W93" i="46"/>
  <c r="W91" i="46"/>
  <c r="W89" i="46"/>
  <c r="I36" i="56"/>
  <c r="I33" i="56"/>
  <c r="C75" i="31" l="1"/>
  <c r="G59" i="31"/>
  <c r="B61" i="31"/>
  <c r="G61" i="31" s="1"/>
  <c r="F69" i="31"/>
  <c r="G78" i="31"/>
  <c r="F117" i="31"/>
  <c r="H75" i="31"/>
  <c r="D89" i="31"/>
  <c r="H89" i="31" s="1"/>
  <c r="H61" i="31"/>
  <c r="I89" i="31"/>
  <c r="I75" i="31"/>
  <c r="G87" i="31"/>
  <c r="G75" i="31"/>
  <c r="C89" i="31"/>
  <c r="G89" i="31" s="1"/>
  <c r="I117" i="31"/>
  <c r="G117" i="31"/>
  <c r="F75" i="31"/>
  <c r="B89" i="31"/>
  <c r="F61" i="31"/>
  <c r="I87" i="31"/>
  <c r="B118" i="29"/>
  <c r="F118" i="29" s="1"/>
  <c r="I118" i="29"/>
  <c r="W97" i="46"/>
  <c r="AC36" i="56"/>
  <c r="U30" i="56"/>
  <c r="U16" i="56"/>
  <c r="F89" i="31" l="1"/>
  <c r="G118" i="29"/>
  <c r="P30" i="56"/>
  <c r="P28" i="56"/>
  <c r="P26" i="56"/>
  <c r="P24" i="56"/>
  <c r="P22" i="56"/>
  <c r="P20" i="56"/>
  <c r="P18" i="56"/>
  <c r="P16" i="56"/>
  <c r="K16" i="56"/>
  <c r="B132" i="41" l="1"/>
  <c r="B125" i="41"/>
  <c r="E124" i="41"/>
  <c r="B134" i="41"/>
  <c r="E130" i="41"/>
  <c r="E122" i="41"/>
  <c r="D122" i="41"/>
  <c r="D124" i="41"/>
  <c r="B127" i="41"/>
  <c r="C127" i="41"/>
  <c r="D127" i="41"/>
  <c r="E127" i="41"/>
  <c r="B128" i="41"/>
  <c r="C128" i="41"/>
  <c r="D128" i="41"/>
  <c r="E128" i="41"/>
  <c r="D130" i="41"/>
  <c r="D132" i="41"/>
  <c r="E132" i="41"/>
  <c r="D134" i="41"/>
  <c r="B135" i="41"/>
  <c r="C135" i="41"/>
  <c r="D135" i="41"/>
  <c r="E135" i="41"/>
  <c r="B136" i="41"/>
  <c r="C136" i="41"/>
  <c r="D136" i="41"/>
  <c r="E136" i="41"/>
  <c r="B137" i="41"/>
  <c r="C137" i="41"/>
  <c r="D137" i="41"/>
  <c r="E137" i="41"/>
  <c r="B139" i="41"/>
  <c r="C139" i="41"/>
  <c r="D139" i="41"/>
  <c r="E139" i="41"/>
  <c r="K13" i="34"/>
  <c r="E134" i="41" l="1"/>
  <c r="Q91" i="47"/>
  <c r="G87" i="49"/>
  <c r="C121" i="41"/>
  <c r="C133" i="41"/>
  <c r="C122" i="41"/>
  <c r="C132" i="41"/>
  <c r="C124" i="41"/>
  <c r="C130" i="41"/>
  <c r="C125" i="41"/>
  <c r="C131" i="41"/>
  <c r="C123" i="41"/>
  <c r="B131" i="41"/>
  <c r="C134" i="41"/>
  <c r="B122" i="41"/>
  <c r="B133" i="41"/>
  <c r="B124" i="41"/>
  <c r="B121" i="41"/>
  <c r="B130" i="41"/>
  <c r="B123" i="41"/>
  <c r="E129" i="41"/>
  <c r="D120" i="41"/>
  <c r="E133" i="41"/>
  <c r="E131" i="41"/>
  <c r="E125" i="41"/>
  <c r="E123" i="41"/>
  <c r="E121" i="41"/>
  <c r="D133" i="41"/>
  <c r="D131" i="41"/>
  <c r="D125" i="41"/>
  <c r="D123" i="41"/>
  <c r="D121" i="41"/>
  <c r="G62" i="46"/>
  <c r="E52" i="47"/>
  <c r="I48" i="47"/>
  <c r="E48" i="47"/>
  <c r="J20" i="47"/>
  <c r="I18" i="47"/>
  <c r="B133" i="28"/>
  <c r="E64" i="47"/>
  <c r="AA61" i="47" s="1"/>
  <c r="Q87" i="47"/>
  <c r="W85" i="46"/>
  <c r="AE89" i="46"/>
  <c r="B133" i="40"/>
  <c r="B131" i="40"/>
  <c r="B129" i="40"/>
  <c r="B125" i="40"/>
  <c r="B123" i="40"/>
  <c r="B121" i="40"/>
  <c r="B134" i="38"/>
  <c r="D124" i="38"/>
  <c r="B123" i="38"/>
  <c r="C124" i="37"/>
  <c r="C122" i="37"/>
  <c r="I16" i="47"/>
  <c r="I18" i="55" s="1"/>
  <c r="C133" i="32"/>
  <c r="B133" i="32"/>
  <c r="S93" i="46"/>
  <c r="S112" i="46" s="1"/>
  <c r="B130" i="32"/>
  <c r="C129" i="32"/>
  <c r="B125" i="32"/>
  <c r="B124" i="32"/>
  <c r="C122" i="32"/>
  <c r="C121" i="32"/>
  <c r="J24" i="47"/>
  <c r="H24" i="49"/>
  <c r="C133" i="31"/>
  <c r="B130" i="31"/>
  <c r="B124" i="31"/>
  <c r="B122" i="31"/>
  <c r="I66" i="47"/>
  <c r="C134" i="29"/>
  <c r="Q93" i="47"/>
  <c r="K91" i="46"/>
  <c r="B124" i="29"/>
  <c r="B123" i="29"/>
  <c r="C91" i="46"/>
  <c r="I22" i="47"/>
  <c r="H22" i="46"/>
  <c r="C133" i="27"/>
  <c r="B133" i="27"/>
  <c r="B131" i="27"/>
  <c r="B125" i="27"/>
  <c r="B123" i="27"/>
  <c r="B121" i="27"/>
  <c r="F11" i="24"/>
  <c r="G11" i="24"/>
  <c r="H11" i="24"/>
  <c r="I11" i="24"/>
  <c r="F12" i="24"/>
  <c r="G12" i="24"/>
  <c r="H12" i="24"/>
  <c r="I12" i="24"/>
  <c r="F13" i="24"/>
  <c r="G13" i="24"/>
  <c r="H13" i="24"/>
  <c r="I13" i="24"/>
  <c r="F17" i="24"/>
  <c r="G17" i="24"/>
  <c r="H17" i="24"/>
  <c r="I17" i="24"/>
  <c r="F18" i="24"/>
  <c r="G18" i="24"/>
  <c r="H18" i="24"/>
  <c r="I18" i="24"/>
  <c r="F19" i="24"/>
  <c r="F20" i="24" s="1"/>
  <c r="G19" i="24"/>
  <c r="H19" i="24"/>
  <c r="H20" i="24" s="1"/>
  <c r="I19" i="24"/>
  <c r="G20" i="24"/>
  <c r="I20" i="24"/>
  <c r="F23" i="24"/>
  <c r="G23" i="24"/>
  <c r="H23" i="24"/>
  <c r="I23" i="24"/>
  <c r="F24" i="24"/>
  <c r="G24" i="24"/>
  <c r="H24" i="24"/>
  <c r="I24" i="24"/>
  <c r="F25" i="24"/>
  <c r="G25" i="24"/>
  <c r="H25" i="24"/>
  <c r="I25" i="24"/>
  <c r="F26" i="24"/>
  <c r="G26" i="24"/>
  <c r="H26" i="24"/>
  <c r="I26" i="24"/>
  <c r="F27" i="24"/>
  <c r="G27" i="24"/>
  <c r="H27" i="24"/>
  <c r="I27" i="24"/>
  <c r="F28" i="24"/>
  <c r="G28" i="24"/>
  <c r="H28" i="24"/>
  <c r="I28" i="24"/>
  <c r="F32" i="24"/>
  <c r="G32" i="24"/>
  <c r="H32" i="24"/>
  <c r="I32" i="24"/>
  <c r="F33" i="24"/>
  <c r="G33" i="24"/>
  <c r="H33" i="24"/>
  <c r="I33" i="24"/>
  <c r="F41" i="24"/>
  <c r="G41" i="24"/>
  <c r="H41" i="24"/>
  <c r="I41" i="24"/>
  <c r="F42" i="24"/>
  <c r="G42" i="24"/>
  <c r="H42" i="24"/>
  <c r="I42" i="24"/>
  <c r="F43" i="24"/>
  <c r="G43" i="24"/>
  <c r="H43" i="24"/>
  <c r="I43" i="24"/>
  <c r="F44" i="24"/>
  <c r="G44" i="24"/>
  <c r="H44" i="24"/>
  <c r="I44" i="24"/>
  <c r="F45" i="24"/>
  <c r="G45" i="24"/>
  <c r="H45" i="24"/>
  <c r="I45" i="24"/>
  <c r="F46" i="24"/>
  <c r="G46" i="24"/>
  <c r="H46" i="24"/>
  <c r="I46" i="24"/>
  <c r="F47" i="24"/>
  <c r="G47" i="24"/>
  <c r="H47" i="24"/>
  <c r="I47" i="24"/>
  <c r="F48" i="24"/>
  <c r="G48" i="24"/>
  <c r="H48" i="24"/>
  <c r="I48" i="24"/>
  <c r="F50" i="24"/>
  <c r="G50" i="24"/>
  <c r="H50" i="24"/>
  <c r="I50" i="24"/>
  <c r="F51" i="24"/>
  <c r="G51" i="24"/>
  <c r="H51" i="24"/>
  <c r="I51" i="24"/>
  <c r="F52" i="24"/>
  <c r="G52" i="24"/>
  <c r="H52" i="24"/>
  <c r="I52" i="24"/>
  <c r="F53" i="24"/>
  <c r="G53" i="24"/>
  <c r="H53" i="24"/>
  <c r="I53" i="24"/>
  <c r="F54" i="24"/>
  <c r="G54" i="24"/>
  <c r="H54" i="24"/>
  <c r="I54" i="24"/>
  <c r="F55" i="24"/>
  <c r="G55" i="24"/>
  <c r="H55" i="24"/>
  <c r="I55" i="24"/>
  <c r="F59" i="24"/>
  <c r="G59" i="24"/>
  <c r="H59" i="24"/>
  <c r="I59" i="24"/>
  <c r="F61" i="24"/>
  <c r="G61" i="24"/>
  <c r="H61" i="24"/>
  <c r="I61" i="24"/>
  <c r="B69" i="24"/>
  <c r="D69" i="24"/>
  <c r="E69" i="24"/>
  <c r="I69" i="24" s="1"/>
  <c r="B70" i="24"/>
  <c r="C70" i="24"/>
  <c r="C69" i="24" s="1"/>
  <c r="D70" i="24"/>
  <c r="E70" i="24"/>
  <c r="F70" i="24"/>
  <c r="H70" i="24"/>
  <c r="I70" i="24"/>
  <c r="B71" i="24"/>
  <c r="C71" i="24"/>
  <c r="G71" i="24" s="1"/>
  <c r="D71" i="24"/>
  <c r="E71" i="24"/>
  <c r="F71" i="24"/>
  <c r="H71" i="24"/>
  <c r="I71" i="24"/>
  <c r="B72" i="24"/>
  <c r="C72" i="24"/>
  <c r="G72" i="24" s="1"/>
  <c r="D72" i="24"/>
  <c r="E72" i="24"/>
  <c r="F72" i="24"/>
  <c r="H72" i="24"/>
  <c r="I72" i="24"/>
  <c r="B73" i="24"/>
  <c r="C73" i="24"/>
  <c r="G73" i="24" s="1"/>
  <c r="D73" i="24"/>
  <c r="E73" i="24"/>
  <c r="F73" i="24"/>
  <c r="H73" i="24"/>
  <c r="I73" i="24"/>
  <c r="B74" i="24"/>
  <c r="C74" i="24"/>
  <c r="G74" i="24" s="1"/>
  <c r="D74" i="24"/>
  <c r="E74" i="24"/>
  <c r="F74" i="24"/>
  <c r="H74" i="24"/>
  <c r="I74" i="24"/>
  <c r="B78" i="24"/>
  <c r="C78" i="24"/>
  <c r="D78" i="24"/>
  <c r="B79" i="24"/>
  <c r="C79" i="24"/>
  <c r="D79" i="24"/>
  <c r="H79" i="24" s="1"/>
  <c r="E79" i="24"/>
  <c r="E78" i="24" s="1"/>
  <c r="I78" i="24" s="1"/>
  <c r="F79" i="24"/>
  <c r="G79" i="24"/>
  <c r="I79" i="24"/>
  <c r="B80" i="24"/>
  <c r="C80" i="24"/>
  <c r="D80" i="24"/>
  <c r="H80" i="24" s="1"/>
  <c r="E80" i="24"/>
  <c r="F80" i="24"/>
  <c r="G80" i="24"/>
  <c r="I80" i="24"/>
  <c r="B81" i="24"/>
  <c r="C81" i="24"/>
  <c r="D81" i="24"/>
  <c r="H81" i="24" s="1"/>
  <c r="E81" i="24"/>
  <c r="F81" i="24"/>
  <c r="G81" i="24"/>
  <c r="I81" i="24"/>
  <c r="B82" i="24"/>
  <c r="C82" i="24"/>
  <c r="D82" i="24"/>
  <c r="H82" i="24" s="1"/>
  <c r="E82" i="24"/>
  <c r="F82" i="24"/>
  <c r="G82" i="24"/>
  <c r="I82" i="24"/>
  <c r="B83" i="24"/>
  <c r="C83" i="24"/>
  <c r="D83" i="24"/>
  <c r="H83" i="24" s="1"/>
  <c r="E83" i="24"/>
  <c r="F83" i="24"/>
  <c r="G83" i="24"/>
  <c r="I83" i="24"/>
  <c r="F97" i="24"/>
  <c r="G97" i="24"/>
  <c r="H97" i="24"/>
  <c r="I97" i="24"/>
  <c r="F98" i="24"/>
  <c r="G98" i="24"/>
  <c r="H98" i="24"/>
  <c r="I98" i="24"/>
  <c r="F99" i="24"/>
  <c r="G99" i="24"/>
  <c r="H99" i="24"/>
  <c r="I99" i="24"/>
  <c r="F100" i="24"/>
  <c r="G100" i="24"/>
  <c r="H100" i="24"/>
  <c r="I100" i="24"/>
  <c r="F101" i="24"/>
  <c r="G101" i="24"/>
  <c r="H101" i="24"/>
  <c r="I101" i="24"/>
  <c r="F102" i="24"/>
  <c r="G102" i="24"/>
  <c r="H102" i="24"/>
  <c r="I102" i="24"/>
  <c r="F103" i="24"/>
  <c r="G103" i="24"/>
  <c r="H103" i="24"/>
  <c r="I103" i="24"/>
  <c r="F106" i="24"/>
  <c r="G106" i="24"/>
  <c r="H106" i="24"/>
  <c r="I106" i="24"/>
  <c r="F107" i="24"/>
  <c r="G107" i="24"/>
  <c r="H107" i="24"/>
  <c r="I107" i="24"/>
  <c r="F108" i="24"/>
  <c r="G108" i="24"/>
  <c r="H108" i="24"/>
  <c r="I108" i="24"/>
  <c r="F109" i="24"/>
  <c r="G109" i="24"/>
  <c r="H109" i="24"/>
  <c r="I109" i="24"/>
  <c r="F110" i="24"/>
  <c r="G110" i="24"/>
  <c r="H110" i="24"/>
  <c r="I110" i="24"/>
  <c r="F111" i="24"/>
  <c r="G111" i="24"/>
  <c r="H111" i="24"/>
  <c r="I111" i="24"/>
  <c r="F115" i="24"/>
  <c r="G115" i="24"/>
  <c r="H115" i="24"/>
  <c r="I115" i="24"/>
  <c r="F117" i="24"/>
  <c r="G117" i="24"/>
  <c r="H117" i="24"/>
  <c r="I117" i="24"/>
  <c r="G97" i="49"/>
  <c r="E99" i="47"/>
  <c r="H28" i="49"/>
  <c r="K30" i="56"/>
  <c r="J47" i="57" s="1"/>
  <c r="K28" i="56"/>
  <c r="K26" i="56"/>
  <c r="K24" i="56"/>
  <c r="K22" i="56"/>
  <c r="C47" i="57" s="1"/>
  <c r="K20" i="56"/>
  <c r="E47" i="57" s="1"/>
  <c r="K18" i="56"/>
  <c r="D47" i="57" s="1"/>
  <c r="F30" i="56"/>
  <c r="F28" i="56"/>
  <c r="F26" i="56"/>
  <c r="F24" i="56"/>
  <c r="F22" i="56"/>
  <c r="F27" i="57" s="1"/>
  <c r="F20" i="56"/>
  <c r="C27" i="57" s="1"/>
  <c r="F18" i="56"/>
  <c r="F16" i="56"/>
  <c r="G26" i="49"/>
  <c r="G105" i="51"/>
  <c r="T30" i="56"/>
  <c r="T28" i="56"/>
  <c r="T26" i="56"/>
  <c r="T24" i="56"/>
  <c r="T22" i="56"/>
  <c r="T20" i="56"/>
  <c r="T18" i="56"/>
  <c r="T16" i="56"/>
  <c r="O30" i="56"/>
  <c r="O28" i="56"/>
  <c r="O26" i="56"/>
  <c r="O24" i="56"/>
  <c r="O22" i="56"/>
  <c r="O20" i="56"/>
  <c r="O18" i="56"/>
  <c r="O16" i="56"/>
  <c r="J30" i="56"/>
  <c r="J28" i="56"/>
  <c r="J26" i="56"/>
  <c r="F46" i="57" s="1"/>
  <c r="J24" i="56"/>
  <c r="J22" i="56"/>
  <c r="C46" i="57" s="1"/>
  <c r="J20" i="56"/>
  <c r="J18" i="56"/>
  <c r="D46" i="57" s="1"/>
  <c r="J16" i="56"/>
  <c r="B46" i="57" s="1"/>
  <c r="E30" i="56"/>
  <c r="E28" i="56"/>
  <c r="E26" i="56"/>
  <c r="G26" i="57" s="1"/>
  <c r="E24" i="56"/>
  <c r="E26" i="57" s="1"/>
  <c r="E22" i="56"/>
  <c r="F26" i="57" s="1"/>
  <c r="E20" i="56"/>
  <c r="E18" i="56"/>
  <c r="E16" i="56"/>
  <c r="N28" i="57"/>
  <c r="N27" i="57"/>
  <c r="N26" i="57"/>
  <c r="N25" i="57"/>
  <c r="N24" i="57"/>
  <c r="N23" i="57"/>
  <c r="N22" i="57"/>
  <c r="N11" i="57"/>
  <c r="N10" i="57"/>
  <c r="N9" i="57"/>
  <c r="N8" i="57"/>
  <c r="N7" i="57"/>
  <c r="X6" i="57"/>
  <c r="Y47" i="46"/>
  <c r="X111" i="46"/>
  <c r="P112" i="46"/>
  <c r="K74" i="47"/>
  <c r="K95" i="47"/>
  <c r="F294" i="51"/>
  <c r="D133" i="51"/>
  <c r="K48" i="47"/>
  <c r="F104" i="51"/>
  <c r="N30" i="59"/>
  <c r="K30" i="59"/>
  <c r="H30" i="59"/>
  <c r="E30" i="59"/>
  <c r="N28" i="59"/>
  <c r="K28" i="59"/>
  <c r="H28" i="59"/>
  <c r="E28" i="59"/>
  <c r="N26" i="59"/>
  <c r="K26" i="59"/>
  <c r="K27" i="59" s="1"/>
  <c r="H26" i="59"/>
  <c r="H27" i="59" s="1"/>
  <c r="C51" i="62" s="1"/>
  <c r="E26" i="59"/>
  <c r="E27" i="59" s="1"/>
  <c r="C34" i="62" s="1"/>
  <c r="N24" i="59"/>
  <c r="K24" i="59"/>
  <c r="H24" i="59"/>
  <c r="E24" i="59"/>
  <c r="N22" i="59"/>
  <c r="N23" i="59" s="1"/>
  <c r="K22" i="59"/>
  <c r="K23" i="59" s="1"/>
  <c r="H22" i="59"/>
  <c r="H23" i="59" s="1"/>
  <c r="C49" i="62" s="1"/>
  <c r="E22" i="59"/>
  <c r="E23" i="59" s="1"/>
  <c r="C32" i="62" s="1"/>
  <c r="N20" i="59"/>
  <c r="K20" i="59"/>
  <c r="H20" i="59"/>
  <c r="C42" i="62" s="1"/>
  <c r="E20" i="59"/>
  <c r="N18" i="59"/>
  <c r="N19" i="59" s="1"/>
  <c r="K18" i="59"/>
  <c r="K19" i="59" s="1"/>
  <c r="H18" i="59"/>
  <c r="E42" i="62" s="1"/>
  <c r="E18" i="59"/>
  <c r="E19" i="59" s="1"/>
  <c r="C30" i="62" s="1"/>
  <c r="N16" i="59"/>
  <c r="K16" i="59"/>
  <c r="H16" i="59"/>
  <c r="B42" i="62" s="1"/>
  <c r="E16" i="59"/>
  <c r="AF99" i="46"/>
  <c r="AF97" i="46"/>
  <c r="AF95" i="46"/>
  <c r="AF93" i="46"/>
  <c r="AF91" i="46"/>
  <c r="AF89" i="46"/>
  <c r="AF110" i="46" s="1"/>
  <c r="AF87" i="46"/>
  <c r="AF109" i="46" s="1"/>
  <c r="AF85" i="46"/>
  <c r="AB99" i="46"/>
  <c r="AB97" i="46"/>
  <c r="AC97" i="46" s="1"/>
  <c r="AB95" i="46"/>
  <c r="AC95" i="46" s="1"/>
  <c r="AB93" i="46"/>
  <c r="AB91" i="46"/>
  <c r="AB89" i="46"/>
  <c r="AB87" i="46"/>
  <c r="AB88" i="46" s="1"/>
  <c r="AB85" i="46"/>
  <c r="X96" i="46"/>
  <c r="X90" i="46"/>
  <c r="AF76" i="46"/>
  <c r="AF74" i="46"/>
  <c r="AF72" i="46"/>
  <c r="AF70" i="46"/>
  <c r="AG70" i="46" s="1"/>
  <c r="AF68" i="46"/>
  <c r="AS68" i="46" s="1"/>
  <c r="AF66" i="46"/>
  <c r="AF64" i="46"/>
  <c r="AG64" i="46" s="1"/>
  <c r="AF62" i="46"/>
  <c r="AB76" i="46"/>
  <c r="AB74" i="46"/>
  <c r="AB72" i="46"/>
  <c r="AB70" i="46"/>
  <c r="AB68" i="46"/>
  <c r="AB66" i="46"/>
  <c r="AB64" i="46"/>
  <c r="AB62" i="46"/>
  <c r="AF53" i="46"/>
  <c r="AF51" i="46"/>
  <c r="AF49" i="46"/>
  <c r="AF47" i="46"/>
  <c r="AG47" i="46" s="1"/>
  <c r="AF45" i="46"/>
  <c r="AG45" i="46" s="1"/>
  <c r="AF43" i="46"/>
  <c r="AF41" i="46"/>
  <c r="AS41" i="46" s="1"/>
  <c r="AF39" i="46"/>
  <c r="AB53" i="46"/>
  <c r="AB51" i="46"/>
  <c r="AC51" i="46" s="1"/>
  <c r="AB49" i="46"/>
  <c r="AC49" i="46" s="1"/>
  <c r="AB47" i="46"/>
  <c r="AB45" i="46"/>
  <c r="AC45" i="46" s="1"/>
  <c r="AB43" i="46"/>
  <c r="AB41" i="46"/>
  <c r="AB39" i="46"/>
  <c r="X42" i="46"/>
  <c r="H53" i="46"/>
  <c r="D53" i="46"/>
  <c r="S93" i="47"/>
  <c r="S89" i="47"/>
  <c r="N99" i="47"/>
  <c r="AE95" i="49"/>
  <c r="O89" i="47"/>
  <c r="J117" i="47"/>
  <c r="G195" i="51" s="1"/>
  <c r="E276" i="51"/>
  <c r="J294" i="51"/>
  <c r="G294" i="51"/>
  <c r="B294" i="51"/>
  <c r="AG76" i="49"/>
  <c r="AS72" i="46"/>
  <c r="AE76" i="49"/>
  <c r="N76" i="47"/>
  <c r="O76" i="47" s="1"/>
  <c r="O72" i="47"/>
  <c r="O68" i="47"/>
  <c r="G351" i="51"/>
  <c r="B351" i="51"/>
  <c r="D351" i="51"/>
  <c r="AG49" i="49"/>
  <c r="S44" i="47"/>
  <c r="N52" i="47"/>
  <c r="O50" i="47"/>
  <c r="O44" i="47"/>
  <c r="B133" i="51"/>
  <c r="B130" i="33"/>
  <c r="C120" i="33"/>
  <c r="C133" i="35"/>
  <c r="C139" i="35"/>
  <c r="C137" i="35"/>
  <c r="C136" i="35"/>
  <c r="C135" i="35"/>
  <c r="C128" i="35"/>
  <c r="C127" i="35"/>
  <c r="C124" i="35"/>
  <c r="C121" i="35"/>
  <c r="C132" i="35"/>
  <c r="C130" i="35"/>
  <c r="C131" i="35"/>
  <c r="C122" i="35"/>
  <c r="F355" i="51"/>
  <c r="I351" i="51"/>
  <c r="A351" i="51"/>
  <c r="F337" i="51"/>
  <c r="I333" i="51"/>
  <c r="A333" i="51"/>
  <c r="F318" i="51"/>
  <c r="I314" i="51"/>
  <c r="A314" i="51"/>
  <c r="F298" i="51"/>
  <c r="I294" i="51"/>
  <c r="A294" i="51"/>
  <c r="F280" i="51"/>
  <c r="I276" i="51"/>
  <c r="A276" i="51"/>
  <c r="F261" i="51"/>
  <c r="I257" i="51"/>
  <c r="A257" i="51"/>
  <c r="I40" i="47"/>
  <c r="B134" i="51" s="1"/>
  <c r="Q40" i="47"/>
  <c r="AI40" i="47" s="1"/>
  <c r="N6" i="57"/>
  <c r="D26" i="57"/>
  <c r="Y24" i="56"/>
  <c r="F6" i="57" s="1"/>
  <c r="Y20" i="56"/>
  <c r="D6" i="57" s="1"/>
  <c r="F276" i="51"/>
  <c r="E351" i="51"/>
  <c r="J351" i="51"/>
  <c r="P50" i="46"/>
  <c r="T50" i="46"/>
  <c r="X73" i="46"/>
  <c r="E31" i="50"/>
  <c r="D31" i="50"/>
  <c r="C31" i="50"/>
  <c r="B31" i="50"/>
  <c r="E30" i="50"/>
  <c r="D30" i="50"/>
  <c r="C30" i="50"/>
  <c r="B30" i="50"/>
  <c r="E29" i="50"/>
  <c r="D29" i="50"/>
  <c r="C29" i="50"/>
  <c r="B29" i="50"/>
  <c r="D14" i="50"/>
  <c r="D15" i="50"/>
  <c r="D16" i="50"/>
  <c r="D18" i="50"/>
  <c r="M53" i="55" s="1"/>
  <c r="D19" i="50"/>
  <c r="E111" i="50"/>
  <c r="C111" i="50"/>
  <c r="E110" i="50"/>
  <c r="C110" i="50"/>
  <c r="E109" i="50"/>
  <c r="C109" i="50"/>
  <c r="E108" i="50"/>
  <c r="C108" i="50"/>
  <c r="E107" i="50"/>
  <c r="C107" i="50"/>
  <c r="E102" i="50"/>
  <c r="C102" i="50"/>
  <c r="E101" i="50"/>
  <c r="C101" i="50"/>
  <c r="E100" i="50"/>
  <c r="C100" i="50"/>
  <c r="E99" i="50"/>
  <c r="C99" i="50"/>
  <c r="E98" i="50"/>
  <c r="C98" i="50"/>
  <c r="E55" i="50"/>
  <c r="C55" i="50"/>
  <c r="E54" i="50"/>
  <c r="C54" i="50"/>
  <c r="E53" i="50"/>
  <c r="C53" i="50"/>
  <c r="E52" i="50"/>
  <c r="C52" i="50"/>
  <c r="E51" i="50"/>
  <c r="C51" i="50"/>
  <c r="E47" i="50"/>
  <c r="C47" i="50"/>
  <c r="E46" i="50"/>
  <c r="C46" i="50"/>
  <c r="E45" i="50"/>
  <c r="C45" i="50"/>
  <c r="E44" i="50"/>
  <c r="C44" i="50"/>
  <c r="E43" i="50"/>
  <c r="C43" i="50"/>
  <c r="E42" i="50"/>
  <c r="C42" i="50"/>
  <c r="E28" i="50"/>
  <c r="C28" i="50"/>
  <c r="R30" i="47" s="1"/>
  <c r="E27" i="50"/>
  <c r="X30" i="54" s="1"/>
  <c r="C27" i="50"/>
  <c r="X30" i="46" s="1"/>
  <c r="E26" i="50"/>
  <c r="T30" i="54" s="1"/>
  <c r="C26" i="50"/>
  <c r="T30" i="46" s="1"/>
  <c r="E25" i="50"/>
  <c r="P30" i="54" s="1"/>
  <c r="C25" i="50"/>
  <c r="P30" i="46" s="1"/>
  <c r="E24" i="50"/>
  <c r="L30" i="54" s="1"/>
  <c r="C24" i="50"/>
  <c r="E19" i="50"/>
  <c r="C19" i="50"/>
  <c r="E18" i="50"/>
  <c r="N31" i="53" s="1"/>
  <c r="C18" i="50"/>
  <c r="P30" i="49" s="1"/>
  <c r="E17" i="50"/>
  <c r="I17" i="50" s="1"/>
  <c r="C17" i="50"/>
  <c r="E16" i="50"/>
  <c r="C16" i="50"/>
  <c r="E15" i="50"/>
  <c r="C15" i="50"/>
  <c r="E14" i="50"/>
  <c r="C14" i="50"/>
  <c r="E13" i="50"/>
  <c r="H30" i="54" s="1"/>
  <c r="E12" i="50"/>
  <c r="D30" i="54" s="1"/>
  <c r="C12" i="50"/>
  <c r="D111" i="50"/>
  <c r="B111" i="50"/>
  <c r="Q78" i="47" s="1"/>
  <c r="D102" i="50"/>
  <c r="B102" i="50"/>
  <c r="D100" i="50"/>
  <c r="D55" i="50"/>
  <c r="B55" i="50"/>
  <c r="AE53" i="46" s="1"/>
  <c r="D47" i="50"/>
  <c r="B47" i="50"/>
  <c r="D45" i="50"/>
  <c r="B45" i="50"/>
  <c r="D44" i="50"/>
  <c r="D28" i="50"/>
  <c r="B28" i="50"/>
  <c r="S30" i="49" s="1"/>
  <c r="B19" i="50"/>
  <c r="D17" i="50"/>
  <c r="B17" i="50"/>
  <c r="E139" i="33"/>
  <c r="D139" i="33"/>
  <c r="C139" i="33"/>
  <c r="B139" i="33"/>
  <c r="E137" i="33"/>
  <c r="D137" i="33"/>
  <c r="C137" i="33"/>
  <c r="B137" i="33"/>
  <c r="E136" i="33"/>
  <c r="D136" i="33"/>
  <c r="C136" i="33"/>
  <c r="B136" i="33"/>
  <c r="E135" i="33"/>
  <c r="D135" i="33"/>
  <c r="C135" i="33"/>
  <c r="B135" i="33"/>
  <c r="E128" i="33"/>
  <c r="D128" i="33"/>
  <c r="C128" i="33"/>
  <c r="B128" i="33"/>
  <c r="E127" i="33"/>
  <c r="D127" i="33"/>
  <c r="C127" i="33"/>
  <c r="B127" i="33"/>
  <c r="E134" i="33"/>
  <c r="C134" i="33"/>
  <c r="B134" i="33"/>
  <c r="B133" i="33"/>
  <c r="C132" i="33"/>
  <c r="D131" i="33"/>
  <c r="B131" i="33"/>
  <c r="E130" i="33"/>
  <c r="C130" i="33"/>
  <c r="E124" i="33"/>
  <c r="D124" i="33"/>
  <c r="C124" i="33"/>
  <c r="B124" i="33"/>
  <c r="B123" i="33"/>
  <c r="E122" i="33"/>
  <c r="D122" i="33"/>
  <c r="C122" i="33"/>
  <c r="D121" i="33"/>
  <c r="B121" i="33"/>
  <c r="E139" i="30"/>
  <c r="D139" i="30"/>
  <c r="C139" i="30"/>
  <c r="B139" i="30"/>
  <c r="E137" i="30"/>
  <c r="D137" i="30"/>
  <c r="C137" i="30"/>
  <c r="B137" i="30"/>
  <c r="E136" i="30"/>
  <c r="D136" i="30"/>
  <c r="C136" i="30"/>
  <c r="B136" i="30"/>
  <c r="E135" i="30"/>
  <c r="D135" i="30"/>
  <c r="C135" i="30"/>
  <c r="B135" i="30"/>
  <c r="E128" i="30"/>
  <c r="D128" i="30"/>
  <c r="C128" i="30"/>
  <c r="B128" i="30"/>
  <c r="E127" i="30"/>
  <c r="D127" i="30"/>
  <c r="C127" i="30"/>
  <c r="B127" i="30"/>
  <c r="I117" i="30"/>
  <c r="H117" i="30"/>
  <c r="G117" i="30"/>
  <c r="F117" i="30"/>
  <c r="I115" i="30"/>
  <c r="H115" i="30"/>
  <c r="G115" i="30"/>
  <c r="F115" i="30"/>
  <c r="I111" i="30"/>
  <c r="H111" i="30"/>
  <c r="G111" i="30"/>
  <c r="F111" i="30"/>
  <c r="I110" i="30"/>
  <c r="H110" i="30"/>
  <c r="G110" i="30"/>
  <c r="F110" i="30"/>
  <c r="I109" i="30"/>
  <c r="H109" i="30"/>
  <c r="G109" i="30"/>
  <c r="F109" i="30"/>
  <c r="I108" i="30"/>
  <c r="H108" i="30"/>
  <c r="G108" i="30"/>
  <c r="F108" i="30"/>
  <c r="I107" i="30"/>
  <c r="H107" i="30"/>
  <c r="G107" i="30"/>
  <c r="F107" i="30"/>
  <c r="I106" i="30"/>
  <c r="H106" i="30"/>
  <c r="G106" i="30"/>
  <c r="F106" i="30"/>
  <c r="I103" i="30"/>
  <c r="H103" i="30"/>
  <c r="G103" i="30"/>
  <c r="F103" i="30"/>
  <c r="I102" i="30"/>
  <c r="H102" i="30"/>
  <c r="G102" i="30"/>
  <c r="F102" i="30"/>
  <c r="I101" i="30"/>
  <c r="H101" i="30"/>
  <c r="G101" i="30"/>
  <c r="F101" i="30"/>
  <c r="I100" i="30"/>
  <c r="H100" i="30"/>
  <c r="G100" i="30"/>
  <c r="F100" i="30"/>
  <c r="I99" i="30"/>
  <c r="H99" i="30"/>
  <c r="G99" i="30"/>
  <c r="F99" i="30"/>
  <c r="I98" i="30"/>
  <c r="H98" i="30"/>
  <c r="G98" i="30"/>
  <c r="F98" i="30"/>
  <c r="I97" i="30"/>
  <c r="H97" i="30"/>
  <c r="G97" i="30"/>
  <c r="F97" i="30"/>
  <c r="E83" i="30"/>
  <c r="E134" i="30" s="1"/>
  <c r="D83" i="30"/>
  <c r="D134" i="30"/>
  <c r="C83" i="30"/>
  <c r="C134" i="30"/>
  <c r="B83" i="30"/>
  <c r="E82" i="30"/>
  <c r="H82" i="30" s="1"/>
  <c r="I82" i="30"/>
  <c r="D82" i="30"/>
  <c r="D133" i="30"/>
  <c r="C82" i="30"/>
  <c r="C133" i="30" s="1"/>
  <c r="B82" i="30"/>
  <c r="E81" i="30"/>
  <c r="E132" i="30" s="1"/>
  <c r="D81" i="30"/>
  <c r="H81" i="30" s="1"/>
  <c r="C81" i="30"/>
  <c r="C132" i="30"/>
  <c r="B81" i="30"/>
  <c r="E80" i="30"/>
  <c r="I80" i="30"/>
  <c r="D80" i="30"/>
  <c r="D131" i="30" s="1"/>
  <c r="C80" i="30"/>
  <c r="C131" i="30" s="1"/>
  <c r="B80" i="30"/>
  <c r="B131" i="30" s="1"/>
  <c r="E79" i="30"/>
  <c r="E130" i="30" s="1"/>
  <c r="D79" i="30"/>
  <c r="D78" i="30" s="1"/>
  <c r="C79" i="30"/>
  <c r="B79" i="30"/>
  <c r="F79" i="30" s="1"/>
  <c r="E74" i="30"/>
  <c r="I74" i="30" s="1"/>
  <c r="D74" i="30"/>
  <c r="D125" i="30"/>
  <c r="C74" i="30"/>
  <c r="C125" i="30"/>
  <c r="B74" i="30"/>
  <c r="E73" i="30"/>
  <c r="I73" i="30" s="1"/>
  <c r="E124" i="30"/>
  <c r="D73" i="30"/>
  <c r="D124" i="30"/>
  <c r="C73" i="30"/>
  <c r="B73" i="30"/>
  <c r="E72" i="30"/>
  <c r="I72" i="30" s="1"/>
  <c r="D72" i="30"/>
  <c r="C72" i="30"/>
  <c r="B72" i="30"/>
  <c r="E71" i="30"/>
  <c r="E122" i="30" s="1"/>
  <c r="D71" i="30"/>
  <c r="H71" i="30" s="1"/>
  <c r="D122" i="30"/>
  <c r="C71" i="30"/>
  <c r="C122" i="30"/>
  <c r="B71" i="30"/>
  <c r="E70" i="30"/>
  <c r="I70" i="30"/>
  <c r="D70" i="30"/>
  <c r="D121" i="30" s="1"/>
  <c r="C70" i="30"/>
  <c r="C121" i="30" s="1"/>
  <c r="B70" i="30"/>
  <c r="B121" i="30" s="1"/>
  <c r="I61" i="30"/>
  <c r="H61" i="30"/>
  <c r="G61" i="30"/>
  <c r="F61" i="30"/>
  <c r="I59" i="30"/>
  <c r="H59" i="30"/>
  <c r="G59" i="30"/>
  <c r="F59" i="30"/>
  <c r="I55" i="30"/>
  <c r="H55" i="30"/>
  <c r="G55" i="30"/>
  <c r="F55" i="30"/>
  <c r="I54" i="30"/>
  <c r="H54" i="30"/>
  <c r="G54" i="30"/>
  <c r="F54" i="30"/>
  <c r="I53" i="30"/>
  <c r="H53" i="30"/>
  <c r="G53" i="30"/>
  <c r="F53" i="30"/>
  <c r="I52" i="30"/>
  <c r="H52" i="30"/>
  <c r="G52" i="30"/>
  <c r="F52" i="30"/>
  <c r="I51" i="30"/>
  <c r="H51" i="30"/>
  <c r="G51" i="30"/>
  <c r="F51" i="30"/>
  <c r="I50" i="30"/>
  <c r="H50" i="30"/>
  <c r="G50" i="30"/>
  <c r="F50" i="30"/>
  <c r="I48" i="30"/>
  <c r="H48" i="30"/>
  <c r="G48" i="30"/>
  <c r="F48" i="30"/>
  <c r="I47" i="30"/>
  <c r="H47" i="30"/>
  <c r="G47" i="30"/>
  <c r="F47" i="30"/>
  <c r="I46" i="30"/>
  <c r="H46" i="30"/>
  <c r="G46" i="30"/>
  <c r="F46" i="30"/>
  <c r="I45" i="30"/>
  <c r="H45" i="30"/>
  <c r="G45" i="30"/>
  <c r="F45" i="30"/>
  <c r="I44" i="30"/>
  <c r="H44" i="30"/>
  <c r="G44" i="30"/>
  <c r="F44" i="30"/>
  <c r="I43" i="30"/>
  <c r="H43" i="30"/>
  <c r="G43" i="30"/>
  <c r="F43" i="30"/>
  <c r="I42" i="30"/>
  <c r="H42" i="30"/>
  <c r="G42" i="30"/>
  <c r="F42" i="30"/>
  <c r="I41" i="30"/>
  <c r="H41" i="30"/>
  <c r="G41" i="30"/>
  <c r="F41" i="30"/>
  <c r="I33" i="30"/>
  <c r="H33" i="30"/>
  <c r="G33" i="30"/>
  <c r="F33" i="30"/>
  <c r="I32" i="30"/>
  <c r="H32" i="30"/>
  <c r="G32" i="30"/>
  <c r="F32" i="30"/>
  <c r="I28" i="30"/>
  <c r="H28" i="30"/>
  <c r="G28" i="30"/>
  <c r="F28" i="30"/>
  <c r="I27" i="30"/>
  <c r="H27" i="30"/>
  <c r="G27" i="30"/>
  <c r="F27" i="30"/>
  <c r="I26" i="30"/>
  <c r="H26" i="30"/>
  <c r="G26" i="30"/>
  <c r="F26" i="30"/>
  <c r="I25" i="30"/>
  <c r="H25" i="30"/>
  <c r="G25" i="30"/>
  <c r="F25" i="30"/>
  <c r="I24" i="30"/>
  <c r="H24" i="30"/>
  <c r="G24" i="30"/>
  <c r="F24" i="30"/>
  <c r="I23" i="30"/>
  <c r="H23" i="30"/>
  <c r="G23" i="30"/>
  <c r="F23" i="30"/>
  <c r="I20" i="30"/>
  <c r="G20" i="30"/>
  <c r="I19" i="30"/>
  <c r="H19" i="30"/>
  <c r="G19" i="30"/>
  <c r="F19" i="30"/>
  <c r="I18" i="30"/>
  <c r="H18" i="30"/>
  <c r="G18" i="30"/>
  <c r="F18" i="30"/>
  <c r="I17" i="30"/>
  <c r="H17" i="30"/>
  <c r="G17" i="30"/>
  <c r="F17" i="30"/>
  <c r="I13" i="30"/>
  <c r="H13" i="30"/>
  <c r="G13" i="30"/>
  <c r="F13" i="30"/>
  <c r="I12" i="30"/>
  <c r="H12" i="30"/>
  <c r="G12" i="30"/>
  <c r="F12" i="30"/>
  <c r="I11" i="30"/>
  <c r="H11" i="30"/>
  <c r="H20" i="30" s="1"/>
  <c r="G11" i="30"/>
  <c r="F11" i="30"/>
  <c r="E139" i="28"/>
  <c r="D139" i="28"/>
  <c r="C139" i="28"/>
  <c r="B139" i="28"/>
  <c r="E137" i="28"/>
  <c r="D137" i="28"/>
  <c r="C137" i="28"/>
  <c r="B137" i="28"/>
  <c r="E136" i="28"/>
  <c r="D136" i="28"/>
  <c r="C136" i="28"/>
  <c r="B136" i="28"/>
  <c r="E135" i="28"/>
  <c r="D135" i="28"/>
  <c r="C135" i="28"/>
  <c r="B135" i="28"/>
  <c r="E128" i="28"/>
  <c r="D128" i="28"/>
  <c r="C128" i="28"/>
  <c r="B128" i="28"/>
  <c r="E127" i="28"/>
  <c r="D127" i="28"/>
  <c r="C127" i="28"/>
  <c r="B127" i="28"/>
  <c r="E134" i="28"/>
  <c r="D134" i="28"/>
  <c r="C134" i="28"/>
  <c r="C133" i="28"/>
  <c r="E132" i="28"/>
  <c r="D132" i="28"/>
  <c r="C132" i="28"/>
  <c r="C131" i="28"/>
  <c r="E130" i="28"/>
  <c r="D130" i="28"/>
  <c r="C129" i="28"/>
  <c r="C125" i="28"/>
  <c r="E124" i="28"/>
  <c r="D124" i="28"/>
  <c r="C124" i="28"/>
  <c r="C123" i="28"/>
  <c r="E122" i="28"/>
  <c r="D122" i="28"/>
  <c r="C122" i="28"/>
  <c r="C121" i="28"/>
  <c r="E139" i="38"/>
  <c r="D139" i="38"/>
  <c r="C139" i="38"/>
  <c r="B139" i="38"/>
  <c r="E137" i="38"/>
  <c r="D137" i="38"/>
  <c r="C137" i="38"/>
  <c r="B137" i="38"/>
  <c r="E136" i="38"/>
  <c r="D136" i="38"/>
  <c r="C136" i="38"/>
  <c r="B136" i="38"/>
  <c r="E135" i="38"/>
  <c r="D135" i="38"/>
  <c r="C135" i="38"/>
  <c r="B135" i="38"/>
  <c r="E128" i="38"/>
  <c r="D128" i="38"/>
  <c r="C128" i="38"/>
  <c r="B128" i="38"/>
  <c r="E127" i="38"/>
  <c r="D127" i="38"/>
  <c r="C127" i="38"/>
  <c r="B127" i="38"/>
  <c r="C133" i="38"/>
  <c r="E132" i="38"/>
  <c r="C132" i="38"/>
  <c r="C131" i="38"/>
  <c r="E130" i="38"/>
  <c r="C130" i="38"/>
  <c r="D125" i="38"/>
  <c r="C125" i="38"/>
  <c r="E124" i="38"/>
  <c r="C124" i="38"/>
  <c r="C123" i="38"/>
  <c r="E122" i="38"/>
  <c r="C122" i="38"/>
  <c r="C121" i="38"/>
  <c r="E139" i="36"/>
  <c r="D139" i="36"/>
  <c r="C139" i="36"/>
  <c r="B139" i="36"/>
  <c r="E137" i="36"/>
  <c r="D137" i="36"/>
  <c r="C137" i="36"/>
  <c r="B137" i="36"/>
  <c r="E136" i="36"/>
  <c r="D136" i="36"/>
  <c r="C136" i="36"/>
  <c r="B136" i="36"/>
  <c r="E135" i="36"/>
  <c r="D135" i="36"/>
  <c r="C135" i="36"/>
  <c r="B135" i="36"/>
  <c r="E128" i="36"/>
  <c r="D128" i="36"/>
  <c r="C128" i="36"/>
  <c r="B128" i="36"/>
  <c r="E127" i="36"/>
  <c r="D127" i="36"/>
  <c r="C127" i="36"/>
  <c r="B127" i="36"/>
  <c r="I117" i="36"/>
  <c r="H117" i="36"/>
  <c r="G117" i="36"/>
  <c r="F117" i="36"/>
  <c r="I115" i="36"/>
  <c r="H115" i="36"/>
  <c r="G115" i="36"/>
  <c r="F115" i="36"/>
  <c r="I111" i="36"/>
  <c r="H111" i="36"/>
  <c r="G111" i="36"/>
  <c r="F111" i="36"/>
  <c r="I110" i="36"/>
  <c r="H110" i="36"/>
  <c r="G110" i="36"/>
  <c r="F110" i="36"/>
  <c r="I109" i="36"/>
  <c r="H109" i="36"/>
  <c r="G109" i="36"/>
  <c r="F109" i="36"/>
  <c r="I108" i="36"/>
  <c r="H108" i="36"/>
  <c r="G108" i="36"/>
  <c r="F108" i="36"/>
  <c r="I107" i="36"/>
  <c r="H107" i="36"/>
  <c r="G107" i="36"/>
  <c r="F107" i="36"/>
  <c r="I106" i="36"/>
  <c r="H106" i="36"/>
  <c r="G106" i="36"/>
  <c r="F106" i="36"/>
  <c r="I103" i="36"/>
  <c r="H103" i="36"/>
  <c r="G103" i="36"/>
  <c r="F103" i="36"/>
  <c r="I102" i="36"/>
  <c r="H102" i="36"/>
  <c r="G102" i="36"/>
  <c r="F102" i="36"/>
  <c r="I101" i="36"/>
  <c r="H101" i="36"/>
  <c r="G101" i="36"/>
  <c r="F101" i="36"/>
  <c r="I100" i="36"/>
  <c r="H100" i="36"/>
  <c r="G100" i="36"/>
  <c r="F100" i="36"/>
  <c r="I99" i="36"/>
  <c r="H99" i="36"/>
  <c r="G99" i="36"/>
  <c r="F99" i="36"/>
  <c r="I98" i="36"/>
  <c r="H98" i="36"/>
  <c r="G98" i="36"/>
  <c r="F98" i="36"/>
  <c r="I97" i="36"/>
  <c r="H97" i="36"/>
  <c r="G97" i="36"/>
  <c r="F97" i="36"/>
  <c r="E83" i="36"/>
  <c r="E134" i="36"/>
  <c r="D83" i="36"/>
  <c r="D134" i="36" s="1"/>
  <c r="C83" i="36"/>
  <c r="C134" i="36" s="1"/>
  <c r="B83" i="36"/>
  <c r="F83" i="36" s="1"/>
  <c r="G83" i="36"/>
  <c r="E82" i="36"/>
  <c r="I82" i="36"/>
  <c r="D82" i="36"/>
  <c r="D133" i="36" s="1"/>
  <c r="C82" i="36"/>
  <c r="C133" i="36" s="1"/>
  <c r="B82" i="36"/>
  <c r="E81" i="36"/>
  <c r="E132" i="36"/>
  <c r="D81" i="36"/>
  <c r="D132" i="36" s="1"/>
  <c r="C81" i="36"/>
  <c r="C132" i="36" s="1"/>
  <c r="B81" i="36"/>
  <c r="B132" i="36" s="1"/>
  <c r="E80" i="36"/>
  <c r="I80" i="36" s="1"/>
  <c r="D80" i="36"/>
  <c r="D131" i="36" s="1"/>
  <c r="C80" i="36"/>
  <c r="F80" i="36" s="1"/>
  <c r="C131" i="36"/>
  <c r="B80" i="36"/>
  <c r="E79" i="36"/>
  <c r="E78" i="36" s="1"/>
  <c r="D79" i="36"/>
  <c r="C79" i="36"/>
  <c r="B79" i="36"/>
  <c r="E74" i="36"/>
  <c r="I74" i="36"/>
  <c r="D74" i="36"/>
  <c r="D125" i="36" s="1"/>
  <c r="C74" i="36"/>
  <c r="C125" i="36" s="1"/>
  <c r="B74" i="36"/>
  <c r="E73" i="36"/>
  <c r="D73" i="36"/>
  <c r="C73" i="36"/>
  <c r="C124" i="36"/>
  <c r="B73" i="36"/>
  <c r="E72" i="36"/>
  <c r="E123" i="36" s="1"/>
  <c r="I72" i="36"/>
  <c r="D72" i="36"/>
  <c r="D123" i="36"/>
  <c r="C72" i="36"/>
  <c r="B72" i="36"/>
  <c r="F72" i="36" s="1"/>
  <c r="E71" i="36"/>
  <c r="E122" i="36" s="1"/>
  <c r="D71" i="36"/>
  <c r="D122" i="36" s="1"/>
  <c r="C71" i="36"/>
  <c r="G71" i="36" s="1"/>
  <c r="C122" i="36"/>
  <c r="B71" i="36"/>
  <c r="E70" i="36"/>
  <c r="D70" i="36"/>
  <c r="D121" i="36"/>
  <c r="C70" i="36"/>
  <c r="C121" i="36"/>
  <c r="B70" i="36"/>
  <c r="I61" i="36"/>
  <c r="H61" i="36"/>
  <c r="G61" i="36"/>
  <c r="F61" i="36"/>
  <c r="I59" i="36"/>
  <c r="H59" i="36"/>
  <c r="G59" i="36"/>
  <c r="F59" i="36"/>
  <c r="I55" i="36"/>
  <c r="H55" i="36"/>
  <c r="G55" i="36"/>
  <c r="F55" i="36"/>
  <c r="I54" i="36"/>
  <c r="H54" i="36"/>
  <c r="G54" i="36"/>
  <c r="F54" i="36"/>
  <c r="I53" i="36"/>
  <c r="H53" i="36"/>
  <c r="G53" i="36"/>
  <c r="F53" i="36"/>
  <c r="I52" i="36"/>
  <c r="H52" i="36"/>
  <c r="G52" i="36"/>
  <c r="F52" i="36"/>
  <c r="I51" i="36"/>
  <c r="H51" i="36"/>
  <c r="G51" i="36"/>
  <c r="F51" i="36"/>
  <c r="I50" i="36"/>
  <c r="H50" i="36"/>
  <c r="G50" i="36"/>
  <c r="F50" i="36"/>
  <c r="I48" i="36"/>
  <c r="H48" i="36"/>
  <c r="G48" i="36"/>
  <c r="F48" i="36"/>
  <c r="I47" i="36"/>
  <c r="H47" i="36"/>
  <c r="G47" i="36"/>
  <c r="F47" i="36"/>
  <c r="I46" i="36"/>
  <c r="H46" i="36"/>
  <c r="G46" i="36"/>
  <c r="F46" i="36"/>
  <c r="I45" i="36"/>
  <c r="H45" i="36"/>
  <c r="G45" i="36"/>
  <c r="F45" i="36"/>
  <c r="I44" i="36"/>
  <c r="H44" i="36"/>
  <c r="G44" i="36"/>
  <c r="F44" i="36"/>
  <c r="I43" i="36"/>
  <c r="H43" i="36"/>
  <c r="G43" i="36"/>
  <c r="F43" i="36"/>
  <c r="I42" i="36"/>
  <c r="H42" i="36"/>
  <c r="G42" i="36"/>
  <c r="F42" i="36"/>
  <c r="I41" i="36"/>
  <c r="H41" i="36"/>
  <c r="G41" i="36"/>
  <c r="F41" i="36"/>
  <c r="I33" i="36"/>
  <c r="H33" i="36"/>
  <c r="G33" i="36"/>
  <c r="F33" i="36"/>
  <c r="I32" i="36"/>
  <c r="H32" i="36"/>
  <c r="G32" i="36"/>
  <c r="F32" i="36"/>
  <c r="I28" i="36"/>
  <c r="H28" i="36"/>
  <c r="G28" i="36"/>
  <c r="F28" i="36"/>
  <c r="I27" i="36"/>
  <c r="H27" i="36"/>
  <c r="G27" i="36"/>
  <c r="F27" i="36"/>
  <c r="I26" i="36"/>
  <c r="H26" i="36"/>
  <c r="G26" i="36"/>
  <c r="F26" i="36"/>
  <c r="I25" i="36"/>
  <c r="H25" i="36"/>
  <c r="G25" i="36"/>
  <c r="F25" i="36"/>
  <c r="I24" i="36"/>
  <c r="H24" i="36"/>
  <c r="G24" i="36"/>
  <c r="F24" i="36"/>
  <c r="I23" i="36"/>
  <c r="H23" i="36"/>
  <c r="G23" i="36"/>
  <c r="F23" i="36"/>
  <c r="I20" i="36"/>
  <c r="G20" i="36"/>
  <c r="I19" i="36"/>
  <c r="H19" i="36"/>
  <c r="G19" i="36"/>
  <c r="F19" i="36"/>
  <c r="I18" i="36"/>
  <c r="H18" i="36"/>
  <c r="G18" i="36"/>
  <c r="F18" i="36"/>
  <c r="F20" i="36" s="1"/>
  <c r="I17" i="36"/>
  <c r="H17" i="36"/>
  <c r="G17" i="36"/>
  <c r="F17" i="36"/>
  <c r="I13" i="36"/>
  <c r="H13" i="36"/>
  <c r="G13" i="36"/>
  <c r="F13" i="36"/>
  <c r="I12" i="36"/>
  <c r="H12" i="36"/>
  <c r="G12" i="36"/>
  <c r="F12" i="36"/>
  <c r="I11" i="36"/>
  <c r="H11" i="36"/>
  <c r="H20" i="36"/>
  <c r="G11" i="36"/>
  <c r="F11" i="36"/>
  <c r="E139" i="32"/>
  <c r="D139" i="32"/>
  <c r="C139" i="32"/>
  <c r="B139" i="32"/>
  <c r="E137" i="32"/>
  <c r="D137" i="32"/>
  <c r="C137" i="32"/>
  <c r="B137" i="32"/>
  <c r="E136" i="32"/>
  <c r="D136" i="32"/>
  <c r="C136" i="32"/>
  <c r="B136" i="32"/>
  <c r="E135" i="32"/>
  <c r="D135" i="32"/>
  <c r="C135" i="32"/>
  <c r="B135" i="32"/>
  <c r="D134" i="32"/>
  <c r="D132" i="32"/>
  <c r="D130" i="32"/>
  <c r="E128" i="32"/>
  <c r="D128" i="32"/>
  <c r="C128" i="32"/>
  <c r="B128" i="32"/>
  <c r="E127" i="32"/>
  <c r="D127" i="32"/>
  <c r="C127" i="32"/>
  <c r="B127" i="32"/>
  <c r="D124" i="32"/>
  <c r="D122" i="32"/>
  <c r="D120" i="32"/>
  <c r="E134" i="32"/>
  <c r="D133" i="32"/>
  <c r="E132" i="32"/>
  <c r="D131" i="32"/>
  <c r="E130" i="32"/>
  <c r="C130" i="32"/>
  <c r="D129" i="32"/>
  <c r="D125" i="32"/>
  <c r="E124" i="32"/>
  <c r="D123" i="32"/>
  <c r="C123" i="32"/>
  <c r="E122" i="32"/>
  <c r="D121" i="32"/>
  <c r="E120" i="32"/>
  <c r="E121" i="24"/>
  <c r="E122" i="24"/>
  <c r="E123" i="24"/>
  <c r="B124" i="24"/>
  <c r="D124" i="24"/>
  <c r="E124" i="24"/>
  <c r="D125" i="24"/>
  <c r="E125" i="24"/>
  <c r="E130" i="24"/>
  <c r="B131" i="24"/>
  <c r="D131" i="24"/>
  <c r="E131" i="24"/>
  <c r="E132" i="24"/>
  <c r="D133" i="24"/>
  <c r="E133" i="24"/>
  <c r="E134" i="24"/>
  <c r="E139" i="24"/>
  <c r="D139" i="24"/>
  <c r="C139" i="24"/>
  <c r="B139" i="24"/>
  <c r="E137" i="24"/>
  <c r="D137" i="24"/>
  <c r="C137" i="24"/>
  <c r="B137" i="24"/>
  <c r="E136" i="24"/>
  <c r="D136" i="24"/>
  <c r="C136" i="24"/>
  <c r="B136" i="24"/>
  <c r="E135" i="24"/>
  <c r="D135" i="24"/>
  <c r="C135" i="24"/>
  <c r="B135" i="24"/>
  <c r="E128" i="24"/>
  <c r="D128" i="24"/>
  <c r="C128" i="24"/>
  <c r="B128" i="24"/>
  <c r="E127" i="24"/>
  <c r="D127" i="24"/>
  <c r="C127" i="24"/>
  <c r="B127" i="24"/>
  <c r="D134" i="24"/>
  <c r="D130" i="24"/>
  <c r="B130" i="24"/>
  <c r="D122" i="24"/>
  <c r="G74" i="30"/>
  <c r="G81" i="30"/>
  <c r="G83" i="30"/>
  <c r="H79" i="30"/>
  <c r="H74" i="30"/>
  <c r="G82" i="30"/>
  <c r="F20" i="30"/>
  <c r="E78" i="30"/>
  <c r="I78" i="30" s="1"/>
  <c r="D78" i="36"/>
  <c r="C78" i="30"/>
  <c r="C87" i="30" s="1"/>
  <c r="C129" i="30"/>
  <c r="D129" i="38"/>
  <c r="D130" i="36"/>
  <c r="E120" i="38"/>
  <c r="C120" i="28"/>
  <c r="C130" i="30"/>
  <c r="D130" i="30"/>
  <c r="H73" i="30"/>
  <c r="G80" i="30"/>
  <c r="H70" i="30"/>
  <c r="B133" i="38"/>
  <c r="G71" i="30"/>
  <c r="H83" i="30"/>
  <c r="B133" i="30"/>
  <c r="D130" i="33"/>
  <c r="B132" i="33"/>
  <c r="E120" i="28"/>
  <c r="G78" i="30"/>
  <c r="G73" i="36"/>
  <c r="G80" i="36"/>
  <c r="C130" i="28"/>
  <c r="D69" i="30"/>
  <c r="D75" i="30" s="1"/>
  <c r="D126" i="30" s="1"/>
  <c r="G70" i="36"/>
  <c r="G74" i="36"/>
  <c r="G81" i="36"/>
  <c r="E69" i="30"/>
  <c r="I69" i="30" s="1"/>
  <c r="G79" i="30"/>
  <c r="C121" i="33"/>
  <c r="C123" i="33"/>
  <c r="C131" i="33"/>
  <c r="C133" i="33"/>
  <c r="E121" i="33"/>
  <c r="E123" i="33"/>
  <c r="E125" i="33"/>
  <c r="E131" i="33"/>
  <c r="E133" i="33"/>
  <c r="B123" i="30"/>
  <c r="B125" i="30"/>
  <c r="E121" i="30"/>
  <c r="E125" i="30"/>
  <c r="E129" i="30"/>
  <c r="E131" i="30"/>
  <c r="E133" i="30"/>
  <c r="F70" i="30"/>
  <c r="F73" i="30"/>
  <c r="F74" i="30"/>
  <c r="F80" i="30"/>
  <c r="F82" i="30"/>
  <c r="F83" i="30"/>
  <c r="B124" i="30"/>
  <c r="B130" i="30"/>
  <c r="B134" i="30"/>
  <c r="I81" i="30"/>
  <c r="D121" i="28"/>
  <c r="D123" i="28"/>
  <c r="D125" i="28"/>
  <c r="D131" i="28"/>
  <c r="D133" i="28"/>
  <c r="E121" i="28"/>
  <c r="E123" i="28"/>
  <c r="E125" i="28"/>
  <c r="E129" i="28"/>
  <c r="E131" i="28"/>
  <c r="E133" i="28"/>
  <c r="B134" i="28"/>
  <c r="B121" i="38"/>
  <c r="B125" i="38"/>
  <c r="E121" i="38"/>
  <c r="E123" i="38"/>
  <c r="E125" i="38"/>
  <c r="E131" i="38"/>
  <c r="E133" i="38"/>
  <c r="B122" i="38"/>
  <c r="B124" i="38"/>
  <c r="B130" i="38"/>
  <c r="B132" i="38"/>
  <c r="B123" i="36"/>
  <c r="B131" i="36"/>
  <c r="B125" i="36"/>
  <c r="E121" i="36"/>
  <c r="E125" i="36"/>
  <c r="E133" i="36"/>
  <c r="F70" i="36"/>
  <c r="F71" i="36"/>
  <c r="F73" i="36"/>
  <c r="F74" i="36"/>
  <c r="B122" i="36"/>
  <c r="B124" i="36"/>
  <c r="B130" i="36"/>
  <c r="H72" i="36"/>
  <c r="H74" i="36"/>
  <c r="H79" i="36"/>
  <c r="H80" i="36"/>
  <c r="H82" i="36"/>
  <c r="H83" i="36"/>
  <c r="I71" i="36"/>
  <c r="I81" i="36"/>
  <c r="I83" i="36"/>
  <c r="B123" i="32"/>
  <c r="E121" i="32"/>
  <c r="E123" i="32"/>
  <c r="E125" i="32"/>
  <c r="E129" i="32"/>
  <c r="E131" i="32"/>
  <c r="E133" i="32"/>
  <c r="D121" i="24"/>
  <c r="B121" i="24"/>
  <c r="D132" i="24"/>
  <c r="D123" i="24"/>
  <c r="E129" i="24"/>
  <c r="D120" i="30"/>
  <c r="C138" i="30"/>
  <c r="G87" i="30"/>
  <c r="D120" i="24"/>
  <c r="AE47" i="46"/>
  <c r="AE43" i="46"/>
  <c r="Q42" i="47"/>
  <c r="AI42" i="47" s="1"/>
  <c r="AE41" i="46"/>
  <c r="Q70" i="47"/>
  <c r="AE64" i="46"/>
  <c r="M18" i="47"/>
  <c r="E139" i="29"/>
  <c r="D139" i="29"/>
  <c r="C139" i="29"/>
  <c r="B139" i="29"/>
  <c r="E137" i="29"/>
  <c r="D137" i="29"/>
  <c r="C137" i="29"/>
  <c r="B137" i="29"/>
  <c r="E136" i="29"/>
  <c r="D136" i="29"/>
  <c r="C136" i="29"/>
  <c r="B136" i="29"/>
  <c r="E135" i="29"/>
  <c r="D135" i="29"/>
  <c r="C135" i="29"/>
  <c r="B135" i="29"/>
  <c r="E134" i="29"/>
  <c r="D134" i="29"/>
  <c r="E133" i="29"/>
  <c r="D133" i="29"/>
  <c r="E132" i="29"/>
  <c r="D132" i="29"/>
  <c r="E131" i="29"/>
  <c r="D131" i="29"/>
  <c r="E130" i="29"/>
  <c r="D130" i="29"/>
  <c r="D129" i="29"/>
  <c r="E128" i="29"/>
  <c r="D128" i="29"/>
  <c r="C128" i="29"/>
  <c r="B128" i="29"/>
  <c r="E127" i="29"/>
  <c r="D127" i="29"/>
  <c r="C127" i="29"/>
  <c r="B127" i="29"/>
  <c r="E125" i="29"/>
  <c r="D125" i="29"/>
  <c r="E124" i="29"/>
  <c r="D124" i="29"/>
  <c r="E123" i="29"/>
  <c r="D123" i="29"/>
  <c r="E122" i="29"/>
  <c r="D122" i="29"/>
  <c r="E121" i="29"/>
  <c r="D121" i="29"/>
  <c r="E120" i="29"/>
  <c r="C121" i="29"/>
  <c r="C123" i="29"/>
  <c r="C124" i="29"/>
  <c r="C130" i="29"/>
  <c r="C132" i="29"/>
  <c r="C133" i="29"/>
  <c r="D18" i="54"/>
  <c r="C13" i="54"/>
  <c r="G13" i="54" s="1"/>
  <c r="H13" i="54" s="1"/>
  <c r="L13" i="54" s="1"/>
  <c r="W28" i="46"/>
  <c r="S28" i="46"/>
  <c r="O28" i="46"/>
  <c r="K28" i="46"/>
  <c r="C28" i="46"/>
  <c r="G24" i="46"/>
  <c r="C24" i="46"/>
  <c r="E27" i="57"/>
  <c r="F28" i="47"/>
  <c r="F28" i="55" s="1"/>
  <c r="G28" i="55" s="1"/>
  <c r="A247" i="51"/>
  <c r="N27" i="59"/>
  <c r="AF59" i="46"/>
  <c r="AF82" i="46" s="1"/>
  <c r="AB59" i="46"/>
  <c r="AB82" i="46"/>
  <c r="X59" i="46"/>
  <c r="X82" i="46" s="1"/>
  <c r="T59" i="46"/>
  <c r="T82" i="46"/>
  <c r="P59" i="46"/>
  <c r="P82" i="46" s="1"/>
  <c r="L59" i="46"/>
  <c r="L82" i="46" s="1"/>
  <c r="H59" i="46"/>
  <c r="H82" i="46" s="1"/>
  <c r="H105" i="46" s="1"/>
  <c r="L105" i="46" s="1"/>
  <c r="P105" i="46" s="1"/>
  <c r="D59" i="46"/>
  <c r="D82" i="46" s="1"/>
  <c r="D105" i="46" s="1"/>
  <c r="F61" i="47"/>
  <c r="J37" i="47"/>
  <c r="N37" i="47" s="1"/>
  <c r="R37" i="47" s="1"/>
  <c r="V37" i="47" s="1"/>
  <c r="A7" i="57"/>
  <c r="I7" i="57" s="1"/>
  <c r="A6" i="57"/>
  <c r="I6" i="57" s="1"/>
  <c r="T97" i="49"/>
  <c r="T95" i="49"/>
  <c r="T93" i="49"/>
  <c r="T91" i="49"/>
  <c r="T89" i="49"/>
  <c r="T85" i="49"/>
  <c r="P97" i="49"/>
  <c r="P95" i="49"/>
  <c r="P93" i="49"/>
  <c r="P91" i="49"/>
  <c r="P89" i="49"/>
  <c r="P85" i="49"/>
  <c r="L97" i="49"/>
  <c r="L95" i="49"/>
  <c r="L93" i="49"/>
  <c r="L91" i="49"/>
  <c r="L89" i="49"/>
  <c r="L85" i="49"/>
  <c r="H97" i="49"/>
  <c r="H95" i="49"/>
  <c r="H93" i="49"/>
  <c r="H91" i="49"/>
  <c r="H111" i="49" s="1"/>
  <c r="H89" i="49"/>
  <c r="H85" i="49"/>
  <c r="D97" i="49"/>
  <c r="D95" i="49"/>
  <c r="D93" i="49"/>
  <c r="D91" i="49"/>
  <c r="D89" i="49"/>
  <c r="D85" i="49"/>
  <c r="D108" i="49" s="1"/>
  <c r="T74" i="49"/>
  <c r="T72" i="49"/>
  <c r="T70" i="49"/>
  <c r="T68" i="49"/>
  <c r="T66" i="49"/>
  <c r="T62" i="49"/>
  <c r="P74" i="49"/>
  <c r="P72" i="49"/>
  <c r="Q72" i="49" s="1"/>
  <c r="P70" i="49"/>
  <c r="P68" i="49"/>
  <c r="P66" i="49"/>
  <c r="P62" i="49"/>
  <c r="L74" i="49"/>
  <c r="L72" i="49"/>
  <c r="L70" i="49"/>
  <c r="L68" i="49"/>
  <c r="L66" i="49"/>
  <c r="L62" i="49"/>
  <c r="H74" i="49"/>
  <c r="H72" i="49"/>
  <c r="H70" i="49"/>
  <c r="H68" i="49"/>
  <c r="H66" i="49"/>
  <c r="H62" i="49"/>
  <c r="D74" i="49"/>
  <c r="D72" i="49"/>
  <c r="D70" i="49"/>
  <c r="D68" i="49"/>
  <c r="D66" i="49"/>
  <c r="D62" i="49"/>
  <c r="T51" i="49"/>
  <c r="T49" i="49"/>
  <c r="T45" i="49"/>
  <c r="T39" i="49"/>
  <c r="P51" i="49"/>
  <c r="P49" i="49"/>
  <c r="P47" i="49"/>
  <c r="P45" i="49"/>
  <c r="P43" i="49"/>
  <c r="P39" i="49"/>
  <c r="L51" i="49"/>
  <c r="L49" i="49"/>
  <c r="L47" i="49"/>
  <c r="L45" i="49"/>
  <c r="L43" i="49"/>
  <c r="L39" i="49"/>
  <c r="H51" i="49"/>
  <c r="H49" i="49"/>
  <c r="H47" i="49"/>
  <c r="H45" i="49"/>
  <c r="H43" i="49"/>
  <c r="H39" i="49"/>
  <c r="D51" i="49"/>
  <c r="D49" i="49"/>
  <c r="D47" i="49"/>
  <c r="D45" i="49"/>
  <c r="D43" i="49"/>
  <c r="D39" i="49"/>
  <c r="R51" i="55"/>
  <c r="S51" i="55" s="1"/>
  <c r="Q51" i="55"/>
  <c r="N51" i="55"/>
  <c r="M51" i="55"/>
  <c r="J51" i="55"/>
  <c r="I51" i="55"/>
  <c r="F51" i="55"/>
  <c r="E51" i="55"/>
  <c r="R49" i="55"/>
  <c r="Q49" i="55"/>
  <c r="N49" i="55"/>
  <c r="M49" i="55"/>
  <c r="R47" i="55"/>
  <c r="S47" i="55" s="1"/>
  <c r="Q47" i="55"/>
  <c r="N47" i="55"/>
  <c r="O47" i="55" s="1"/>
  <c r="M47" i="55"/>
  <c r="J47" i="55"/>
  <c r="K47" i="55" s="1"/>
  <c r="I47" i="55"/>
  <c r="F47" i="55"/>
  <c r="E47" i="55"/>
  <c r="R45" i="55"/>
  <c r="Q45" i="55"/>
  <c r="N45" i="55"/>
  <c r="M45" i="55"/>
  <c r="R43" i="55"/>
  <c r="S43" i="55" s="1"/>
  <c r="Q43" i="55"/>
  <c r="N43" i="55"/>
  <c r="M43" i="55"/>
  <c r="M41" i="55"/>
  <c r="R39" i="55"/>
  <c r="Q39" i="55"/>
  <c r="N39" i="55"/>
  <c r="M39" i="55"/>
  <c r="R28" i="55"/>
  <c r="S28" i="55" s="1"/>
  <c r="Q28" i="55"/>
  <c r="N28" i="55"/>
  <c r="M28" i="55"/>
  <c r="J28" i="55"/>
  <c r="R26" i="55"/>
  <c r="Q26" i="55"/>
  <c r="N26" i="55"/>
  <c r="O26" i="55"/>
  <c r="M26" i="55"/>
  <c r="R24" i="55"/>
  <c r="S24" i="55" s="1"/>
  <c r="Q24" i="55"/>
  <c r="N24" i="55"/>
  <c r="O24" i="55"/>
  <c r="M24" i="55"/>
  <c r="R22" i="55"/>
  <c r="Q22" i="55"/>
  <c r="N22" i="55"/>
  <c r="M22" i="55"/>
  <c r="R20" i="55"/>
  <c r="S20" i="55" s="1"/>
  <c r="Q20" i="55"/>
  <c r="N20" i="55"/>
  <c r="O20" i="55" s="1"/>
  <c r="M20" i="55"/>
  <c r="M18" i="55"/>
  <c r="R16" i="55"/>
  <c r="Q16" i="55"/>
  <c r="N16" i="55"/>
  <c r="M16" i="55"/>
  <c r="E13" i="55"/>
  <c r="B2" i="55" s="1"/>
  <c r="I13" i="55"/>
  <c r="M13" i="55" s="1"/>
  <c r="Q13" i="55" s="1"/>
  <c r="U13" i="55" s="1"/>
  <c r="O49" i="55"/>
  <c r="G51" i="55"/>
  <c r="F45" i="55"/>
  <c r="J45" i="55"/>
  <c r="K45" i="55" s="1"/>
  <c r="E43" i="55"/>
  <c r="I43" i="55"/>
  <c r="E39" i="55"/>
  <c r="E49" i="55"/>
  <c r="F43" i="55"/>
  <c r="J43" i="55"/>
  <c r="F39" i="55"/>
  <c r="I39" i="55"/>
  <c r="F49" i="55"/>
  <c r="I49" i="55"/>
  <c r="J39" i="55"/>
  <c r="Q18" i="55"/>
  <c r="Q41" i="55"/>
  <c r="E45" i="55"/>
  <c r="I45" i="55"/>
  <c r="J49" i="55"/>
  <c r="N41" i="55"/>
  <c r="N18" i="55"/>
  <c r="R41" i="55"/>
  <c r="S41" i="55" s="1"/>
  <c r="R18" i="55"/>
  <c r="S18" i="55" s="1"/>
  <c r="G49" i="55"/>
  <c r="AF28" i="54"/>
  <c r="AS28" i="54" s="1"/>
  <c r="AE28" i="54"/>
  <c r="AB28" i="54"/>
  <c r="AC28" i="54" s="1"/>
  <c r="AA28" i="54"/>
  <c r="X28" i="54"/>
  <c r="W28" i="54"/>
  <c r="Y28" i="54" s="1"/>
  <c r="T28" i="54"/>
  <c r="S28" i="54"/>
  <c r="P28" i="54"/>
  <c r="Q28" i="54" s="1"/>
  <c r="O28" i="54"/>
  <c r="L28" i="54"/>
  <c r="K28" i="54"/>
  <c r="H28" i="54"/>
  <c r="G28" i="54"/>
  <c r="I28" i="54" s="1"/>
  <c r="D28" i="54"/>
  <c r="C28" i="54"/>
  <c r="AF26" i="54"/>
  <c r="AE26" i="54"/>
  <c r="AB26" i="54"/>
  <c r="AA26" i="54"/>
  <c r="X26" i="54"/>
  <c r="W26" i="54"/>
  <c r="T26" i="54"/>
  <c r="S26" i="54"/>
  <c r="U26" i="54" s="1"/>
  <c r="P26" i="54"/>
  <c r="O26" i="54"/>
  <c r="L26" i="54"/>
  <c r="M26" i="54" s="1"/>
  <c r="K26" i="54"/>
  <c r="H26" i="54"/>
  <c r="G26" i="54"/>
  <c r="D26" i="54"/>
  <c r="C26" i="54"/>
  <c r="E26" i="54" s="1"/>
  <c r="AF24" i="54"/>
  <c r="AE24" i="54"/>
  <c r="AB24" i="54"/>
  <c r="AC24" i="54" s="1"/>
  <c r="AA24" i="54"/>
  <c r="X24" i="54"/>
  <c r="W24" i="54"/>
  <c r="T24" i="54"/>
  <c r="U24" i="54"/>
  <c r="S24" i="54"/>
  <c r="P24" i="54"/>
  <c r="Q24" i="54" s="1"/>
  <c r="O24" i="54"/>
  <c r="L24" i="54"/>
  <c r="M24" i="54" s="1"/>
  <c r="K24" i="54"/>
  <c r="H24" i="54"/>
  <c r="G24" i="54"/>
  <c r="D24" i="54"/>
  <c r="E24" i="54" s="1"/>
  <c r="C24" i="54"/>
  <c r="AF22" i="54"/>
  <c r="AE22" i="54"/>
  <c r="AB22" i="54"/>
  <c r="AA22" i="54"/>
  <c r="X22" i="54"/>
  <c r="W22" i="54"/>
  <c r="T22" i="54"/>
  <c r="S22" i="54"/>
  <c r="P22" i="54"/>
  <c r="O22" i="54"/>
  <c r="L22" i="54"/>
  <c r="K22" i="54"/>
  <c r="H22" i="54"/>
  <c r="G22" i="54"/>
  <c r="D22" i="54"/>
  <c r="C22" i="54"/>
  <c r="AF20" i="54"/>
  <c r="AE20" i="54"/>
  <c r="AB20" i="54"/>
  <c r="AA20" i="54"/>
  <c r="X20" i="54"/>
  <c r="W20" i="54"/>
  <c r="T20" i="54"/>
  <c r="S20" i="54"/>
  <c r="U20" i="54" s="1"/>
  <c r="P20" i="54"/>
  <c r="O20" i="54"/>
  <c r="L20" i="54"/>
  <c r="K20" i="54"/>
  <c r="H20" i="54"/>
  <c r="G20" i="54"/>
  <c r="D20" i="54"/>
  <c r="C20" i="54"/>
  <c r="E20" i="54" s="1"/>
  <c r="AA18" i="54"/>
  <c r="AF16" i="54"/>
  <c r="AE16" i="54"/>
  <c r="AB16" i="54"/>
  <c r="AA16" i="54"/>
  <c r="X16" i="54"/>
  <c r="W16" i="54"/>
  <c r="T16" i="54"/>
  <c r="S16" i="54"/>
  <c r="P16" i="54"/>
  <c r="O16" i="54"/>
  <c r="Q16" i="54" s="1"/>
  <c r="L16" i="54"/>
  <c r="K16" i="54"/>
  <c r="H16" i="54"/>
  <c r="G16" i="54"/>
  <c r="D16" i="54"/>
  <c r="C16" i="54"/>
  <c r="D13" i="54"/>
  <c r="R29" i="53"/>
  <c r="S29" i="53" s="1"/>
  <c r="Q29" i="53"/>
  <c r="N29" i="53"/>
  <c r="M29" i="53"/>
  <c r="J29" i="53"/>
  <c r="I29" i="53"/>
  <c r="F29" i="53"/>
  <c r="E29" i="53"/>
  <c r="R27" i="53"/>
  <c r="Q27" i="53"/>
  <c r="N27" i="53"/>
  <c r="O27" i="53" s="1"/>
  <c r="M27" i="53"/>
  <c r="R25" i="53"/>
  <c r="S25" i="53" s="1"/>
  <c r="Q25" i="53"/>
  <c r="N25" i="53"/>
  <c r="M25" i="53"/>
  <c r="J25" i="53"/>
  <c r="K25" i="53" s="1"/>
  <c r="I25" i="53"/>
  <c r="F25" i="53"/>
  <c r="E25" i="53"/>
  <c r="R23" i="53"/>
  <c r="Q23" i="53"/>
  <c r="AR22" i="54" s="1"/>
  <c r="N23" i="53"/>
  <c r="M23" i="53"/>
  <c r="J23" i="53"/>
  <c r="I23" i="53"/>
  <c r="F23" i="53"/>
  <c r="E23" i="53"/>
  <c r="R21" i="53"/>
  <c r="S21" i="53" s="1"/>
  <c r="Q21" i="53"/>
  <c r="N21" i="53"/>
  <c r="O21" i="53" s="1"/>
  <c r="M21" i="53"/>
  <c r="J21" i="53"/>
  <c r="I21" i="53"/>
  <c r="F21" i="53"/>
  <c r="E21" i="53"/>
  <c r="M19" i="53"/>
  <c r="R17" i="53"/>
  <c r="Q17" i="53"/>
  <c r="N17" i="53"/>
  <c r="M17" i="53"/>
  <c r="AP16" i="54" s="1"/>
  <c r="J17" i="53"/>
  <c r="I17" i="53"/>
  <c r="F17" i="53"/>
  <c r="E17" i="53"/>
  <c r="K13" i="54"/>
  <c r="AA13" i="54" s="1"/>
  <c r="AE13" i="54" s="1"/>
  <c r="AI13" i="54" s="1"/>
  <c r="AC26" i="54"/>
  <c r="Y24" i="54"/>
  <c r="AC20" i="54"/>
  <c r="O29" i="53"/>
  <c r="J27" i="53"/>
  <c r="I27" i="53"/>
  <c r="F27" i="53"/>
  <c r="E27" i="53"/>
  <c r="H36" i="49"/>
  <c r="L36" i="49" s="1"/>
  <c r="P36" i="49" s="1"/>
  <c r="T36" i="49" s="1"/>
  <c r="X36" i="49" s="1"/>
  <c r="F133" i="51"/>
  <c r="X18" i="54"/>
  <c r="T18" i="54"/>
  <c r="P18" i="54"/>
  <c r="L18" i="54"/>
  <c r="H18" i="54"/>
  <c r="N19" i="53"/>
  <c r="AB18" i="54"/>
  <c r="R19" i="53"/>
  <c r="S19" i="53" s="1"/>
  <c r="AF18" i="54"/>
  <c r="AG18" i="54" s="1"/>
  <c r="AE18" i="54"/>
  <c r="Q19" i="53"/>
  <c r="A164" i="51"/>
  <c r="A107" i="51"/>
  <c r="A136" i="51"/>
  <c r="F235" i="51"/>
  <c r="I231" i="51"/>
  <c r="I247" i="51" s="1"/>
  <c r="A231" i="51"/>
  <c r="F217" i="51"/>
  <c r="I213" i="51"/>
  <c r="A213" i="51"/>
  <c r="A201" i="51"/>
  <c r="A195" i="51"/>
  <c r="A189" i="51"/>
  <c r="F165" i="51"/>
  <c r="I161" i="51"/>
  <c r="A161" i="51"/>
  <c r="F137" i="51"/>
  <c r="I133" i="51"/>
  <c r="A133" i="51"/>
  <c r="F108" i="51"/>
  <c r="I104" i="51"/>
  <c r="A104" i="51"/>
  <c r="T28" i="49"/>
  <c r="S28" i="49"/>
  <c r="P28" i="49"/>
  <c r="Q28" i="49" s="1"/>
  <c r="O28" i="49"/>
  <c r="L28" i="49"/>
  <c r="G28" i="49"/>
  <c r="D28" i="49"/>
  <c r="T26" i="49"/>
  <c r="P26" i="49"/>
  <c r="Q26" i="49" s="1"/>
  <c r="O26" i="49"/>
  <c r="L26" i="49"/>
  <c r="H26" i="49"/>
  <c r="Q5" i="52" s="1"/>
  <c r="D26" i="49"/>
  <c r="G213" i="51" s="1"/>
  <c r="C91" i="49"/>
  <c r="S68" i="49"/>
  <c r="K68" i="49"/>
  <c r="G68" i="49"/>
  <c r="C68" i="49"/>
  <c r="S45" i="49"/>
  <c r="K45" i="49"/>
  <c r="G45" i="49"/>
  <c r="C45" i="49"/>
  <c r="T22" i="49"/>
  <c r="S22" i="49"/>
  <c r="P22" i="49"/>
  <c r="O22" i="49"/>
  <c r="L22" i="49"/>
  <c r="K22" i="49"/>
  <c r="G22" i="49"/>
  <c r="O5" i="52" s="1"/>
  <c r="D22" i="49"/>
  <c r="C22" i="49"/>
  <c r="O4" i="52" s="1"/>
  <c r="T24" i="49"/>
  <c r="U24" i="49" s="1"/>
  <c r="S24" i="49"/>
  <c r="P24" i="49"/>
  <c r="O24" i="49"/>
  <c r="L24" i="49"/>
  <c r="AC24" i="49" s="1"/>
  <c r="K24" i="49"/>
  <c r="D24" i="49"/>
  <c r="E213" i="51" s="1"/>
  <c r="S64" i="49"/>
  <c r="AF64" i="49" s="1"/>
  <c r="S18" i="49"/>
  <c r="S66" i="49"/>
  <c r="K66" i="49"/>
  <c r="G66" i="49"/>
  <c r="C66" i="49"/>
  <c r="K43" i="49"/>
  <c r="G43" i="49"/>
  <c r="C43" i="49"/>
  <c r="T20" i="49"/>
  <c r="S20" i="49"/>
  <c r="P20" i="49"/>
  <c r="O20" i="49"/>
  <c r="L20" i="49"/>
  <c r="K20" i="49"/>
  <c r="H20" i="49"/>
  <c r="H5" i="52" s="1"/>
  <c r="G20" i="49"/>
  <c r="I5" i="52" s="1"/>
  <c r="D20" i="49"/>
  <c r="C20" i="49"/>
  <c r="AF28" i="46"/>
  <c r="AE28" i="46"/>
  <c r="AB28" i="46"/>
  <c r="AC28" i="46" s="1"/>
  <c r="AA28" i="46"/>
  <c r="X28" i="46"/>
  <c r="T28" i="46"/>
  <c r="P28" i="46"/>
  <c r="L28" i="46"/>
  <c r="H28" i="46"/>
  <c r="G28" i="46"/>
  <c r="D28" i="46"/>
  <c r="AF26" i="46"/>
  <c r="AB26" i="46"/>
  <c r="AC26" i="46" s="1"/>
  <c r="AA26" i="46"/>
  <c r="X26" i="46"/>
  <c r="T26" i="46"/>
  <c r="P26" i="46"/>
  <c r="L26" i="46"/>
  <c r="H26" i="46"/>
  <c r="D26" i="46"/>
  <c r="AE68" i="46"/>
  <c r="W68" i="46"/>
  <c r="S68" i="46"/>
  <c r="O68" i="46"/>
  <c r="K68" i="46"/>
  <c r="G68" i="46"/>
  <c r="C68" i="46"/>
  <c r="AE45" i="46"/>
  <c r="W45" i="46"/>
  <c r="S45" i="46"/>
  <c r="O45" i="46"/>
  <c r="K45" i="46"/>
  <c r="G45" i="46"/>
  <c r="C45" i="46"/>
  <c r="AF22" i="46"/>
  <c r="AE22" i="46"/>
  <c r="AB22" i="46"/>
  <c r="AA22" i="46"/>
  <c r="X22" i="46"/>
  <c r="W22" i="46"/>
  <c r="T22" i="46"/>
  <c r="S22" i="46"/>
  <c r="P22" i="46"/>
  <c r="O22" i="46"/>
  <c r="L22" i="46"/>
  <c r="K22" i="46"/>
  <c r="G22" i="46"/>
  <c r="D22" i="46"/>
  <c r="C22" i="46"/>
  <c r="AF24" i="46"/>
  <c r="AG24" i="46" s="1"/>
  <c r="AE24" i="46"/>
  <c r="AB24" i="46"/>
  <c r="AC24" i="46" s="1"/>
  <c r="AA24" i="46"/>
  <c r="X24" i="46"/>
  <c r="Y24" i="46" s="1"/>
  <c r="W24" i="46"/>
  <c r="T24" i="46"/>
  <c r="U24" i="46" s="1"/>
  <c r="S24" i="46"/>
  <c r="P24" i="46"/>
  <c r="Q24" i="46" s="1"/>
  <c r="O24" i="46"/>
  <c r="L24" i="46"/>
  <c r="M24" i="46" s="1"/>
  <c r="K24" i="46"/>
  <c r="D24" i="46"/>
  <c r="E24" i="46" s="1"/>
  <c r="C89" i="46"/>
  <c r="AE66" i="46"/>
  <c r="W66" i="46"/>
  <c r="S66" i="46"/>
  <c r="O66" i="46"/>
  <c r="K66" i="46"/>
  <c r="G66" i="46"/>
  <c r="C66" i="46"/>
  <c r="W43" i="46"/>
  <c r="S43" i="46"/>
  <c r="O43" i="46"/>
  <c r="K43" i="46"/>
  <c r="G43" i="46"/>
  <c r="C43" i="46"/>
  <c r="AE18" i="46"/>
  <c r="AF20" i="46"/>
  <c r="AG20" i="46" s="1"/>
  <c r="AE20" i="46"/>
  <c r="AB20" i="46"/>
  <c r="AA20" i="46"/>
  <c r="X20" i="46"/>
  <c r="W20" i="46"/>
  <c r="T20" i="46"/>
  <c r="S20" i="46"/>
  <c r="P20" i="46"/>
  <c r="Q20" i="46" s="1"/>
  <c r="O20" i="46"/>
  <c r="L20" i="46"/>
  <c r="K20" i="46"/>
  <c r="H20" i="46"/>
  <c r="G20" i="46"/>
  <c r="D20" i="46"/>
  <c r="C20" i="46"/>
  <c r="Q66" i="47"/>
  <c r="AI66" i="47" s="1"/>
  <c r="E66" i="47"/>
  <c r="E352" i="51" s="1"/>
  <c r="Q68" i="47"/>
  <c r="AI68" i="47" s="1"/>
  <c r="AD68" i="47"/>
  <c r="Q46" i="47"/>
  <c r="E46" i="47"/>
  <c r="F105" i="51" s="1"/>
  <c r="Q44" i="47"/>
  <c r="AI44" i="47" s="1"/>
  <c r="R28" i="47"/>
  <c r="S28" i="47" s="1"/>
  <c r="Q28" i="47"/>
  <c r="N28" i="47"/>
  <c r="O28" i="47" s="1"/>
  <c r="M28" i="47"/>
  <c r="J28" i="47"/>
  <c r="R26" i="47"/>
  <c r="N26" i="47"/>
  <c r="O26" i="47" s="1"/>
  <c r="M26" i="47"/>
  <c r="R22" i="47"/>
  <c r="Q22" i="47"/>
  <c r="N22" i="47"/>
  <c r="M22" i="47"/>
  <c r="F22" i="47"/>
  <c r="F22" i="55" s="1"/>
  <c r="R24" i="47"/>
  <c r="Q24" i="47"/>
  <c r="N24" i="47"/>
  <c r="O24" i="47" s="1"/>
  <c r="M24" i="47"/>
  <c r="F24" i="47"/>
  <c r="F24" i="55" s="1"/>
  <c r="Q16" i="47"/>
  <c r="R20" i="47"/>
  <c r="Q20" i="47"/>
  <c r="U20" i="56" s="1"/>
  <c r="N20" i="47"/>
  <c r="M20" i="47"/>
  <c r="F20" i="47"/>
  <c r="E8" i="51" s="1"/>
  <c r="E139" i="50"/>
  <c r="D139" i="50"/>
  <c r="C139" i="50"/>
  <c r="B139" i="50"/>
  <c r="E137" i="50"/>
  <c r="D137" i="50"/>
  <c r="C137" i="50"/>
  <c r="B137" i="50"/>
  <c r="E136" i="50"/>
  <c r="D136" i="50"/>
  <c r="C136" i="50"/>
  <c r="B136" i="50"/>
  <c r="E135" i="50"/>
  <c r="D135" i="50"/>
  <c r="C135" i="50"/>
  <c r="B135" i="50"/>
  <c r="E128" i="50"/>
  <c r="D128" i="50"/>
  <c r="C128" i="50"/>
  <c r="B128" i="50"/>
  <c r="E127" i="50"/>
  <c r="D127" i="50"/>
  <c r="C127" i="50"/>
  <c r="B127" i="50"/>
  <c r="C26" i="57"/>
  <c r="E46" i="57"/>
  <c r="X18" i="46"/>
  <c r="T18" i="46"/>
  <c r="P18" i="46"/>
  <c r="F20" i="59"/>
  <c r="D25" i="62" s="1"/>
  <c r="P18" i="49"/>
  <c r="AB18" i="46"/>
  <c r="N16" i="47"/>
  <c r="D18" i="46"/>
  <c r="D18" i="49"/>
  <c r="E4" i="52" s="1"/>
  <c r="L18" i="49"/>
  <c r="L18" i="46"/>
  <c r="AF18" i="46"/>
  <c r="R16" i="47"/>
  <c r="T18" i="49"/>
  <c r="U18" i="49" s="1"/>
  <c r="O20" i="59"/>
  <c r="L18" i="59"/>
  <c r="L22" i="59"/>
  <c r="L20" i="59"/>
  <c r="F22" i="59"/>
  <c r="E25" i="62" s="1"/>
  <c r="O28" i="59"/>
  <c r="I24" i="59"/>
  <c r="L28" i="59"/>
  <c r="M112" i="47"/>
  <c r="L24" i="59"/>
  <c r="L26" i="59"/>
  <c r="I20" i="59"/>
  <c r="C43" i="62" s="1"/>
  <c r="O18" i="59"/>
  <c r="I22" i="59"/>
  <c r="E23" i="50"/>
  <c r="J30" i="55" s="1"/>
  <c r="E97" i="50"/>
  <c r="J41" i="55"/>
  <c r="J19" i="53"/>
  <c r="J16" i="47"/>
  <c r="J18" i="55" s="1"/>
  <c r="K18" i="55" s="1"/>
  <c r="D127" i="34"/>
  <c r="E127" i="34"/>
  <c r="D128" i="34"/>
  <c r="E128" i="34"/>
  <c r="D135" i="34"/>
  <c r="E135" i="34"/>
  <c r="D136" i="34"/>
  <c r="E136" i="34"/>
  <c r="D137" i="34"/>
  <c r="E137" i="34"/>
  <c r="D139" i="34"/>
  <c r="E139" i="34"/>
  <c r="C130" i="23"/>
  <c r="D121" i="23"/>
  <c r="E121" i="23"/>
  <c r="D122" i="23"/>
  <c r="E122" i="23"/>
  <c r="D123" i="23"/>
  <c r="E123" i="23"/>
  <c r="D124" i="23"/>
  <c r="E124" i="23"/>
  <c r="D125" i="23"/>
  <c r="E125" i="23"/>
  <c r="B127" i="23"/>
  <c r="C127" i="23"/>
  <c r="D127" i="23"/>
  <c r="E127" i="23"/>
  <c r="B128" i="23"/>
  <c r="C128" i="23"/>
  <c r="D128" i="23"/>
  <c r="E128" i="23"/>
  <c r="D129" i="23"/>
  <c r="D130" i="23"/>
  <c r="E130" i="23"/>
  <c r="C131" i="23"/>
  <c r="D131" i="23"/>
  <c r="E131" i="23"/>
  <c r="C132" i="23"/>
  <c r="D132" i="23"/>
  <c r="C133" i="23"/>
  <c r="D133" i="23"/>
  <c r="E133" i="23"/>
  <c r="C134" i="23"/>
  <c r="D134" i="23"/>
  <c r="E134" i="23"/>
  <c r="B135" i="23"/>
  <c r="C135" i="23"/>
  <c r="D135" i="23"/>
  <c r="E135" i="23"/>
  <c r="B136" i="23"/>
  <c r="C136" i="23"/>
  <c r="D136" i="23"/>
  <c r="E136" i="23"/>
  <c r="B137" i="23"/>
  <c r="C137" i="23"/>
  <c r="D137" i="23"/>
  <c r="E137" i="23"/>
  <c r="B139" i="23"/>
  <c r="C139" i="23"/>
  <c r="D139" i="23"/>
  <c r="E139" i="23"/>
  <c r="E132" i="23"/>
  <c r="C125" i="23"/>
  <c r="C124" i="23"/>
  <c r="C123" i="23"/>
  <c r="C122" i="23"/>
  <c r="C121" i="23"/>
  <c r="D120" i="23"/>
  <c r="E129" i="23"/>
  <c r="C129" i="23"/>
  <c r="C120" i="23"/>
  <c r="E120" i="23"/>
  <c r="G133" i="51"/>
  <c r="E134" i="34"/>
  <c r="D134" i="34"/>
  <c r="E133" i="34"/>
  <c r="D133" i="34"/>
  <c r="E132" i="34"/>
  <c r="D132" i="34"/>
  <c r="E131" i="34"/>
  <c r="D131" i="34"/>
  <c r="E130" i="34"/>
  <c r="D130" i="34"/>
  <c r="E125" i="34"/>
  <c r="D125" i="34"/>
  <c r="E124" i="34"/>
  <c r="D124" i="34"/>
  <c r="E123" i="34"/>
  <c r="D123" i="34"/>
  <c r="E122" i="34"/>
  <c r="D122" i="34"/>
  <c r="E121" i="34"/>
  <c r="D121" i="34"/>
  <c r="E139" i="31"/>
  <c r="D139" i="31"/>
  <c r="C139" i="31"/>
  <c r="B139" i="31"/>
  <c r="E137" i="31"/>
  <c r="D137" i="31"/>
  <c r="C137" i="31"/>
  <c r="B137" i="31"/>
  <c r="E136" i="31"/>
  <c r="D136" i="31"/>
  <c r="C136" i="31"/>
  <c r="B136" i="31"/>
  <c r="E135" i="31"/>
  <c r="D135" i="31"/>
  <c r="C135" i="31"/>
  <c r="B135" i="31"/>
  <c r="E128" i="31"/>
  <c r="D128" i="31"/>
  <c r="C128" i="31"/>
  <c r="B128" i="31"/>
  <c r="E127" i="31"/>
  <c r="D127" i="31"/>
  <c r="C127" i="31"/>
  <c r="B127" i="31"/>
  <c r="E134" i="31"/>
  <c r="D134" i="31"/>
  <c r="C134" i="31"/>
  <c r="E133" i="31"/>
  <c r="D133" i="31"/>
  <c r="E132" i="31"/>
  <c r="D132" i="31"/>
  <c r="C132" i="31"/>
  <c r="E131" i="31"/>
  <c r="D131" i="31"/>
  <c r="C131" i="31"/>
  <c r="E130" i="31"/>
  <c r="D130" i="31"/>
  <c r="E125" i="31"/>
  <c r="D125" i="31"/>
  <c r="C125" i="31"/>
  <c r="E124" i="31"/>
  <c r="D124" i="31"/>
  <c r="C124" i="31"/>
  <c r="E123" i="31"/>
  <c r="D123" i="31"/>
  <c r="C123" i="31"/>
  <c r="E122" i="31"/>
  <c r="D122" i="31"/>
  <c r="E121" i="31"/>
  <c r="D121" i="31"/>
  <c r="C121" i="31"/>
  <c r="E129" i="31"/>
  <c r="B121" i="31"/>
  <c r="E139" i="35"/>
  <c r="D139" i="35"/>
  <c r="B139" i="35"/>
  <c r="E137" i="35"/>
  <c r="D137" i="35"/>
  <c r="B137" i="35"/>
  <c r="E136" i="35"/>
  <c r="D136" i="35"/>
  <c r="B136" i="35"/>
  <c r="E135" i="35"/>
  <c r="D135" i="35"/>
  <c r="B135" i="35"/>
  <c r="E128" i="35"/>
  <c r="D128" i="35"/>
  <c r="B128" i="35"/>
  <c r="E127" i="35"/>
  <c r="D127" i="35"/>
  <c r="B127" i="35"/>
  <c r="E139" i="27"/>
  <c r="D139" i="27"/>
  <c r="C139" i="27"/>
  <c r="B139" i="27"/>
  <c r="E137" i="27"/>
  <c r="D137" i="27"/>
  <c r="C137" i="27"/>
  <c r="B137" i="27"/>
  <c r="E136" i="27"/>
  <c r="D136" i="27"/>
  <c r="C136" i="27"/>
  <c r="B136" i="27"/>
  <c r="E135" i="27"/>
  <c r="D135" i="27"/>
  <c r="C135" i="27"/>
  <c r="B135" i="27"/>
  <c r="E128" i="27"/>
  <c r="D128" i="27"/>
  <c r="C128" i="27"/>
  <c r="B128" i="27"/>
  <c r="E127" i="27"/>
  <c r="D127" i="27"/>
  <c r="C127" i="27"/>
  <c r="B127" i="27"/>
  <c r="E134" i="27"/>
  <c r="D134" i="27"/>
  <c r="C134" i="27"/>
  <c r="E133" i="27"/>
  <c r="D133" i="27"/>
  <c r="E132" i="27"/>
  <c r="D132" i="27"/>
  <c r="C132" i="27"/>
  <c r="E131" i="27"/>
  <c r="D131" i="27"/>
  <c r="C131" i="27"/>
  <c r="E130" i="27"/>
  <c r="D130" i="27"/>
  <c r="C130" i="27"/>
  <c r="E125" i="27"/>
  <c r="D125" i="27"/>
  <c r="C125" i="27"/>
  <c r="E124" i="27"/>
  <c r="D124" i="27"/>
  <c r="C124" i="27"/>
  <c r="E123" i="27"/>
  <c r="D123" i="27"/>
  <c r="C123" i="27"/>
  <c r="E122" i="27"/>
  <c r="D122" i="27"/>
  <c r="C122" i="27"/>
  <c r="E121" i="27"/>
  <c r="D121" i="27"/>
  <c r="D129" i="27"/>
  <c r="E120" i="27"/>
  <c r="E129" i="27"/>
  <c r="C121" i="27"/>
  <c r="B127" i="37"/>
  <c r="C127" i="37"/>
  <c r="D127" i="37"/>
  <c r="E127" i="37"/>
  <c r="E139" i="40"/>
  <c r="D139" i="40"/>
  <c r="C139" i="40"/>
  <c r="B139" i="40"/>
  <c r="E137" i="40"/>
  <c r="D137" i="40"/>
  <c r="C137" i="40"/>
  <c r="B137" i="40"/>
  <c r="E136" i="40"/>
  <c r="D136" i="40"/>
  <c r="C136" i="40"/>
  <c r="B136" i="40"/>
  <c r="E135" i="40"/>
  <c r="D135" i="40"/>
  <c r="C135" i="40"/>
  <c r="B135" i="40"/>
  <c r="E134" i="40"/>
  <c r="D134" i="40"/>
  <c r="C134" i="40"/>
  <c r="E133" i="40"/>
  <c r="D133" i="40"/>
  <c r="C133" i="40"/>
  <c r="E132" i="40"/>
  <c r="D132" i="40"/>
  <c r="C132" i="40"/>
  <c r="E131" i="40"/>
  <c r="D131" i="40"/>
  <c r="C131" i="40"/>
  <c r="E130" i="40"/>
  <c r="D130" i="40"/>
  <c r="C130" i="40"/>
  <c r="E129" i="40"/>
  <c r="D129" i="40"/>
  <c r="E128" i="40"/>
  <c r="D128" i="40"/>
  <c r="C128" i="40"/>
  <c r="B128" i="40"/>
  <c r="E127" i="40"/>
  <c r="D127" i="40"/>
  <c r="C127" i="40"/>
  <c r="B127" i="40"/>
  <c r="E125" i="40"/>
  <c r="D125" i="40"/>
  <c r="C125" i="40"/>
  <c r="E124" i="40"/>
  <c r="D124" i="40"/>
  <c r="C124" i="40"/>
  <c r="E123" i="40"/>
  <c r="D123" i="40"/>
  <c r="C123" i="40"/>
  <c r="E122" i="40"/>
  <c r="D122" i="40"/>
  <c r="C122" i="40"/>
  <c r="E121" i="40"/>
  <c r="D121" i="40"/>
  <c r="C121" i="40"/>
  <c r="E120" i="40"/>
  <c r="D120" i="40"/>
  <c r="E139" i="37"/>
  <c r="D139" i="37"/>
  <c r="C139" i="37"/>
  <c r="B139" i="37"/>
  <c r="E137" i="37"/>
  <c r="D137" i="37"/>
  <c r="C137" i="37"/>
  <c r="B137" i="37"/>
  <c r="E136" i="37"/>
  <c r="D136" i="37"/>
  <c r="C136" i="37"/>
  <c r="B136" i="37"/>
  <c r="E135" i="37"/>
  <c r="D135" i="37"/>
  <c r="C135" i="37"/>
  <c r="B135" i="37"/>
  <c r="E134" i="37"/>
  <c r="D134" i="37"/>
  <c r="C134" i="37"/>
  <c r="E133" i="37"/>
  <c r="D133" i="37"/>
  <c r="C133" i="37"/>
  <c r="B133" i="37"/>
  <c r="E132" i="37"/>
  <c r="D132" i="37"/>
  <c r="C132" i="37"/>
  <c r="E131" i="37"/>
  <c r="D131" i="37"/>
  <c r="C131" i="37"/>
  <c r="B131" i="37"/>
  <c r="E130" i="37"/>
  <c r="D130" i="37"/>
  <c r="C130" i="37"/>
  <c r="E129" i="37"/>
  <c r="D129" i="37"/>
  <c r="C129" i="37"/>
  <c r="E128" i="37"/>
  <c r="D128" i="37"/>
  <c r="C128" i="37"/>
  <c r="B128" i="37"/>
  <c r="E125" i="37"/>
  <c r="D125" i="37"/>
  <c r="C125" i="37"/>
  <c r="E124" i="37"/>
  <c r="D124" i="37"/>
  <c r="B124" i="37"/>
  <c r="E123" i="37"/>
  <c r="D123" i="37"/>
  <c r="C123" i="37"/>
  <c r="E122" i="37"/>
  <c r="D122" i="37"/>
  <c r="B122" i="37"/>
  <c r="E121" i="37"/>
  <c r="D121" i="37"/>
  <c r="C121" i="37"/>
  <c r="C120" i="37"/>
  <c r="T152" i="49"/>
  <c r="AG152" i="49" s="1"/>
  <c r="S152" i="49"/>
  <c r="AF152" i="49" s="1"/>
  <c r="P152" i="49"/>
  <c r="Q152" i="49" s="1"/>
  <c r="O152" i="49"/>
  <c r="AD152" i="49"/>
  <c r="T151" i="49"/>
  <c r="AG151" i="49" s="1"/>
  <c r="S151" i="49"/>
  <c r="AF151" i="49" s="1"/>
  <c r="P151" i="49"/>
  <c r="AE151" i="49" s="1"/>
  <c r="T150" i="49"/>
  <c r="AG150" i="49" s="1"/>
  <c r="S150" i="49"/>
  <c r="AF150" i="49" s="1"/>
  <c r="P150" i="49"/>
  <c r="AE150" i="49" s="1"/>
  <c r="T149" i="49"/>
  <c r="AG149" i="49" s="1"/>
  <c r="S149" i="49"/>
  <c r="AF149" i="49" s="1"/>
  <c r="P149" i="49"/>
  <c r="AE149" i="49" s="1"/>
  <c r="T148" i="49"/>
  <c r="AG148" i="49" s="1"/>
  <c r="S148" i="49"/>
  <c r="AF148" i="49" s="1"/>
  <c r="P148" i="49"/>
  <c r="AE148" i="49" s="1"/>
  <c r="T147" i="49"/>
  <c r="S147" i="49"/>
  <c r="AF147" i="49" s="1"/>
  <c r="P147" i="49"/>
  <c r="AE147" i="49" s="1"/>
  <c r="T146" i="49"/>
  <c r="S146" i="49"/>
  <c r="AF146" i="49" s="1"/>
  <c r="P146" i="49"/>
  <c r="AE146" i="49" s="1"/>
  <c r="T145" i="49"/>
  <c r="AG145" i="49" s="1"/>
  <c r="S145" i="49"/>
  <c r="AF145" i="49" s="1"/>
  <c r="P145" i="49"/>
  <c r="AE145" i="49" s="1"/>
  <c r="T144" i="49"/>
  <c r="AG144" i="49" s="1"/>
  <c r="S144" i="49"/>
  <c r="AF144" i="49" s="1"/>
  <c r="P144" i="49"/>
  <c r="AE144" i="49" s="1"/>
  <c r="T133" i="49"/>
  <c r="AG133" i="49" s="1"/>
  <c r="S133" i="49"/>
  <c r="AF133" i="49" s="1"/>
  <c r="P133" i="49"/>
  <c r="AE133" i="49" s="1"/>
  <c r="T132" i="49"/>
  <c r="AG132" i="49" s="1"/>
  <c r="S132" i="49"/>
  <c r="P132" i="49"/>
  <c r="AE132" i="49" s="1"/>
  <c r="T131" i="49"/>
  <c r="S131" i="49"/>
  <c r="AF131" i="49" s="1"/>
  <c r="P131" i="49"/>
  <c r="AE131" i="49" s="1"/>
  <c r="T130" i="49"/>
  <c r="AG130" i="49" s="1"/>
  <c r="S130" i="49"/>
  <c r="AF130" i="49" s="1"/>
  <c r="P130" i="49"/>
  <c r="AE130" i="49" s="1"/>
  <c r="T129" i="49"/>
  <c r="AG129" i="49" s="1"/>
  <c r="S129" i="49"/>
  <c r="AF129" i="49" s="1"/>
  <c r="P129" i="49"/>
  <c r="AE129" i="49" s="1"/>
  <c r="T128" i="49"/>
  <c r="S128" i="49"/>
  <c r="AF128" i="49" s="1"/>
  <c r="P128" i="49"/>
  <c r="AE128" i="49" s="1"/>
  <c r="T127" i="49"/>
  <c r="AG127" i="49" s="1"/>
  <c r="S127" i="49"/>
  <c r="AF127" i="49" s="1"/>
  <c r="P127" i="49"/>
  <c r="AE127" i="49" s="1"/>
  <c r="T126" i="49"/>
  <c r="S126" i="49"/>
  <c r="AF126" i="49" s="1"/>
  <c r="P126" i="49"/>
  <c r="AE126" i="49" s="1"/>
  <c r="T125" i="49"/>
  <c r="AG125" i="49" s="1"/>
  <c r="S125" i="49"/>
  <c r="AF125" i="49" s="1"/>
  <c r="P125" i="49"/>
  <c r="AE125" i="49" s="1"/>
  <c r="L122" i="49"/>
  <c r="P122" i="49" s="1"/>
  <c r="T122" i="49" s="1"/>
  <c r="X122" i="49" s="1"/>
  <c r="C85" i="49"/>
  <c r="S62" i="49"/>
  <c r="K62" i="49"/>
  <c r="C62" i="49"/>
  <c r="H59" i="49"/>
  <c r="H82" i="49"/>
  <c r="D59" i="49"/>
  <c r="D82" i="49"/>
  <c r="D105" i="49" s="1"/>
  <c r="S43" i="49"/>
  <c r="S47" i="49"/>
  <c r="S41" i="49"/>
  <c r="AF41" i="49" s="1"/>
  <c r="S39" i="49"/>
  <c r="K39" i="49"/>
  <c r="G39" i="49"/>
  <c r="C39" i="49"/>
  <c r="U20" i="49"/>
  <c r="Q24" i="49"/>
  <c r="T16" i="49"/>
  <c r="S16" i="49"/>
  <c r="P16" i="49"/>
  <c r="O16" i="49"/>
  <c r="L16" i="49"/>
  <c r="K16" i="49"/>
  <c r="H16" i="49"/>
  <c r="B5" i="52" s="1"/>
  <c r="D16" i="49"/>
  <c r="C16" i="49"/>
  <c r="C4" i="52" s="1"/>
  <c r="L113" i="46"/>
  <c r="AE85" i="46"/>
  <c r="AE62" i="46"/>
  <c r="W62" i="46"/>
  <c r="S62" i="46"/>
  <c r="O62" i="46"/>
  <c r="K62" i="46"/>
  <c r="C62" i="46"/>
  <c r="AE39" i="46"/>
  <c r="W39" i="46"/>
  <c r="S39" i="46"/>
  <c r="O39" i="46"/>
  <c r="K39" i="46"/>
  <c r="G39" i="46"/>
  <c r="C39" i="46"/>
  <c r="C36" i="46"/>
  <c r="C59" i="46" s="1"/>
  <c r="C82" i="46" s="1"/>
  <c r="C105" i="46" s="1"/>
  <c r="AF16" i="46"/>
  <c r="AE16" i="46"/>
  <c r="AB16" i="46"/>
  <c r="AA16" i="46"/>
  <c r="X16" i="46"/>
  <c r="W16" i="46"/>
  <c r="T16" i="46"/>
  <c r="S16" i="46"/>
  <c r="P16" i="46"/>
  <c r="O16" i="46"/>
  <c r="L16" i="46"/>
  <c r="K16" i="46"/>
  <c r="H16" i="46"/>
  <c r="D16" i="46"/>
  <c r="C16" i="46"/>
  <c r="G13" i="46"/>
  <c r="H13" i="46" s="1"/>
  <c r="L13" i="46" s="1"/>
  <c r="AB13" i="46" s="1"/>
  <c r="AF13" i="46" s="1"/>
  <c r="AJ13" i="46" s="1"/>
  <c r="D13" i="46"/>
  <c r="A2" i="46"/>
  <c r="A2" i="54" s="1"/>
  <c r="D117" i="47"/>
  <c r="D101" i="47"/>
  <c r="D78" i="47"/>
  <c r="Q64" i="47"/>
  <c r="AI64" i="47" s="1"/>
  <c r="D54" i="47"/>
  <c r="AC51" i="49"/>
  <c r="S16" i="47"/>
  <c r="R18" i="47"/>
  <c r="N18" i="47"/>
  <c r="J18" i="47"/>
  <c r="F18" i="47"/>
  <c r="C8" i="51" s="1"/>
  <c r="E13" i="47"/>
  <c r="F13" i="47" s="1"/>
  <c r="D27" i="57"/>
  <c r="E130" i="35"/>
  <c r="E79" i="50"/>
  <c r="D134" i="35"/>
  <c r="E121" i="35"/>
  <c r="E124" i="35"/>
  <c r="E73" i="50"/>
  <c r="E131" i="35"/>
  <c r="E80" i="50"/>
  <c r="E134" i="35"/>
  <c r="E83" i="50"/>
  <c r="E122" i="35"/>
  <c r="E71" i="50"/>
  <c r="E132" i="35"/>
  <c r="E81" i="50"/>
  <c r="D125" i="35"/>
  <c r="E123" i="35"/>
  <c r="E72" i="50"/>
  <c r="E125" i="35"/>
  <c r="E74" i="50"/>
  <c r="E133" i="35"/>
  <c r="E82" i="50"/>
  <c r="D123" i="35"/>
  <c r="O24" i="59"/>
  <c r="I4" i="52"/>
  <c r="D214" i="51"/>
  <c r="F214" i="51"/>
  <c r="H4" i="52"/>
  <c r="D213" i="51"/>
  <c r="I93" i="49"/>
  <c r="P113" i="49"/>
  <c r="P114" i="49"/>
  <c r="Q45" i="49"/>
  <c r="U70" i="49"/>
  <c r="U72" i="49"/>
  <c r="U74" i="49"/>
  <c r="Q49" i="49"/>
  <c r="Q51" i="49"/>
  <c r="P111" i="49"/>
  <c r="U95" i="49"/>
  <c r="U97" i="49"/>
  <c r="Q74" i="49"/>
  <c r="L110" i="49"/>
  <c r="U66" i="49"/>
  <c r="T110" i="49"/>
  <c r="L82" i="49"/>
  <c r="P82" i="49" s="1"/>
  <c r="T82" i="49" s="1"/>
  <c r="X82" i="49" s="1"/>
  <c r="H105" i="49"/>
  <c r="L105" i="49"/>
  <c r="P105" i="49" s="1"/>
  <c r="T105" i="49"/>
  <c r="X105" i="49"/>
  <c r="L59" i="49"/>
  <c r="P59" i="49" s="1"/>
  <c r="T59" i="49" s="1"/>
  <c r="X59" i="49" s="1"/>
  <c r="E97" i="49"/>
  <c r="E70" i="49"/>
  <c r="AB111" i="46"/>
  <c r="S74" i="47"/>
  <c r="AC72" i="46"/>
  <c r="AJ59" i="46"/>
  <c r="AR64" i="46"/>
  <c r="I70" i="49"/>
  <c r="Y70" i="46"/>
  <c r="Q91" i="49"/>
  <c r="E95" i="49"/>
  <c r="I49" i="49"/>
  <c r="AC91" i="46"/>
  <c r="Q47" i="49"/>
  <c r="E68" i="49"/>
  <c r="U68" i="49"/>
  <c r="I95" i="49"/>
  <c r="Q97" i="49"/>
  <c r="M89" i="49"/>
  <c r="X72" i="49"/>
  <c r="X93" i="49"/>
  <c r="Y93" i="49" s="1"/>
  <c r="E62" i="49"/>
  <c r="S72" i="46"/>
  <c r="Q62" i="49"/>
  <c r="E85" i="49"/>
  <c r="M85" i="49"/>
  <c r="U39" i="49"/>
  <c r="U62" i="49"/>
  <c r="Q93" i="49"/>
  <c r="E47" i="49"/>
  <c r="I97" i="49"/>
  <c r="E51" i="49"/>
  <c r="M51" i="49"/>
  <c r="AC20" i="46"/>
  <c r="E20" i="49"/>
  <c r="I43" i="49"/>
  <c r="M45" i="49"/>
  <c r="M91" i="49"/>
  <c r="AG91" i="46"/>
  <c r="C149" i="49"/>
  <c r="L149" i="49"/>
  <c r="AC149" i="49" s="1"/>
  <c r="K130" i="49"/>
  <c r="AB130" i="49" s="1"/>
  <c r="S66" i="47"/>
  <c r="Y93" i="46"/>
  <c r="U47" i="46"/>
  <c r="AF111" i="46"/>
  <c r="AC49" i="49"/>
  <c r="M39" i="49"/>
  <c r="M47" i="49"/>
  <c r="E43" i="49"/>
  <c r="I39" i="49"/>
  <c r="I47" i="49"/>
  <c r="I45" i="49"/>
  <c r="U45" i="49"/>
  <c r="E49" i="49"/>
  <c r="U51" i="49"/>
  <c r="X51" i="49"/>
  <c r="H131" i="49" s="1"/>
  <c r="E39" i="49"/>
  <c r="M49" i="49"/>
  <c r="H130" i="49"/>
  <c r="AG68" i="49"/>
  <c r="AC47" i="49"/>
  <c r="U49" i="49"/>
  <c r="X49" i="49"/>
  <c r="H129" i="49"/>
  <c r="I51" i="49"/>
  <c r="Q70" i="49"/>
  <c r="I72" i="49"/>
  <c r="I74" i="49"/>
  <c r="I66" i="49"/>
  <c r="X85" i="49"/>
  <c r="Y85" i="49" s="1"/>
  <c r="M43" i="49"/>
  <c r="M62" i="49"/>
  <c r="M70" i="49"/>
  <c r="X70" i="49"/>
  <c r="I68" i="49"/>
  <c r="E72" i="49"/>
  <c r="E74" i="49"/>
  <c r="E66" i="49"/>
  <c r="H108" i="49"/>
  <c r="I85" i="49"/>
  <c r="Q68" i="49"/>
  <c r="M72" i="49"/>
  <c r="M74" i="49"/>
  <c r="X74" i="49"/>
  <c r="Y74" i="49" s="1"/>
  <c r="M66" i="49"/>
  <c r="X66" i="49"/>
  <c r="Q85" i="49"/>
  <c r="P108" i="49"/>
  <c r="P112" i="49"/>
  <c r="L111" i="49"/>
  <c r="D111" i="49"/>
  <c r="I91" i="49"/>
  <c r="T111" i="49"/>
  <c r="L114" i="49"/>
  <c r="D112" i="49"/>
  <c r="T112" i="49"/>
  <c r="D113" i="49"/>
  <c r="T113" i="49"/>
  <c r="D114" i="49"/>
  <c r="T114" i="49"/>
  <c r="E93" i="49"/>
  <c r="U93" i="49"/>
  <c r="E91" i="49"/>
  <c r="U91" i="49"/>
  <c r="Q95" i="49"/>
  <c r="H114" i="49"/>
  <c r="M97" i="49"/>
  <c r="X97" i="49"/>
  <c r="D110" i="49"/>
  <c r="U89" i="49"/>
  <c r="L112" i="49"/>
  <c r="H113" i="49"/>
  <c r="X95" i="49"/>
  <c r="P110" i="49"/>
  <c r="H110" i="49"/>
  <c r="AG147" i="49"/>
  <c r="L108" i="49"/>
  <c r="H112" i="49"/>
  <c r="M93" i="49"/>
  <c r="X91" i="49"/>
  <c r="X111" i="49" s="1"/>
  <c r="X89" i="49"/>
  <c r="B47" i="57"/>
  <c r="O22" i="59"/>
  <c r="G72" i="49"/>
  <c r="C70" i="46"/>
  <c r="O70" i="46"/>
  <c r="O72" i="46"/>
  <c r="W72" i="46"/>
  <c r="S70" i="46"/>
  <c r="W70" i="46"/>
  <c r="C49" i="46"/>
  <c r="E89" i="49"/>
  <c r="I89" i="49"/>
  <c r="D131" i="49"/>
  <c r="L130" i="49"/>
  <c r="AC130" i="49" s="1"/>
  <c r="D130" i="49"/>
  <c r="AA130" i="49"/>
  <c r="AB105" i="46"/>
  <c r="AF105" i="46" s="1"/>
  <c r="AJ105" i="46" s="1"/>
  <c r="T105" i="46"/>
  <c r="X105" i="46"/>
  <c r="AJ82" i="46"/>
  <c r="Y72" i="49"/>
  <c r="W130" i="49"/>
  <c r="AH130" i="49"/>
  <c r="H149" i="49"/>
  <c r="AA149" i="49" s="1"/>
  <c r="K149" i="49"/>
  <c r="D149" i="49"/>
  <c r="C130" i="49"/>
  <c r="W149" i="49"/>
  <c r="G149" i="49"/>
  <c r="I149" i="49" s="1"/>
  <c r="X149" i="49"/>
  <c r="AI149" i="49"/>
  <c r="G130" i="49"/>
  <c r="I130" i="49" s="1"/>
  <c r="Y91" i="49"/>
  <c r="X131" i="49"/>
  <c r="AI131" i="49" s="1"/>
  <c r="Y51" i="49"/>
  <c r="X110" i="49"/>
  <c r="Y70" i="49"/>
  <c r="L131" i="49"/>
  <c r="AC131" i="49" s="1"/>
  <c r="X114" i="49"/>
  <c r="Y97" i="49"/>
  <c r="X108" i="49"/>
  <c r="AI108" i="49" s="1"/>
  <c r="X130" i="49"/>
  <c r="P22" i="57"/>
  <c r="O29" i="56"/>
  <c r="O27" i="56"/>
  <c r="G72" i="46"/>
  <c r="I72" i="46" s="1"/>
  <c r="S72" i="49"/>
  <c r="Q72" i="47"/>
  <c r="AE72" i="46"/>
  <c r="AG72" i="46" s="1"/>
  <c r="C70" i="49"/>
  <c r="C72" i="49"/>
  <c r="C72" i="46"/>
  <c r="E72" i="46" s="1"/>
  <c r="K72" i="49"/>
  <c r="K72" i="46"/>
  <c r="S74" i="46"/>
  <c r="G70" i="46"/>
  <c r="G70" i="49"/>
  <c r="S70" i="49"/>
  <c r="AE70" i="46"/>
  <c r="Q74" i="47"/>
  <c r="K70" i="46"/>
  <c r="K70" i="49"/>
  <c r="S74" i="49"/>
  <c r="AE74" i="46"/>
  <c r="Q76" i="47"/>
  <c r="W74" i="46"/>
  <c r="O74" i="46"/>
  <c r="K74" i="49"/>
  <c r="K74" i="46"/>
  <c r="G74" i="46"/>
  <c r="I74" i="46" s="1"/>
  <c r="G74" i="49"/>
  <c r="C74" i="49"/>
  <c r="C74" i="46"/>
  <c r="K49" i="46"/>
  <c r="C95" i="49"/>
  <c r="C49" i="49"/>
  <c r="S95" i="46"/>
  <c r="S49" i="46"/>
  <c r="U49" i="46" s="1"/>
  <c r="W49" i="46"/>
  <c r="O95" i="46"/>
  <c r="O49" i="46"/>
  <c r="Q49" i="46" s="1"/>
  <c r="K49" i="49"/>
  <c r="G49" i="46"/>
  <c r="G49" i="49"/>
  <c r="O47" i="46"/>
  <c r="G47" i="46"/>
  <c r="G47" i="49"/>
  <c r="W47" i="46"/>
  <c r="S47" i="46"/>
  <c r="C47" i="49"/>
  <c r="C47" i="46"/>
  <c r="K47" i="46"/>
  <c r="K47" i="49"/>
  <c r="B132" i="23"/>
  <c r="S51" i="46"/>
  <c r="W51" i="46"/>
  <c r="O51" i="46"/>
  <c r="K51" i="49"/>
  <c r="K51" i="46"/>
  <c r="G51" i="46"/>
  <c r="G51" i="49"/>
  <c r="B121" i="23"/>
  <c r="C51" i="46"/>
  <c r="C51" i="49"/>
  <c r="K26" i="49"/>
  <c r="K26" i="46"/>
  <c r="C28" i="49"/>
  <c r="O26" i="46"/>
  <c r="W26" i="46"/>
  <c r="G24" i="49"/>
  <c r="L5" i="52" s="1"/>
  <c r="C24" i="49"/>
  <c r="L4" i="52" s="1"/>
  <c r="S26" i="46"/>
  <c r="K28" i="49"/>
  <c r="C26" i="49"/>
  <c r="R4" i="52" s="1"/>
  <c r="C26" i="46"/>
  <c r="AE26" i="46"/>
  <c r="S26" i="49"/>
  <c r="Q26" i="47"/>
  <c r="U26" i="56" s="1"/>
  <c r="E130" i="49"/>
  <c r="Q89" i="49"/>
  <c r="AA131" i="49"/>
  <c r="Y89" i="49"/>
  <c r="Q66" i="49"/>
  <c r="Q43" i="49"/>
  <c r="Z130" i="49"/>
  <c r="AH149" i="49"/>
  <c r="Y149" i="49"/>
  <c r="AB149" i="49"/>
  <c r="M149" i="49"/>
  <c r="E149" i="49"/>
  <c r="Y130" i="49"/>
  <c r="AI130" i="49"/>
  <c r="O16" i="59"/>
  <c r="F16" i="59"/>
  <c r="B25" i="62" s="1"/>
  <c r="I16" i="59"/>
  <c r="B43" i="62" s="1"/>
  <c r="K95" i="46"/>
  <c r="M95" i="46" s="1"/>
  <c r="E74" i="47"/>
  <c r="I74" i="47"/>
  <c r="I76" i="47"/>
  <c r="E76" i="47"/>
  <c r="C95" i="46"/>
  <c r="G95" i="49"/>
  <c r="G95" i="46"/>
  <c r="C97" i="49"/>
  <c r="C97" i="46"/>
  <c r="F46" i="51"/>
  <c r="Y66" i="49"/>
  <c r="I18" i="59"/>
  <c r="E43" i="62" s="1"/>
  <c r="L16" i="59"/>
  <c r="O72" i="49"/>
  <c r="AA72" i="46"/>
  <c r="M72" i="47"/>
  <c r="T27" i="56"/>
  <c r="L30" i="59"/>
  <c r="L29" i="59" s="1"/>
  <c r="I28" i="59"/>
  <c r="F28" i="59"/>
  <c r="F24" i="59"/>
  <c r="F25" i="62" s="1"/>
  <c r="F18" i="59"/>
  <c r="F19" i="59" s="1"/>
  <c r="D30" i="62" s="1"/>
  <c r="L27" i="59"/>
  <c r="F47" i="57"/>
  <c r="G27" i="57"/>
  <c r="J26" i="57"/>
  <c r="E29" i="56"/>
  <c r="Y30" i="56"/>
  <c r="J6" i="57" s="1"/>
  <c r="O26" i="59"/>
  <c r="O27" i="59" s="1"/>
  <c r="I26" i="59"/>
  <c r="F26" i="59"/>
  <c r="D64" i="49"/>
  <c r="H41" i="49"/>
  <c r="I41" i="49" s="1"/>
  <c r="H64" i="49"/>
  <c r="S70" i="47"/>
  <c r="L41" i="49"/>
  <c r="L42" i="49" s="1"/>
  <c r="D41" i="49"/>
  <c r="AA41" i="49" s="1"/>
  <c r="L64" i="49"/>
  <c r="M64" i="49" s="1"/>
  <c r="T64" i="49"/>
  <c r="O30" i="59"/>
  <c r="O17" i="59" s="1"/>
  <c r="O21" i="59"/>
  <c r="M41" i="49"/>
  <c r="E41" i="49"/>
  <c r="U64" i="49"/>
  <c r="AG64" i="49"/>
  <c r="I64" i="49"/>
  <c r="E64" i="49"/>
  <c r="O25" i="59"/>
  <c r="O29" i="59"/>
  <c r="O19" i="59"/>
  <c r="O23" i="59"/>
  <c r="F30" i="59"/>
  <c r="J25" i="62" s="1"/>
  <c r="I30" i="59"/>
  <c r="I17" i="59" s="1"/>
  <c r="D47" i="62" s="1"/>
  <c r="T41" i="49"/>
  <c r="D76" i="49"/>
  <c r="AA76" i="49" s="1"/>
  <c r="L76" i="49"/>
  <c r="M76" i="49" s="1"/>
  <c r="T47" i="49"/>
  <c r="X47" i="49" s="1"/>
  <c r="T43" i="49"/>
  <c r="U43" i="49" s="1"/>
  <c r="T76" i="49"/>
  <c r="J133" i="51"/>
  <c r="D53" i="49"/>
  <c r="D63" i="49" s="1"/>
  <c r="T53" i="49"/>
  <c r="T52" i="49" s="1"/>
  <c r="T44" i="49"/>
  <c r="L87" i="49"/>
  <c r="M87" i="49" s="1"/>
  <c r="L99" i="49"/>
  <c r="AC99" i="49" s="1"/>
  <c r="T87" i="49"/>
  <c r="L53" i="49"/>
  <c r="L63" i="49" s="1"/>
  <c r="H87" i="49"/>
  <c r="H88" i="49" s="1"/>
  <c r="D87" i="49"/>
  <c r="C104" i="51"/>
  <c r="AG41" i="46"/>
  <c r="H53" i="49"/>
  <c r="H69" i="49" s="1"/>
  <c r="H76" i="49"/>
  <c r="I76" i="49"/>
  <c r="D99" i="49"/>
  <c r="D115" i="49" s="1"/>
  <c r="U47" i="49"/>
  <c r="U41" i="49"/>
  <c r="Q50" i="47"/>
  <c r="AE49" i="46"/>
  <c r="S49" i="49"/>
  <c r="P76" i="49"/>
  <c r="P115" i="46"/>
  <c r="H109" i="49"/>
  <c r="X109" i="46"/>
  <c r="M99" i="49"/>
  <c r="H99" i="49"/>
  <c r="I99" i="49" s="1"/>
  <c r="P64" i="49"/>
  <c r="AE64" i="49" s="1"/>
  <c r="T48" i="49"/>
  <c r="E99" i="49"/>
  <c r="X115" i="46"/>
  <c r="P109" i="46"/>
  <c r="L109" i="49"/>
  <c r="AA87" i="49"/>
  <c r="D109" i="49"/>
  <c r="E87" i="49"/>
  <c r="L67" i="49"/>
  <c r="L48" i="49"/>
  <c r="L98" i="49"/>
  <c r="L75" i="49"/>
  <c r="L71" i="49"/>
  <c r="L90" i="49"/>
  <c r="L73" i="49"/>
  <c r="L52" i="49"/>
  <c r="AC53" i="49"/>
  <c r="T46" i="49"/>
  <c r="T63" i="49"/>
  <c r="T40" i="49"/>
  <c r="T67" i="49"/>
  <c r="T86" i="49"/>
  <c r="T50" i="49"/>
  <c r="T90" i="49"/>
  <c r="T71" i="49"/>
  <c r="T92" i="49"/>
  <c r="T94" i="49"/>
  <c r="AG53" i="49"/>
  <c r="U53" i="49"/>
  <c r="U76" i="49"/>
  <c r="T99" i="49"/>
  <c r="P41" i="49"/>
  <c r="X41" i="49" s="1"/>
  <c r="H67" i="49"/>
  <c r="H90" i="49"/>
  <c r="H44" i="49"/>
  <c r="H52" i="49"/>
  <c r="H75" i="49"/>
  <c r="H94" i="49"/>
  <c r="H98" i="49"/>
  <c r="H65" i="49"/>
  <c r="H109" i="46"/>
  <c r="T109" i="49"/>
  <c r="U87" i="49"/>
  <c r="D96" i="49"/>
  <c r="D71" i="49"/>
  <c r="D90" i="49"/>
  <c r="D73" i="49"/>
  <c r="D75" i="49"/>
  <c r="D52" i="49"/>
  <c r="D50" i="49"/>
  <c r="D42" i="49"/>
  <c r="Q52" i="47"/>
  <c r="Q97" i="47"/>
  <c r="S95" i="49"/>
  <c r="AE95" i="46"/>
  <c r="AE51" i="46"/>
  <c r="S51" i="49"/>
  <c r="B134" i="23"/>
  <c r="Q48" i="47"/>
  <c r="Q99" i="47"/>
  <c r="S97" i="49"/>
  <c r="AE97" i="46"/>
  <c r="P53" i="49"/>
  <c r="P94" i="49" s="1"/>
  <c r="P42" i="49"/>
  <c r="T115" i="49"/>
  <c r="AG99" i="49"/>
  <c r="U99" i="49"/>
  <c r="Q76" i="49"/>
  <c r="P87" i="49"/>
  <c r="P88" i="49" s="1"/>
  <c r="Q41" i="49"/>
  <c r="H115" i="46"/>
  <c r="Q64" i="49"/>
  <c r="AS99" i="46"/>
  <c r="AF115" i="46"/>
  <c r="H115" i="49"/>
  <c r="P99" i="49"/>
  <c r="AE99" i="49" s="1"/>
  <c r="P109" i="49"/>
  <c r="P73" i="49"/>
  <c r="P63" i="49"/>
  <c r="P40" i="49"/>
  <c r="P46" i="49"/>
  <c r="P67" i="49"/>
  <c r="P96" i="49"/>
  <c r="P86" i="49"/>
  <c r="P50" i="49"/>
  <c r="P52" i="49"/>
  <c r="AE53" i="49"/>
  <c r="X53" i="49"/>
  <c r="X133" i="49" s="1"/>
  <c r="AI133" i="49" s="1"/>
  <c r="AB115" i="46"/>
  <c r="AQ99" i="46"/>
  <c r="P115" i="49"/>
  <c r="X99" i="49"/>
  <c r="X90" i="49" s="1"/>
  <c r="O23" i="57"/>
  <c r="B16" i="50"/>
  <c r="B15" i="50"/>
  <c r="B14" i="50"/>
  <c r="B12" i="50"/>
  <c r="C30" i="46" s="1"/>
  <c r="C18" i="49"/>
  <c r="F4" i="52" s="1"/>
  <c r="C18" i="46"/>
  <c r="B27" i="50"/>
  <c r="W18" i="46"/>
  <c r="B24" i="50"/>
  <c r="K18" i="46"/>
  <c r="B26" i="50"/>
  <c r="S18" i="46"/>
  <c r="U18" i="46" s="1"/>
  <c r="G18" i="49"/>
  <c r="G18" i="46"/>
  <c r="B25" i="50"/>
  <c r="O18" i="46"/>
  <c r="K18" i="49"/>
  <c r="B18" i="50"/>
  <c r="AA30" i="46" s="1"/>
  <c r="AA29" i="46" s="1"/>
  <c r="AA18" i="46"/>
  <c r="M16" i="47"/>
  <c r="O18" i="49"/>
  <c r="B44" i="50"/>
  <c r="D13" i="50"/>
  <c r="G18" i="54"/>
  <c r="I18" i="54" s="1"/>
  <c r="D52" i="50"/>
  <c r="D131" i="35"/>
  <c r="D99" i="50"/>
  <c r="D109" i="50"/>
  <c r="B107" i="50"/>
  <c r="K76" i="46" s="1"/>
  <c r="K64" i="46"/>
  <c r="K64" i="49"/>
  <c r="B46" i="50"/>
  <c r="B124" i="35"/>
  <c r="D43" i="50"/>
  <c r="D53" i="50"/>
  <c r="D101" i="50"/>
  <c r="D110" i="50"/>
  <c r="B98" i="50"/>
  <c r="C64" i="46"/>
  <c r="E64" i="46" s="1"/>
  <c r="C64" i="49"/>
  <c r="B108" i="50"/>
  <c r="O64" i="46"/>
  <c r="Q64" i="46" s="1"/>
  <c r="D107" i="50"/>
  <c r="B99" i="50"/>
  <c r="G64" i="49"/>
  <c r="G64" i="46"/>
  <c r="I64" i="46" s="1"/>
  <c r="B109" i="50"/>
  <c r="S64" i="46"/>
  <c r="D12" i="50"/>
  <c r="C18" i="54"/>
  <c r="D25" i="50"/>
  <c r="O18" i="54"/>
  <c r="Q18" i="54" s="1"/>
  <c r="D26" i="50"/>
  <c r="S30" i="54" s="1"/>
  <c r="S18" i="54"/>
  <c r="D46" i="50"/>
  <c r="D54" i="50"/>
  <c r="D133" i="35"/>
  <c r="D27" i="50"/>
  <c r="W18" i="54"/>
  <c r="B43" i="50"/>
  <c r="G41" i="46"/>
  <c r="G41" i="49"/>
  <c r="B122" i="35"/>
  <c r="D42" i="50"/>
  <c r="B42" i="50"/>
  <c r="C41" i="46"/>
  <c r="C41" i="49"/>
  <c r="D51" i="50"/>
  <c r="D130" i="35"/>
  <c r="D98" i="50"/>
  <c r="D108" i="50"/>
  <c r="B101" i="50"/>
  <c r="B110" i="50"/>
  <c r="W64" i="46"/>
  <c r="Y64" i="46" s="1"/>
  <c r="I70" i="47"/>
  <c r="D334" i="51" s="1"/>
  <c r="D11" i="50"/>
  <c r="E41" i="55"/>
  <c r="E19" i="53"/>
  <c r="D121" i="35"/>
  <c r="U64" i="46"/>
  <c r="E70" i="47"/>
  <c r="D122" i="35"/>
  <c r="B53" i="50"/>
  <c r="S41" i="46"/>
  <c r="B132" i="35"/>
  <c r="B54" i="50"/>
  <c r="W53" i="46" s="1"/>
  <c r="W41" i="46"/>
  <c r="Y41" i="46" s="1"/>
  <c r="B52" i="50"/>
  <c r="O41" i="46"/>
  <c r="Q41" i="46" s="1"/>
  <c r="B131" i="35"/>
  <c r="S87" i="46"/>
  <c r="W87" i="46"/>
  <c r="Y87" i="46" s="1"/>
  <c r="O87" i="46"/>
  <c r="Q87" i="46" s="1"/>
  <c r="B133" i="35"/>
  <c r="B51" i="50"/>
  <c r="K41" i="46"/>
  <c r="M41" i="46" s="1"/>
  <c r="B130" i="35"/>
  <c r="K41" i="49"/>
  <c r="K87" i="46"/>
  <c r="K109" i="46" s="1"/>
  <c r="K87" i="49"/>
  <c r="I42" i="47"/>
  <c r="E134" i="51" s="1"/>
  <c r="D24" i="50"/>
  <c r="K18" i="54"/>
  <c r="I41" i="55"/>
  <c r="AG26" i="46" l="1"/>
  <c r="Q26" i="54"/>
  <c r="AG26" i="54"/>
  <c r="K27" i="53"/>
  <c r="AS45" i="46"/>
  <c r="AF74" i="49"/>
  <c r="AB73" i="46"/>
  <c r="Y26" i="56"/>
  <c r="G6" i="57" s="1"/>
  <c r="AR20" i="46"/>
  <c r="AF20" i="49"/>
  <c r="AB39" i="49"/>
  <c r="F8" i="51"/>
  <c r="G113" i="46"/>
  <c r="G113" i="49"/>
  <c r="I113" i="49" s="1"/>
  <c r="S109" i="46"/>
  <c r="O19" i="53"/>
  <c r="AG18" i="49"/>
  <c r="AC18" i="46"/>
  <c r="Q18" i="49"/>
  <c r="D232" i="51"/>
  <c r="AC28" i="49"/>
  <c r="M28" i="49"/>
  <c r="S39" i="55"/>
  <c r="M20" i="46"/>
  <c r="AB66" i="49"/>
  <c r="G47" i="55"/>
  <c r="AR24" i="54"/>
  <c r="G23" i="53"/>
  <c r="AG28" i="54"/>
  <c r="U28" i="46"/>
  <c r="AG87" i="46"/>
  <c r="AQ53" i="46"/>
  <c r="R98" i="47"/>
  <c r="O45" i="55"/>
  <c r="Q22" i="54"/>
  <c r="AE49" i="49"/>
  <c r="N110" i="47"/>
  <c r="O97" i="47"/>
  <c r="U72" i="46"/>
  <c r="M51" i="46"/>
  <c r="AG95" i="49"/>
  <c r="O18" i="55"/>
  <c r="J276" i="51"/>
  <c r="X50" i="46"/>
  <c r="S46" i="47"/>
  <c r="AQ76" i="46"/>
  <c r="V78" i="47"/>
  <c r="J247" i="51" s="1"/>
  <c r="AC87" i="49"/>
  <c r="M72" i="46"/>
  <c r="AM72" i="46"/>
  <c r="N117" i="47"/>
  <c r="E23" i="56"/>
  <c r="C37" i="57" s="1"/>
  <c r="J29" i="56"/>
  <c r="J115" i="47"/>
  <c r="D195" i="51" s="1"/>
  <c r="R111" i="47"/>
  <c r="AF48" i="46"/>
  <c r="F73" i="47"/>
  <c r="F361" i="51" s="1"/>
  <c r="K39" i="55"/>
  <c r="M16" i="54"/>
  <c r="G21" i="53"/>
  <c r="K43" i="55"/>
  <c r="V21" i="53"/>
  <c r="I19" i="50"/>
  <c r="C113" i="46"/>
  <c r="S113" i="49"/>
  <c r="U113" i="49" s="1"/>
  <c r="AR95" i="46"/>
  <c r="AJ26" i="54"/>
  <c r="S113" i="46"/>
  <c r="AQ26" i="54"/>
  <c r="AS26" i="54"/>
  <c r="V49" i="55"/>
  <c r="AP24" i="54"/>
  <c r="S22" i="47"/>
  <c r="S23" i="53"/>
  <c r="AJ22" i="54"/>
  <c r="M22" i="54"/>
  <c r="I47" i="50"/>
  <c r="G19" i="50"/>
  <c r="N51" i="47"/>
  <c r="AE50" i="49" s="1"/>
  <c r="N25" i="59"/>
  <c r="Y28" i="56"/>
  <c r="AJ41" i="46"/>
  <c r="T46" i="46"/>
  <c r="AG22" i="46"/>
  <c r="S22" i="55"/>
  <c r="U22" i="49"/>
  <c r="F232" i="51"/>
  <c r="G102" i="50"/>
  <c r="V45" i="55"/>
  <c r="E28" i="49"/>
  <c r="S114" i="49"/>
  <c r="U114" i="49" s="1"/>
  <c r="K29" i="53"/>
  <c r="T25" i="56"/>
  <c r="U28" i="56"/>
  <c r="Z28" i="56" s="1"/>
  <c r="T29" i="56"/>
  <c r="F20" i="55"/>
  <c r="G20" i="55" s="1"/>
  <c r="W20" i="49"/>
  <c r="W151" i="49" s="1"/>
  <c r="AH151" i="49" s="1"/>
  <c r="Q26" i="46"/>
  <c r="M26" i="49"/>
  <c r="AS24" i="46"/>
  <c r="AF22" i="49"/>
  <c r="M22" i="49"/>
  <c r="I16" i="54"/>
  <c r="G39" i="55"/>
  <c r="Q20" i="54"/>
  <c r="AS20" i="54"/>
  <c r="F334" i="51"/>
  <c r="G43" i="55"/>
  <c r="AP20" i="54"/>
  <c r="AQ20" i="54"/>
  <c r="AR18" i="46"/>
  <c r="AI26" i="54"/>
  <c r="AK26" i="54" s="1"/>
  <c r="U49" i="55"/>
  <c r="AB26" i="49"/>
  <c r="AP26" i="54"/>
  <c r="S27" i="54"/>
  <c r="K49" i="55"/>
  <c r="C27" i="46"/>
  <c r="Y22" i="54"/>
  <c r="O22" i="55"/>
  <c r="M22" i="46"/>
  <c r="AC22" i="46"/>
  <c r="AR68" i="46"/>
  <c r="K23" i="53"/>
  <c r="AR22" i="46"/>
  <c r="AR45" i="46"/>
  <c r="U23" i="53"/>
  <c r="AS22" i="46"/>
  <c r="U45" i="55"/>
  <c r="AS22" i="54"/>
  <c r="G45" i="55"/>
  <c r="S45" i="55"/>
  <c r="E28" i="54"/>
  <c r="AD28" i="49"/>
  <c r="AQ28" i="54"/>
  <c r="AB74" i="49"/>
  <c r="A8" i="51"/>
  <c r="F20" i="51"/>
  <c r="I13" i="47"/>
  <c r="M13" i="47" s="1"/>
  <c r="Q13" i="47" s="1"/>
  <c r="U13" i="47" s="1"/>
  <c r="G36" i="46"/>
  <c r="G59" i="46" s="1"/>
  <c r="G82" i="46" s="1"/>
  <c r="K13" i="46"/>
  <c r="E36" i="55"/>
  <c r="G109" i="49"/>
  <c r="I109" i="49" s="1"/>
  <c r="C120" i="35"/>
  <c r="B129" i="35"/>
  <c r="I91" i="47"/>
  <c r="E277" i="51" s="1"/>
  <c r="C123" i="35"/>
  <c r="G87" i="46"/>
  <c r="I87" i="46" s="1"/>
  <c r="E42" i="47"/>
  <c r="Z42" i="47" s="1"/>
  <c r="Y18" i="46"/>
  <c r="H18" i="46"/>
  <c r="H18" i="49"/>
  <c r="E5" i="52" s="1"/>
  <c r="F16" i="47"/>
  <c r="B8" i="51" s="1"/>
  <c r="E18" i="46"/>
  <c r="C214" i="51"/>
  <c r="E18" i="49"/>
  <c r="E129" i="35"/>
  <c r="J51" i="47"/>
  <c r="F142" i="51" s="1"/>
  <c r="J98" i="47"/>
  <c r="F285" i="51" s="1"/>
  <c r="N98" i="47"/>
  <c r="AE96" i="49" s="1"/>
  <c r="R94" i="47"/>
  <c r="AG92" i="49" s="1"/>
  <c r="D40" i="46"/>
  <c r="T40" i="46"/>
  <c r="L63" i="46"/>
  <c r="D86" i="46"/>
  <c r="T86" i="46"/>
  <c r="L42" i="46"/>
  <c r="T42" i="46"/>
  <c r="E36" i="56"/>
  <c r="F36" i="56"/>
  <c r="K82" i="46"/>
  <c r="O82" i="46" s="1"/>
  <c r="S82" i="46" s="1"/>
  <c r="W82" i="46" s="1"/>
  <c r="G105" i="46"/>
  <c r="K105" i="46" s="1"/>
  <c r="AA105" i="46" s="1"/>
  <c r="AE105" i="46" s="1"/>
  <c r="AI105" i="46" s="1"/>
  <c r="L126" i="49"/>
  <c r="AC126" i="49" s="1"/>
  <c r="Y41" i="49"/>
  <c r="X126" i="49"/>
  <c r="AI126" i="49" s="1"/>
  <c r="D126" i="49"/>
  <c r="AA126" i="49" s="1"/>
  <c r="X42" i="49"/>
  <c r="X48" i="49"/>
  <c r="X127" i="49"/>
  <c r="AI127" i="49" s="1"/>
  <c r="D127" i="49"/>
  <c r="AA127" i="49" s="1"/>
  <c r="L127" i="49"/>
  <c r="AC127" i="49" s="1"/>
  <c r="H127" i="49"/>
  <c r="Y47" i="49"/>
  <c r="AR26" i="54"/>
  <c r="S27" i="53"/>
  <c r="Y99" i="49"/>
  <c r="P75" i="49"/>
  <c r="P69" i="49"/>
  <c r="X87" i="49"/>
  <c r="H126" i="49"/>
  <c r="X76" i="49"/>
  <c r="AI76" i="49" s="1"/>
  <c r="D40" i="49"/>
  <c r="D69" i="49"/>
  <c r="H40" i="49"/>
  <c r="H71" i="49"/>
  <c r="T98" i="49"/>
  <c r="T75" i="49"/>
  <c r="L50" i="49"/>
  <c r="L69" i="49"/>
  <c r="L92" i="49"/>
  <c r="L88" i="49"/>
  <c r="L115" i="49"/>
  <c r="AC76" i="49"/>
  <c r="E76" i="49"/>
  <c r="AL72" i="46"/>
  <c r="A59" i="51"/>
  <c r="X113" i="49"/>
  <c r="Y95" i="49"/>
  <c r="W49" i="55"/>
  <c r="H78" i="36"/>
  <c r="D129" i="36"/>
  <c r="D87" i="36"/>
  <c r="D124" i="36"/>
  <c r="H73" i="36"/>
  <c r="X94" i="49"/>
  <c r="X43" i="49"/>
  <c r="I19" i="59"/>
  <c r="D50" i="62" s="1"/>
  <c r="X98" i="49"/>
  <c r="H133" i="49"/>
  <c r="D133" i="49"/>
  <c r="P92" i="49"/>
  <c r="P98" i="49"/>
  <c r="Q87" i="49"/>
  <c r="D65" i="49"/>
  <c r="D48" i="49"/>
  <c r="D94" i="49"/>
  <c r="T88" i="49"/>
  <c r="H50" i="49"/>
  <c r="H63" i="49"/>
  <c r="T65" i="49"/>
  <c r="T96" i="49"/>
  <c r="T73" i="49"/>
  <c r="L44" i="49"/>
  <c r="L40" i="49"/>
  <c r="L94" i="49"/>
  <c r="AC41" i="49"/>
  <c r="T42" i="49"/>
  <c r="F17" i="59"/>
  <c r="D29" i="62" s="1"/>
  <c r="L21" i="59"/>
  <c r="M130" i="49"/>
  <c r="I8" i="51"/>
  <c r="U27" i="53"/>
  <c r="I22" i="54"/>
  <c r="AM22" i="54"/>
  <c r="I26" i="54"/>
  <c r="AL26" i="54"/>
  <c r="Y26" i="54"/>
  <c r="AN26" i="54"/>
  <c r="X45" i="49"/>
  <c r="E45" i="49"/>
  <c r="X39" i="49"/>
  <c r="Q39" i="49"/>
  <c r="AE39" i="49"/>
  <c r="I62" i="49"/>
  <c r="X62" i="49"/>
  <c r="M68" i="49"/>
  <c r="X68" i="49"/>
  <c r="M95" i="49"/>
  <c r="AC95" i="49"/>
  <c r="L113" i="49"/>
  <c r="U85" i="49"/>
  <c r="T108" i="49"/>
  <c r="I70" i="36"/>
  <c r="E69" i="36"/>
  <c r="E70" i="50"/>
  <c r="C126" i="33"/>
  <c r="X92" i="49"/>
  <c r="Q99" i="49"/>
  <c r="Y53" i="49"/>
  <c r="Q53" i="49"/>
  <c r="P71" i="49"/>
  <c r="P48" i="49"/>
  <c r="E53" i="49"/>
  <c r="D98" i="49"/>
  <c r="D92" i="49"/>
  <c r="H42" i="49"/>
  <c r="H92" i="49"/>
  <c r="H48" i="49"/>
  <c r="L46" i="49"/>
  <c r="L86" i="49"/>
  <c r="I87" i="49"/>
  <c r="L129" i="49"/>
  <c r="AC129" i="49" s="1"/>
  <c r="X129" i="49"/>
  <c r="AI129" i="49" s="1"/>
  <c r="D129" i="49"/>
  <c r="AA129" i="49" s="1"/>
  <c r="Y49" i="49"/>
  <c r="Z149" i="49"/>
  <c r="AS18" i="46"/>
  <c r="AG18" i="46"/>
  <c r="M20" i="54"/>
  <c r="X96" i="49"/>
  <c r="L133" i="49"/>
  <c r="AC133" i="49" s="1"/>
  <c r="L17" i="59"/>
  <c r="AQ16" i="54"/>
  <c r="AC16" i="54"/>
  <c r="AJ16" i="54"/>
  <c r="E214" i="51"/>
  <c r="F84" i="47"/>
  <c r="F107" i="47" s="1"/>
  <c r="J107" i="47" s="1"/>
  <c r="N107" i="47" s="1"/>
  <c r="R107" i="47" s="1"/>
  <c r="V107" i="47" s="1"/>
  <c r="J61" i="47"/>
  <c r="E120" i="30"/>
  <c r="E75" i="30"/>
  <c r="H69" i="30"/>
  <c r="F72" i="30"/>
  <c r="C123" i="30"/>
  <c r="G72" i="30"/>
  <c r="B132" i="30"/>
  <c r="F81" i="30"/>
  <c r="B78" i="30"/>
  <c r="D133" i="33"/>
  <c r="AA53" i="49"/>
  <c r="AE41" i="49"/>
  <c r="AA64" i="49"/>
  <c r="E333" i="51"/>
  <c r="AO72" i="46"/>
  <c r="AG87" i="49"/>
  <c r="L65" i="49"/>
  <c r="I53" i="49"/>
  <c r="AM26" i="54"/>
  <c r="G27" i="53"/>
  <c r="AO22" i="54"/>
  <c r="F82" i="36"/>
  <c r="B133" i="36"/>
  <c r="B122" i="30"/>
  <c r="B69" i="30"/>
  <c r="F71" i="30"/>
  <c r="H78" i="30"/>
  <c r="D87" i="30"/>
  <c r="D129" i="30"/>
  <c r="J13" i="47"/>
  <c r="N13" i="47" s="1"/>
  <c r="R13" i="47" s="1"/>
  <c r="V13" i="47" s="1"/>
  <c r="I75" i="51"/>
  <c r="F79" i="51"/>
  <c r="I46" i="51"/>
  <c r="A75" i="51"/>
  <c r="A16" i="51"/>
  <c r="A46" i="51"/>
  <c r="A88" i="51"/>
  <c r="E129" i="36"/>
  <c r="I78" i="36"/>
  <c r="E87" i="36"/>
  <c r="X115" i="49"/>
  <c r="X64" i="49"/>
  <c r="X86" i="49"/>
  <c r="X50" i="49"/>
  <c r="D46" i="49"/>
  <c r="D67" i="49"/>
  <c r="D86" i="49"/>
  <c r="H73" i="49"/>
  <c r="H96" i="49"/>
  <c r="D88" i="49"/>
  <c r="P44" i="49"/>
  <c r="P90" i="49"/>
  <c r="P65" i="49"/>
  <c r="D44" i="49"/>
  <c r="H46" i="49"/>
  <c r="H86" i="49"/>
  <c r="T69" i="49"/>
  <c r="M53" i="49"/>
  <c r="L96" i="49"/>
  <c r="AB70" i="49"/>
  <c r="X112" i="49"/>
  <c r="A29" i="51"/>
  <c r="E14" i="53"/>
  <c r="I14" i="53" s="1"/>
  <c r="M14" i="53" s="1"/>
  <c r="Q14" i="53" s="1"/>
  <c r="U14" i="53" s="1"/>
  <c r="E37" i="47"/>
  <c r="G79" i="51"/>
  <c r="B2" i="47"/>
  <c r="G20" i="51"/>
  <c r="C13" i="49"/>
  <c r="G51" i="51"/>
  <c r="C125" i="33"/>
  <c r="F51" i="51"/>
  <c r="AP20" i="46"/>
  <c r="AD20" i="49"/>
  <c r="AG20" i="47"/>
  <c r="U24" i="56"/>
  <c r="AR24" i="46"/>
  <c r="AD44" i="47"/>
  <c r="C134" i="51"/>
  <c r="K4" i="52"/>
  <c r="E24" i="49"/>
  <c r="AL28" i="54"/>
  <c r="AB43" i="49"/>
  <c r="AP22" i="54"/>
  <c r="K51" i="55"/>
  <c r="E124" i="36"/>
  <c r="I73" i="36"/>
  <c r="C130" i="36"/>
  <c r="C78" i="36"/>
  <c r="D123" i="30"/>
  <c r="H72" i="30"/>
  <c r="B129" i="33"/>
  <c r="D125" i="33"/>
  <c r="R20" i="59"/>
  <c r="D7" i="62" s="1"/>
  <c r="AC18" i="49"/>
  <c r="Q22" i="46"/>
  <c r="V23" i="53"/>
  <c r="O43" i="55"/>
  <c r="V43" i="55"/>
  <c r="AE45" i="49"/>
  <c r="AG45" i="49"/>
  <c r="AG91" i="49"/>
  <c r="D20" i="50"/>
  <c r="L23" i="59"/>
  <c r="AG20" i="49"/>
  <c r="U22" i="46"/>
  <c r="AF45" i="49"/>
  <c r="AG22" i="54"/>
  <c r="AC22" i="54"/>
  <c r="AM20" i="54"/>
  <c r="AG20" i="54"/>
  <c r="AO26" i="54"/>
  <c r="S16" i="55"/>
  <c r="U43" i="55"/>
  <c r="Y28" i="46"/>
  <c r="I79" i="36"/>
  <c r="E87" i="30"/>
  <c r="B69" i="36"/>
  <c r="B121" i="36"/>
  <c r="E130" i="36"/>
  <c r="D27" i="54"/>
  <c r="D132" i="33"/>
  <c r="E134" i="38"/>
  <c r="C134" i="35"/>
  <c r="L25" i="59"/>
  <c r="AP28" i="46"/>
  <c r="AJ20" i="54"/>
  <c r="AU20" i="54" s="1"/>
  <c r="U51" i="55"/>
  <c r="C124" i="30"/>
  <c r="G73" i="30"/>
  <c r="E132" i="33"/>
  <c r="AQ18" i="46"/>
  <c r="Y22" i="46"/>
  <c r="Q22" i="49"/>
  <c r="V27" i="53"/>
  <c r="O13" i="54"/>
  <c r="S13" i="54" s="1"/>
  <c r="W13" i="54" s="1"/>
  <c r="AM16" i="54"/>
  <c r="G25" i="53"/>
  <c r="S49" i="55"/>
  <c r="H71" i="36"/>
  <c r="F81" i="36"/>
  <c r="E131" i="36"/>
  <c r="AI20" i="47"/>
  <c r="Q28" i="46"/>
  <c r="AO24" i="54"/>
  <c r="S26" i="55"/>
  <c r="F79" i="36"/>
  <c r="I79" i="30"/>
  <c r="B78" i="36"/>
  <c r="G70" i="30"/>
  <c r="AG96" i="49"/>
  <c r="B122" i="33"/>
  <c r="AJ28" i="54"/>
  <c r="AO28" i="54"/>
  <c r="D120" i="33"/>
  <c r="B134" i="36"/>
  <c r="I71" i="30"/>
  <c r="C69" i="36"/>
  <c r="C69" i="30"/>
  <c r="D69" i="36"/>
  <c r="G72" i="36"/>
  <c r="C123" i="36"/>
  <c r="G79" i="36"/>
  <c r="G82" i="36"/>
  <c r="B125" i="33"/>
  <c r="H78" i="24"/>
  <c r="D87" i="24"/>
  <c r="D129" i="24"/>
  <c r="V29" i="53"/>
  <c r="H81" i="36"/>
  <c r="H70" i="36"/>
  <c r="I83" i="30"/>
  <c r="D123" i="33"/>
  <c r="H23" i="54"/>
  <c r="G78" i="24"/>
  <c r="C87" i="24"/>
  <c r="G87" i="24" s="1"/>
  <c r="AL22" i="54"/>
  <c r="U22" i="54"/>
  <c r="O41" i="55"/>
  <c r="AR41" i="46"/>
  <c r="E123" i="30"/>
  <c r="D132" i="30"/>
  <c r="H80" i="30"/>
  <c r="D134" i="33"/>
  <c r="G69" i="24"/>
  <c r="C75" i="24"/>
  <c r="D106" i="50"/>
  <c r="AG66" i="49"/>
  <c r="Y45" i="46"/>
  <c r="E68" i="46"/>
  <c r="AA49" i="49"/>
  <c r="R47" i="47"/>
  <c r="AG46" i="49" s="1"/>
  <c r="AC64" i="49"/>
  <c r="B120" i="28"/>
  <c r="AG70" i="49"/>
  <c r="AE85" i="49"/>
  <c r="Y43" i="46"/>
  <c r="H69" i="24"/>
  <c r="D75" i="24"/>
  <c r="D89" i="24" s="1"/>
  <c r="X69" i="46"/>
  <c r="AF73" i="46"/>
  <c r="P96" i="46"/>
  <c r="N29" i="59"/>
  <c r="F78" i="24"/>
  <c r="G70" i="24"/>
  <c r="I45" i="46"/>
  <c r="O25" i="56"/>
  <c r="F69" i="24"/>
  <c r="D70" i="50"/>
  <c r="D121" i="50" s="1"/>
  <c r="E138" i="41"/>
  <c r="AJ49" i="46"/>
  <c r="AM76" i="46"/>
  <c r="L109" i="46"/>
  <c r="M109" i="46" s="1"/>
  <c r="AQ64" i="46"/>
  <c r="AM87" i="46"/>
  <c r="T88" i="46"/>
  <c r="AJ95" i="46"/>
  <c r="C52" i="62"/>
  <c r="D112" i="46"/>
  <c r="O17" i="56"/>
  <c r="Y16" i="56"/>
  <c r="B6" i="57" s="1"/>
  <c r="E41" i="50"/>
  <c r="AC74" i="49"/>
  <c r="S76" i="47"/>
  <c r="D44" i="46"/>
  <c r="P40" i="46"/>
  <c r="T44" i="46"/>
  <c r="H63" i="46"/>
  <c r="L67" i="46"/>
  <c r="X63" i="46"/>
  <c r="AB67" i="46"/>
  <c r="D90" i="46"/>
  <c r="P86" i="46"/>
  <c r="T90" i="46"/>
  <c r="B87" i="24"/>
  <c r="F87" i="24" s="1"/>
  <c r="D50" i="46"/>
  <c r="T96" i="46"/>
  <c r="AE93" i="49"/>
  <c r="AC70" i="49"/>
  <c r="U68" i="46"/>
  <c r="U45" i="46"/>
  <c r="U22" i="56"/>
  <c r="Z22" i="56" s="1"/>
  <c r="B75" i="24"/>
  <c r="K21" i="56"/>
  <c r="D56" i="57" s="1"/>
  <c r="S72" i="47"/>
  <c r="D73" i="46"/>
  <c r="AB50" i="46"/>
  <c r="F21" i="56"/>
  <c r="D34" i="57" s="1"/>
  <c r="U87" i="46"/>
  <c r="K25" i="56"/>
  <c r="AJ53" i="46"/>
  <c r="S42" i="47"/>
  <c r="AC72" i="49"/>
  <c r="AB113" i="46"/>
  <c r="D65" i="46"/>
  <c r="F42" i="62"/>
  <c r="K27" i="56"/>
  <c r="D57" i="57" s="1"/>
  <c r="AB109" i="46"/>
  <c r="J104" i="51"/>
  <c r="D115" i="46"/>
  <c r="AG49" i="46"/>
  <c r="AS49" i="46"/>
  <c r="V91" i="47"/>
  <c r="C257" i="51" s="1"/>
  <c r="AQ41" i="46"/>
  <c r="AS87" i="46"/>
  <c r="T109" i="46"/>
  <c r="U109" i="46" s="1"/>
  <c r="D109" i="46"/>
  <c r="F92" i="47"/>
  <c r="F299" i="51" s="1"/>
  <c r="Q72" i="46"/>
  <c r="U41" i="46"/>
  <c r="AM64" i="46"/>
  <c r="F71" i="47"/>
  <c r="F357" i="51" s="1"/>
  <c r="AA99" i="49"/>
  <c r="AG41" i="49"/>
  <c r="R110" i="47"/>
  <c r="H19" i="59"/>
  <c r="C50" i="62" s="1"/>
  <c r="L65" i="46"/>
  <c r="V101" i="47"/>
  <c r="AI99" i="49" s="1"/>
  <c r="AM99" i="46"/>
  <c r="K72" i="47"/>
  <c r="E50" i="50"/>
  <c r="C39" i="57"/>
  <c r="F27" i="56"/>
  <c r="D38" i="57" s="1"/>
  <c r="H73" i="46"/>
  <c r="F23" i="56"/>
  <c r="D37" i="57" s="1"/>
  <c r="U132" i="49"/>
  <c r="F19" i="53"/>
  <c r="AM18" i="54" s="1"/>
  <c r="AF88" i="46"/>
  <c r="Y29" i="56"/>
  <c r="K41" i="55"/>
  <c r="AG43" i="49"/>
  <c r="U43" i="46"/>
  <c r="AC66" i="46"/>
  <c r="F41" i="55"/>
  <c r="G41" i="55" s="1"/>
  <c r="E11" i="50"/>
  <c r="F30" i="55" s="1"/>
  <c r="F23" i="55" s="1"/>
  <c r="M66" i="46"/>
  <c r="AF42" i="46"/>
  <c r="N41" i="47"/>
  <c r="AE40" i="49" s="1"/>
  <c r="Y18" i="54"/>
  <c r="F17" i="56"/>
  <c r="U152" i="49"/>
  <c r="J92" i="47"/>
  <c r="F284" i="51" s="1"/>
  <c r="H25" i="59"/>
  <c r="J41" i="47"/>
  <c r="B138" i="51" s="1"/>
  <c r="Y18" i="56"/>
  <c r="C6" i="57" s="1"/>
  <c r="T92" i="46"/>
  <c r="Q16" i="59"/>
  <c r="B6" i="62" s="1"/>
  <c r="R41" i="47"/>
  <c r="AG40" i="49" s="1"/>
  <c r="R88" i="47"/>
  <c r="AG86" i="49" s="1"/>
  <c r="AB63" i="46"/>
  <c r="L69" i="46"/>
  <c r="AP18" i="54"/>
  <c r="M18" i="54"/>
  <c r="D81" i="50"/>
  <c r="I81" i="50" s="1"/>
  <c r="D132" i="35"/>
  <c r="M18" i="46"/>
  <c r="C46" i="51"/>
  <c r="D124" i="35"/>
  <c r="C232" i="51"/>
  <c r="AO18" i="46"/>
  <c r="K70" i="47"/>
  <c r="AJ18" i="46"/>
  <c r="D50" i="50"/>
  <c r="U41" i="55"/>
  <c r="N116" i="47"/>
  <c r="K17" i="56"/>
  <c r="F29" i="56"/>
  <c r="F5" i="52"/>
  <c r="AO53" i="46"/>
  <c r="V50" i="47"/>
  <c r="AC93" i="49"/>
  <c r="E39" i="46"/>
  <c r="G104" i="51"/>
  <c r="AM18" i="46"/>
  <c r="J113" i="47"/>
  <c r="C24" i="62"/>
  <c r="R51" i="47"/>
  <c r="AG50" i="49" s="1"/>
  <c r="V70" i="47"/>
  <c r="F117" i="47"/>
  <c r="H189" i="51" s="1"/>
  <c r="N115" i="47"/>
  <c r="R92" i="47"/>
  <c r="AG88" i="49" s="1"/>
  <c r="L50" i="46"/>
  <c r="AF50" i="46"/>
  <c r="P73" i="46"/>
  <c r="T73" i="46"/>
  <c r="AB65" i="46"/>
  <c r="AS64" i="46"/>
  <c r="L115" i="46"/>
  <c r="I19" i="53"/>
  <c r="AN18" i="54" s="1"/>
  <c r="K29" i="56"/>
  <c r="F25" i="56"/>
  <c r="D36" i="57" s="1"/>
  <c r="V54" i="47"/>
  <c r="J161" i="51" s="1"/>
  <c r="F98" i="47"/>
  <c r="AQ68" i="46"/>
  <c r="Q66" i="46"/>
  <c r="R116" i="47"/>
  <c r="G24" i="62"/>
  <c r="P94" i="46"/>
  <c r="J43" i="47"/>
  <c r="F141" i="51" s="1"/>
  <c r="N67" i="47"/>
  <c r="AE69" i="49" s="1"/>
  <c r="R75" i="47"/>
  <c r="AG71" i="49" s="1"/>
  <c r="N94" i="47"/>
  <c r="AE92" i="49" s="1"/>
  <c r="H42" i="46"/>
  <c r="P42" i="46"/>
  <c r="AB46" i="46"/>
  <c r="H65" i="46"/>
  <c r="P65" i="46"/>
  <c r="X65" i="46"/>
  <c r="AB69" i="46"/>
  <c r="AF69" i="46"/>
  <c r="D113" i="46"/>
  <c r="H98" i="46"/>
  <c r="P88" i="46"/>
  <c r="AB92" i="46"/>
  <c r="J27" i="57"/>
  <c r="I18" i="46"/>
  <c r="AG97" i="46"/>
  <c r="AS53" i="46"/>
  <c r="E120" i="35"/>
  <c r="AM95" i="46"/>
  <c r="AE89" i="49"/>
  <c r="D333" i="51"/>
  <c r="C125" i="35"/>
  <c r="H69" i="46"/>
  <c r="D39" i="57"/>
  <c r="F19" i="56"/>
  <c r="D33" i="57" s="1"/>
  <c r="Q18" i="46"/>
  <c r="AE68" i="49"/>
  <c r="V97" i="47"/>
  <c r="AE18" i="49"/>
  <c r="M68" i="46"/>
  <c r="N43" i="47"/>
  <c r="AE42" i="49" s="1"/>
  <c r="AA95" i="49"/>
  <c r="AA62" i="49"/>
  <c r="M45" i="46"/>
  <c r="Q68" i="46"/>
  <c r="AC39" i="49"/>
  <c r="N45" i="47"/>
  <c r="AE44" i="49" s="1"/>
  <c r="J53" i="47"/>
  <c r="AC52" i="49" s="1"/>
  <c r="F67" i="47"/>
  <c r="AA69" i="49" s="1"/>
  <c r="D58" i="57"/>
  <c r="K19" i="56"/>
  <c r="D55" i="57" s="1"/>
  <c r="Y27" i="56"/>
  <c r="C18" i="57" s="1"/>
  <c r="AM68" i="46"/>
  <c r="G46" i="47"/>
  <c r="U129" i="49"/>
  <c r="Y68" i="46"/>
  <c r="J49" i="47"/>
  <c r="AC48" i="49" s="1"/>
  <c r="K23" i="56"/>
  <c r="D54" i="57" s="1"/>
  <c r="T111" i="46"/>
  <c r="Y21" i="56"/>
  <c r="C15" i="57" s="1"/>
  <c r="I62" i="46"/>
  <c r="B27" i="57"/>
  <c r="AA68" i="49"/>
  <c r="H111" i="46"/>
  <c r="AJ68" i="46"/>
  <c r="E29" i="59"/>
  <c r="J94" i="47"/>
  <c r="F283" i="51" s="1"/>
  <c r="L92" i="46"/>
  <c r="L46" i="46"/>
  <c r="D111" i="46"/>
  <c r="E27" i="56"/>
  <c r="C38" i="57" s="1"/>
  <c r="E106" i="50"/>
  <c r="I68" i="46"/>
  <c r="Y22" i="56"/>
  <c r="E6" i="57" s="1"/>
  <c r="F47" i="47"/>
  <c r="AA46" i="49" s="1"/>
  <c r="D69" i="46"/>
  <c r="AS95" i="46"/>
  <c r="E18" i="54"/>
  <c r="AA45" i="49"/>
  <c r="AO18" i="54"/>
  <c r="J114" i="47"/>
  <c r="E195" i="51" s="1"/>
  <c r="AF114" i="46"/>
  <c r="K21" i="59"/>
  <c r="P69" i="46"/>
  <c r="P46" i="46"/>
  <c r="D46" i="46"/>
  <c r="H92" i="46"/>
  <c r="E19" i="56"/>
  <c r="C33" i="57" s="1"/>
  <c r="J19" i="56"/>
  <c r="C55" i="57" s="1"/>
  <c r="O19" i="56"/>
  <c r="T19" i="56"/>
  <c r="E51" i="46"/>
  <c r="J75" i="47"/>
  <c r="AC71" i="49" s="1"/>
  <c r="AO49" i="46"/>
  <c r="X46" i="46"/>
  <c r="AJ72" i="46"/>
  <c r="AJ113" i="46" s="1"/>
  <c r="X92" i="46"/>
  <c r="N17" i="59"/>
  <c r="E103" i="50"/>
  <c r="C108" i="49"/>
  <c r="E108" i="49" s="1"/>
  <c r="C138" i="41"/>
  <c r="C129" i="41"/>
  <c r="O17" i="53"/>
  <c r="K17" i="53"/>
  <c r="Y16" i="54"/>
  <c r="J31" i="53"/>
  <c r="J22" i="53" s="1"/>
  <c r="O16" i="55"/>
  <c r="U127" i="49"/>
  <c r="AG16" i="54"/>
  <c r="G17" i="53"/>
  <c r="E16" i="54"/>
  <c r="U16" i="54"/>
  <c r="AF39" i="49"/>
  <c r="U149" i="49"/>
  <c r="AS16" i="46"/>
  <c r="AR39" i="46"/>
  <c r="Q16" i="49"/>
  <c r="C120" i="41"/>
  <c r="AC16" i="49"/>
  <c r="O18" i="47"/>
  <c r="AR16" i="46"/>
  <c r="U125" i="49"/>
  <c r="U145" i="49"/>
  <c r="AF16" i="49"/>
  <c r="U17" i="53"/>
  <c r="U39" i="55"/>
  <c r="AN39" i="46"/>
  <c r="S17" i="53"/>
  <c r="U39" i="46"/>
  <c r="C126" i="41"/>
  <c r="D126" i="41"/>
  <c r="AF132" i="49"/>
  <c r="AG62" i="46"/>
  <c r="D129" i="41"/>
  <c r="B120" i="41"/>
  <c r="E120" i="41"/>
  <c r="B129" i="41"/>
  <c r="U147" i="49"/>
  <c r="I102" i="50"/>
  <c r="Q39" i="46"/>
  <c r="B100" i="50"/>
  <c r="F100" i="50" s="1"/>
  <c r="G62" i="49"/>
  <c r="Z62" i="49" s="1"/>
  <c r="G47" i="50"/>
  <c r="Q4" i="52"/>
  <c r="AE26" i="49"/>
  <c r="AO26" i="46"/>
  <c r="K113" i="46"/>
  <c r="M113" i="46" s="1"/>
  <c r="AD26" i="49"/>
  <c r="AE113" i="46"/>
  <c r="AF95" i="49"/>
  <c r="F47" i="51"/>
  <c r="Z72" i="49"/>
  <c r="U26" i="46"/>
  <c r="AR72" i="46"/>
  <c r="Q110" i="47"/>
  <c r="AF72" i="49"/>
  <c r="AR49" i="46"/>
  <c r="S97" i="47"/>
  <c r="AD72" i="49"/>
  <c r="E334" i="51"/>
  <c r="G352" i="51"/>
  <c r="AB72" i="49"/>
  <c r="I49" i="46"/>
  <c r="Y49" i="46"/>
  <c r="I95" i="46"/>
  <c r="I26" i="55"/>
  <c r="AM20" i="46"/>
  <c r="AO16" i="46"/>
  <c r="S18" i="47"/>
  <c r="M16" i="46"/>
  <c r="J16" i="55"/>
  <c r="K16" i="55" s="1"/>
  <c r="AI16" i="47"/>
  <c r="B46" i="51"/>
  <c r="AI18" i="47"/>
  <c r="I20" i="46"/>
  <c r="D41" i="50"/>
  <c r="C87" i="49"/>
  <c r="C87" i="46"/>
  <c r="C109" i="46" s="1"/>
  <c r="K109" i="49"/>
  <c r="M109" i="49" s="1"/>
  <c r="AB41" i="49"/>
  <c r="AF18" i="49"/>
  <c r="B121" i="35"/>
  <c r="AC18" i="54"/>
  <c r="K42" i="47"/>
  <c r="AD42" i="47"/>
  <c r="D115" i="50"/>
  <c r="AB64" i="49"/>
  <c r="AN64" i="46"/>
  <c r="Z64" i="49"/>
  <c r="AR18" i="54"/>
  <c r="AS18" i="54"/>
  <c r="E16" i="47"/>
  <c r="AL18" i="46" s="1"/>
  <c r="AL64" i="46"/>
  <c r="AL18" i="54"/>
  <c r="C129" i="35"/>
  <c r="J19" i="55"/>
  <c r="T19" i="46"/>
  <c r="O41" i="49"/>
  <c r="U18" i="54"/>
  <c r="C126" i="35"/>
  <c r="E41" i="46"/>
  <c r="AJ87" i="46"/>
  <c r="AG95" i="46"/>
  <c r="AO87" i="46"/>
  <c r="R117" i="47"/>
  <c r="AM41" i="46"/>
  <c r="E17" i="56"/>
  <c r="O21" i="56"/>
  <c r="AG72" i="49"/>
  <c r="AG68" i="46"/>
  <c r="Q93" i="46"/>
  <c r="AF113" i="46"/>
  <c r="AM49" i="46"/>
  <c r="H21" i="59"/>
  <c r="C48" i="62" s="1"/>
  <c r="J42" i="62"/>
  <c r="H44" i="46"/>
  <c r="H46" i="46"/>
  <c r="R73" i="47"/>
  <c r="AG73" i="49" s="1"/>
  <c r="AB96" i="46"/>
  <c r="AF65" i="46"/>
  <c r="H88" i="46"/>
  <c r="J333" i="51"/>
  <c r="B26" i="57"/>
  <c r="J23" i="56"/>
  <c r="C54" i="57" s="1"/>
  <c r="N77" i="47"/>
  <c r="AE75" i="49" s="1"/>
  <c r="R77" i="47"/>
  <c r="AG75" i="49" s="1"/>
  <c r="H52" i="46"/>
  <c r="X52" i="46"/>
  <c r="AS51" i="46"/>
  <c r="P75" i="46"/>
  <c r="AJ66" i="46"/>
  <c r="Q18" i="59"/>
  <c r="C6" i="62" s="1"/>
  <c r="Q22" i="59"/>
  <c r="E6" i="62" s="1"/>
  <c r="P92" i="46"/>
  <c r="L71" i="46"/>
  <c r="L48" i="46"/>
  <c r="H48" i="46"/>
  <c r="D94" i="46"/>
  <c r="J73" i="47"/>
  <c r="AC73" i="49" s="1"/>
  <c r="N73" i="47"/>
  <c r="AF96" i="46"/>
  <c r="AS96" i="46" s="1"/>
  <c r="AE87" i="49"/>
  <c r="F115" i="47"/>
  <c r="AM53" i="46"/>
  <c r="AJ76" i="46"/>
  <c r="AO41" i="46"/>
  <c r="S91" i="47"/>
  <c r="AO76" i="46"/>
  <c r="E21" i="56"/>
  <c r="C34" i="57" s="1"/>
  <c r="C58" i="57"/>
  <c r="T21" i="56"/>
  <c r="E49" i="46"/>
  <c r="D88" i="46"/>
  <c r="AE91" i="49"/>
  <c r="AS91" i="46"/>
  <c r="AJ45" i="46"/>
  <c r="L111" i="46"/>
  <c r="Q45" i="46"/>
  <c r="AQ95" i="46"/>
  <c r="AQ49" i="46"/>
  <c r="U133" i="49"/>
  <c r="P113" i="46"/>
  <c r="D42" i="46"/>
  <c r="N21" i="59"/>
  <c r="H29" i="59"/>
  <c r="T65" i="46"/>
  <c r="H50" i="46"/>
  <c r="J96" i="47"/>
  <c r="AC94" i="49" s="1"/>
  <c r="N47" i="47"/>
  <c r="AE46" i="49" s="1"/>
  <c r="R71" i="47"/>
  <c r="AF46" i="46"/>
  <c r="X88" i="46"/>
  <c r="L96" i="46"/>
  <c r="C351" i="51"/>
  <c r="D276" i="51"/>
  <c r="O23" i="56"/>
  <c r="AB40" i="46"/>
  <c r="AM45" i="46"/>
  <c r="M64" i="46"/>
  <c r="AQ87" i="46"/>
  <c r="AJ99" i="46"/>
  <c r="T115" i="46"/>
  <c r="V42" i="47"/>
  <c r="AO64" i="46"/>
  <c r="AO99" i="46"/>
  <c r="AS76" i="46"/>
  <c r="E133" i="51"/>
  <c r="R115" i="47"/>
  <c r="Y25" i="56"/>
  <c r="C17" i="57" s="1"/>
  <c r="J46" i="57"/>
  <c r="T17" i="56"/>
  <c r="G72" i="47"/>
  <c r="D92" i="46"/>
  <c r="AO91" i="46"/>
  <c r="X113" i="46"/>
  <c r="AQ72" i="46"/>
  <c r="AQ91" i="46"/>
  <c r="AA72" i="49"/>
  <c r="T113" i="46"/>
  <c r="F43" i="47"/>
  <c r="F110" i="47"/>
  <c r="C189" i="51" s="1"/>
  <c r="AG53" i="46"/>
  <c r="N92" i="47"/>
  <c r="AE88" i="49" s="1"/>
  <c r="T69" i="46"/>
  <c r="R67" i="47"/>
  <c r="R43" i="47"/>
  <c r="AG42" i="49" s="1"/>
  <c r="N71" i="47"/>
  <c r="L88" i="46"/>
  <c r="X98" i="46"/>
  <c r="L73" i="46"/>
  <c r="H96" i="46"/>
  <c r="T23" i="56"/>
  <c r="J17" i="56"/>
  <c r="E25" i="56"/>
  <c r="C36" i="57" s="1"/>
  <c r="E95" i="46"/>
  <c r="D96" i="46"/>
  <c r="H113" i="46"/>
  <c r="I113" i="46" s="1"/>
  <c r="AE72" i="49"/>
  <c r="AQ45" i="46"/>
  <c r="AC68" i="46"/>
  <c r="AC91" i="49"/>
  <c r="F51" i="47"/>
  <c r="N111" i="47"/>
  <c r="H17" i="59"/>
  <c r="C47" i="62" s="1"/>
  <c r="AB42" i="46"/>
  <c r="J71" i="47"/>
  <c r="F340" i="51" s="1"/>
  <c r="AF92" i="46"/>
  <c r="AS92" i="46" s="1"/>
  <c r="J21" i="56"/>
  <c r="C56" i="57" s="1"/>
  <c r="J27" i="56"/>
  <c r="C57" i="57" s="1"/>
  <c r="X40" i="46"/>
  <c r="X86" i="46"/>
  <c r="U150" i="49"/>
  <c r="AF47" i="49"/>
  <c r="AJ64" i="46"/>
  <c r="U95" i="46"/>
  <c r="AO95" i="46"/>
  <c r="U18" i="56"/>
  <c r="J110" i="47"/>
  <c r="B195" i="51" s="1"/>
  <c r="D42" i="62"/>
  <c r="J25" i="56"/>
  <c r="F53" i="47"/>
  <c r="AA52" i="49" s="1"/>
  <c r="J69" i="47"/>
  <c r="AC67" i="49" s="1"/>
  <c r="N75" i="47"/>
  <c r="AE71" i="49" s="1"/>
  <c r="F100" i="47"/>
  <c r="AA98" i="49" s="1"/>
  <c r="AB48" i="46"/>
  <c r="D75" i="46"/>
  <c r="P67" i="46"/>
  <c r="T75" i="46"/>
  <c r="H90" i="46"/>
  <c r="L98" i="46"/>
  <c r="AB94" i="46"/>
  <c r="AF94" i="46"/>
  <c r="J67" i="47"/>
  <c r="X94" i="46"/>
  <c r="X71" i="46"/>
  <c r="D71" i="46"/>
  <c r="D8" i="51"/>
  <c r="I28" i="46"/>
  <c r="AM28" i="46"/>
  <c r="U76" i="47"/>
  <c r="K75" i="46"/>
  <c r="C114" i="49"/>
  <c r="E114" i="49" s="1"/>
  <c r="AE114" i="46"/>
  <c r="AB13" i="54"/>
  <c r="AF13" i="54" s="1"/>
  <c r="AJ13" i="54" s="1"/>
  <c r="P13" i="54"/>
  <c r="T13" i="54" s="1"/>
  <c r="X13" i="54" s="1"/>
  <c r="F13" i="55"/>
  <c r="J13" i="55" s="1"/>
  <c r="N13" i="55" s="1"/>
  <c r="R13" i="55" s="1"/>
  <c r="V13" i="55" s="1"/>
  <c r="P13" i="46"/>
  <c r="T13" i="46" s="1"/>
  <c r="X13" i="46" s="1"/>
  <c r="R16" i="59"/>
  <c r="B7" i="62" s="1"/>
  <c r="I47" i="46"/>
  <c r="U74" i="46"/>
  <c r="AG85" i="49"/>
  <c r="AA51" i="49"/>
  <c r="AJ97" i="46"/>
  <c r="X112" i="46"/>
  <c r="M47" i="46"/>
  <c r="AA97" i="49"/>
  <c r="AF112" i="46"/>
  <c r="AG89" i="49"/>
  <c r="AF43" i="49"/>
  <c r="E43" i="46"/>
  <c r="F111" i="47"/>
  <c r="B189" i="51" s="1"/>
  <c r="Q30" i="59"/>
  <c r="J6" i="62" s="1"/>
  <c r="J24" i="62"/>
  <c r="X44" i="46"/>
  <c r="R45" i="47"/>
  <c r="AG44" i="49" s="1"/>
  <c r="B276" i="51"/>
  <c r="AG51" i="46"/>
  <c r="F23" i="59"/>
  <c r="D32" i="62" s="1"/>
  <c r="K76" i="47"/>
  <c r="Y51" i="46"/>
  <c r="I51" i="46"/>
  <c r="AE152" i="49"/>
  <c r="AO45" i="46"/>
  <c r="P111" i="46"/>
  <c r="AE74" i="49"/>
  <c r="AG66" i="46"/>
  <c r="F65" i="47"/>
  <c r="Q26" i="59"/>
  <c r="E24" i="62"/>
  <c r="F114" i="47"/>
  <c r="G189" i="51" s="1"/>
  <c r="R90" i="47"/>
  <c r="AG90" i="49" s="1"/>
  <c r="J47" i="47"/>
  <c r="AB98" i="46"/>
  <c r="AF67" i="46"/>
  <c r="AF63" i="46"/>
  <c r="F333" i="51"/>
  <c r="F94" i="47"/>
  <c r="E70" i="46"/>
  <c r="AA91" i="49"/>
  <c r="AC85" i="49"/>
  <c r="M70" i="46"/>
  <c r="V66" i="47"/>
  <c r="AG93" i="46"/>
  <c r="AJ91" i="46"/>
  <c r="AG39" i="49"/>
  <c r="AC66" i="49"/>
  <c r="J111" i="47"/>
  <c r="C195" i="51" s="1"/>
  <c r="N90" i="47"/>
  <c r="AE90" i="49" s="1"/>
  <c r="N88" i="47"/>
  <c r="AE86" i="49" s="1"/>
  <c r="J77" i="47"/>
  <c r="AC75" i="49" s="1"/>
  <c r="X48" i="46"/>
  <c r="C333" i="51"/>
  <c r="Y95" i="46"/>
  <c r="S40" i="47"/>
  <c r="I29" i="59"/>
  <c r="Q74" i="46"/>
  <c r="AC68" i="49"/>
  <c r="M62" i="46"/>
  <c r="V93" i="47"/>
  <c r="V46" i="47"/>
  <c r="AB114" i="46"/>
  <c r="AE43" i="49"/>
  <c r="F69" i="47"/>
  <c r="F356" i="51" s="1"/>
  <c r="J88" i="47"/>
  <c r="F281" i="51" s="1"/>
  <c r="K40" i="47"/>
  <c r="F25" i="59"/>
  <c r="D33" i="62" s="1"/>
  <c r="F21" i="59"/>
  <c r="D31" i="62" s="1"/>
  <c r="K68" i="47"/>
  <c r="AG74" i="49"/>
  <c r="AE70" i="49"/>
  <c r="AC45" i="49"/>
  <c r="AO68" i="46"/>
  <c r="AS70" i="46"/>
  <c r="AA66" i="49"/>
  <c r="Y62" i="46"/>
  <c r="AF98" i="46"/>
  <c r="AO66" i="46"/>
  <c r="L110" i="46"/>
  <c r="K17" i="59"/>
  <c r="T48" i="46"/>
  <c r="H71" i="46"/>
  <c r="E74" i="46"/>
  <c r="AM91" i="46"/>
  <c r="U144" i="49"/>
  <c r="AQ28" i="46"/>
  <c r="AS28" i="46"/>
  <c r="AL74" i="46"/>
  <c r="I27" i="50"/>
  <c r="V28" i="47"/>
  <c r="V28" i="55" s="1"/>
  <c r="W28" i="55" s="1"/>
  <c r="U28" i="54"/>
  <c r="AM28" i="54"/>
  <c r="G29" i="53"/>
  <c r="E28" i="46"/>
  <c r="AE28" i="49"/>
  <c r="I109" i="50"/>
  <c r="AN70" i="46"/>
  <c r="AE24" i="49"/>
  <c r="U47" i="55"/>
  <c r="AG24" i="49"/>
  <c r="S24" i="47"/>
  <c r="AI24" i="54"/>
  <c r="H51" i="50"/>
  <c r="E232" i="51"/>
  <c r="W24" i="49"/>
  <c r="K146" i="49" s="1"/>
  <c r="AS24" i="54"/>
  <c r="V24" i="47"/>
  <c r="F75" i="51" s="1"/>
  <c r="V25" i="53"/>
  <c r="AL24" i="54"/>
  <c r="AF24" i="49"/>
  <c r="U25" i="53"/>
  <c r="I24" i="54"/>
  <c r="V47" i="55"/>
  <c r="AO20" i="54"/>
  <c r="AR43" i="46"/>
  <c r="M20" i="49"/>
  <c r="K21" i="53"/>
  <c r="AO20" i="46"/>
  <c r="AL20" i="54"/>
  <c r="Y20" i="54"/>
  <c r="AA20" i="49"/>
  <c r="U21" i="53"/>
  <c r="W21" i="53" s="1"/>
  <c r="D231" i="51"/>
  <c r="J53" i="55"/>
  <c r="J50" i="55" s="1"/>
  <c r="I20" i="49"/>
  <c r="AR16" i="54"/>
  <c r="AL16" i="54"/>
  <c r="AJ16" i="46"/>
  <c r="AS16" i="54"/>
  <c r="AD40" i="47"/>
  <c r="U148" i="49"/>
  <c r="V39" i="55"/>
  <c r="O39" i="55"/>
  <c r="F27" i="59"/>
  <c r="D34" i="62" s="1"/>
  <c r="G25" i="62"/>
  <c r="C25" i="62"/>
  <c r="D35" i="62"/>
  <c r="F41" i="47"/>
  <c r="AA39" i="49"/>
  <c r="V40" i="47"/>
  <c r="B115" i="51"/>
  <c r="F115" i="51"/>
  <c r="V44" i="47"/>
  <c r="AC43" i="49"/>
  <c r="J45" i="47"/>
  <c r="F143" i="51"/>
  <c r="C133" i="51"/>
  <c r="K44" i="47"/>
  <c r="AE47" i="49"/>
  <c r="N49" i="47"/>
  <c r="AQ47" i="46"/>
  <c r="AS47" i="46"/>
  <c r="R49" i="47"/>
  <c r="V48" i="47"/>
  <c r="S48" i="47"/>
  <c r="AG47" i="49"/>
  <c r="F77" i="47"/>
  <c r="AA75" i="49" s="1"/>
  <c r="AA74" i="49"/>
  <c r="N114" i="47"/>
  <c r="AE62" i="49"/>
  <c r="V64" i="47"/>
  <c r="R114" i="47"/>
  <c r="S64" i="47"/>
  <c r="R65" i="47"/>
  <c r="AG62" i="49"/>
  <c r="F88" i="47"/>
  <c r="AA85" i="49"/>
  <c r="C294" i="51"/>
  <c r="V87" i="47"/>
  <c r="F305" i="51"/>
  <c r="F286" i="51"/>
  <c r="AC89" i="49"/>
  <c r="C276" i="51"/>
  <c r="J90" i="47"/>
  <c r="V89" i="47"/>
  <c r="J116" i="47"/>
  <c r="F195" i="51" s="1"/>
  <c r="N96" i="47"/>
  <c r="N113" i="47"/>
  <c r="R113" i="47"/>
  <c r="V95" i="47"/>
  <c r="AS93" i="46"/>
  <c r="AG93" i="49"/>
  <c r="S95" i="47"/>
  <c r="D52" i="46"/>
  <c r="AJ51" i="46"/>
  <c r="AM51" i="46"/>
  <c r="AO39" i="46"/>
  <c r="M39" i="46"/>
  <c r="P44" i="46"/>
  <c r="Q43" i="46"/>
  <c r="T52" i="46"/>
  <c r="U51" i="46"/>
  <c r="AG39" i="46"/>
  <c r="AJ39" i="46"/>
  <c r="AS39" i="46"/>
  <c r="D63" i="46"/>
  <c r="AM62" i="46"/>
  <c r="D108" i="46"/>
  <c r="AJ62" i="46"/>
  <c r="H110" i="46"/>
  <c r="I66" i="46"/>
  <c r="H67" i="46"/>
  <c r="L75" i="46"/>
  <c r="AO74" i="46"/>
  <c r="L114" i="46"/>
  <c r="M74" i="46"/>
  <c r="T63" i="46"/>
  <c r="T108" i="46"/>
  <c r="Y66" i="46"/>
  <c r="X110" i="46"/>
  <c r="AB71" i="46"/>
  <c r="AB112" i="46"/>
  <c r="AQ70" i="46"/>
  <c r="AJ70" i="46"/>
  <c r="D114" i="46"/>
  <c r="D98" i="46"/>
  <c r="L86" i="46"/>
  <c r="AO85" i="46"/>
  <c r="P90" i="46"/>
  <c r="P110" i="46"/>
  <c r="T98" i="46"/>
  <c r="T114" i="46"/>
  <c r="AQ85" i="46"/>
  <c r="AB86" i="46"/>
  <c r="AB108" i="46"/>
  <c r="AF86" i="46"/>
  <c r="AJ85" i="46"/>
  <c r="E17" i="59"/>
  <c r="C29" i="62" s="1"/>
  <c r="B24" i="62"/>
  <c r="C35" i="62"/>
  <c r="D24" i="62"/>
  <c r="E21" i="59"/>
  <c r="C31" i="62" s="1"/>
  <c r="F24" i="62"/>
  <c r="E25" i="59"/>
  <c r="C33" i="62" s="1"/>
  <c r="E294" i="51"/>
  <c r="AA93" i="49"/>
  <c r="F113" i="47"/>
  <c r="D189" i="51" s="1"/>
  <c r="AJ93" i="46"/>
  <c r="AO93" i="46"/>
  <c r="Q70" i="46"/>
  <c r="P71" i="46"/>
  <c r="AO47" i="46"/>
  <c r="P48" i="46"/>
  <c r="Q47" i="46"/>
  <c r="AM47" i="46"/>
  <c r="AJ47" i="46"/>
  <c r="D48" i="46"/>
  <c r="H94" i="46"/>
  <c r="AM93" i="46"/>
  <c r="I27" i="59"/>
  <c r="D51" i="62" s="1"/>
  <c r="R26" i="59"/>
  <c r="F43" i="62"/>
  <c r="AM70" i="46"/>
  <c r="AO70" i="46"/>
  <c r="AQ39" i="46"/>
  <c r="L108" i="46"/>
  <c r="AF71" i="46"/>
  <c r="AS71" i="46" s="1"/>
  <c r="AA43" i="49"/>
  <c r="D104" i="51"/>
  <c r="F45" i="47"/>
  <c r="O52" i="47"/>
  <c r="AE51" i="49"/>
  <c r="AQ51" i="46"/>
  <c r="AG51" i="49"/>
  <c r="R53" i="47"/>
  <c r="AG52" i="49" s="1"/>
  <c r="J65" i="47"/>
  <c r="F343" i="51"/>
  <c r="AC62" i="49"/>
  <c r="AQ66" i="46"/>
  <c r="N69" i="47"/>
  <c r="AE66" i="49"/>
  <c r="AM89" i="46"/>
  <c r="D294" i="51"/>
  <c r="F116" i="47"/>
  <c r="E189" i="51" s="1"/>
  <c r="F90" i="47"/>
  <c r="AA89" i="49"/>
  <c r="J100" i="47"/>
  <c r="AC98" i="49" s="1"/>
  <c r="J112" i="47"/>
  <c r="AC97" i="49"/>
  <c r="AE97" i="49"/>
  <c r="N112" i="47"/>
  <c r="O112" i="47" s="1"/>
  <c r="O99" i="47"/>
  <c r="AQ97" i="46"/>
  <c r="R100" i="47"/>
  <c r="AS97" i="46"/>
  <c r="R112" i="47"/>
  <c r="AG97" i="49"/>
  <c r="AM39" i="46"/>
  <c r="H40" i="46"/>
  <c r="L44" i="46"/>
  <c r="L52" i="46"/>
  <c r="AO43" i="46"/>
  <c r="P52" i="46"/>
  <c r="Q51" i="46"/>
  <c r="AO51" i="46"/>
  <c r="AB44" i="46"/>
  <c r="AQ43" i="46"/>
  <c r="AC43" i="46"/>
  <c r="AB52" i="46"/>
  <c r="AF44" i="46"/>
  <c r="AF52" i="46"/>
  <c r="AG43" i="46"/>
  <c r="AS43" i="46"/>
  <c r="AJ43" i="46"/>
  <c r="E66" i="46"/>
  <c r="D110" i="46"/>
  <c r="H114" i="46"/>
  <c r="H75" i="46"/>
  <c r="AM74" i="46"/>
  <c r="Q62" i="46"/>
  <c r="P108" i="46"/>
  <c r="AO62" i="46"/>
  <c r="AQ74" i="46"/>
  <c r="AC74" i="46"/>
  <c r="AG74" i="46"/>
  <c r="AJ74" i="46"/>
  <c r="AS74" i="46"/>
  <c r="AF75" i="46"/>
  <c r="H86" i="46"/>
  <c r="H108" i="46"/>
  <c r="P114" i="46"/>
  <c r="P98" i="46"/>
  <c r="AQ89" i="46"/>
  <c r="AB110" i="46"/>
  <c r="AC89" i="46"/>
  <c r="AB90" i="46"/>
  <c r="AF90" i="46"/>
  <c r="AJ89" i="46"/>
  <c r="AS89" i="46"/>
  <c r="AG89" i="46"/>
  <c r="Q20" i="59"/>
  <c r="Q24" i="59"/>
  <c r="K25" i="59"/>
  <c r="Q28" i="59"/>
  <c r="F49" i="47"/>
  <c r="E104" i="51"/>
  <c r="V74" i="47"/>
  <c r="F351" i="51"/>
  <c r="F362" i="51"/>
  <c r="F75" i="47"/>
  <c r="AA70" i="49"/>
  <c r="T94" i="46"/>
  <c r="T112" i="46"/>
  <c r="U112" i="46" s="1"/>
  <c r="T71" i="46"/>
  <c r="U70" i="46"/>
  <c r="F96" i="47"/>
  <c r="AQ62" i="46"/>
  <c r="AS85" i="46"/>
  <c r="U128" i="49"/>
  <c r="AG128" i="49"/>
  <c r="L90" i="46"/>
  <c r="AO89" i="46"/>
  <c r="AF108" i="46"/>
  <c r="U93" i="46"/>
  <c r="AQ93" i="46"/>
  <c r="V52" i="47"/>
  <c r="U126" i="49"/>
  <c r="AG126" i="49"/>
  <c r="V68" i="47"/>
  <c r="D67" i="46"/>
  <c r="K29" i="59"/>
  <c r="L94" i="46"/>
  <c r="P63" i="46"/>
  <c r="B333" i="51"/>
  <c r="F304" i="51"/>
  <c r="X114" i="46"/>
  <c r="Y74" i="46"/>
  <c r="X75" i="46"/>
  <c r="L112" i="46"/>
  <c r="X108" i="46"/>
  <c r="AM85" i="46"/>
  <c r="H112" i="46"/>
  <c r="Y39" i="46"/>
  <c r="R18" i="59"/>
  <c r="L19" i="59"/>
  <c r="AF40" i="46"/>
  <c r="N53" i="47"/>
  <c r="AE52" i="49" s="1"/>
  <c r="N100" i="47"/>
  <c r="AB75" i="46"/>
  <c r="T67" i="46"/>
  <c r="T110" i="46"/>
  <c r="U66" i="46"/>
  <c r="AO97" i="46"/>
  <c r="AM97" i="46"/>
  <c r="AS62" i="46"/>
  <c r="AA47" i="49"/>
  <c r="AM43" i="46"/>
  <c r="U146" i="49"/>
  <c r="AG146" i="49"/>
  <c r="AM66" i="46"/>
  <c r="B104" i="51"/>
  <c r="R28" i="59"/>
  <c r="F29" i="59"/>
  <c r="R69" i="47"/>
  <c r="AS66" i="46"/>
  <c r="S68" i="47"/>
  <c r="B143" i="51"/>
  <c r="E47" i="46"/>
  <c r="AG131" i="49"/>
  <c r="U131" i="49"/>
  <c r="I23" i="59"/>
  <c r="D49" i="62" s="1"/>
  <c r="D52" i="62"/>
  <c r="D43" i="62"/>
  <c r="R22" i="59"/>
  <c r="R24" i="59"/>
  <c r="I25" i="59"/>
  <c r="F112" i="47"/>
  <c r="N65" i="47"/>
  <c r="L40" i="46"/>
  <c r="X67" i="46"/>
  <c r="R96" i="47"/>
  <c r="R30" i="59"/>
  <c r="I21" i="59"/>
  <c r="D48" i="62" s="1"/>
  <c r="U62" i="46"/>
  <c r="J43" i="62"/>
  <c r="S99" i="47"/>
  <c r="M43" i="46"/>
  <c r="I70" i="46"/>
  <c r="AG85" i="46"/>
  <c r="AL51" i="46"/>
  <c r="G52" i="47"/>
  <c r="Z51" i="49"/>
  <c r="G99" i="47"/>
  <c r="E112" i="47"/>
  <c r="G114" i="49"/>
  <c r="I114" i="49" s="1"/>
  <c r="Z97" i="49"/>
  <c r="E28" i="47"/>
  <c r="AL28" i="46" s="1"/>
  <c r="I28" i="49"/>
  <c r="AA28" i="49"/>
  <c r="Q112" i="47"/>
  <c r="AR28" i="46"/>
  <c r="AF28" i="49"/>
  <c r="AN74" i="46"/>
  <c r="I52" i="47"/>
  <c r="U52" i="47" s="1"/>
  <c r="AI28" i="46"/>
  <c r="F98" i="50"/>
  <c r="AG28" i="46"/>
  <c r="AR97" i="46"/>
  <c r="C129" i="27"/>
  <c r="C120" i="27"/>
  <c r="C129" i="31"/>
  <c r="C120" i="31"/>
  <c r="C130" i="31"/>
  <c r="C122" i="31"/>
  <c r="E105" i="51"/>
  <c r="G48" i="47"/>
  <c r="Z47" i="49"/>
  <c r="E24" i="47"/>
  <c r="Z24" i="49" s="1"/>
  <c r="K5" i="52"/>
  <c r="AA24" i="49"/>
  <c r="E231" i="51"/>
  <c r="I24" i="49"/>
  <c r="AO24" i="46"/>
  <c r="AR47" i="46"/>
  <c r="AL47" i="46"/>
  <c r="H24" i="46"/>
  <c r="AM24" i="46" s="1"/>
  <c r="C134" i="32"/>
  <c r="G53" i="49"/>
  <c r="G44" i="49" s="1"/>
  <c r="I44" i="49" s="1"/>
  <c r="AN47" i="46"/>
  <c r="C120" i="32"/>
  <c r="E95" i="47"/>
  <c r="E113" i="47" s="1"/>
  <c r="G93" i="46"/>
  <c r="B129" i="32"/>
  <c r="W72" i="49"/>
  <c r="C113" i="49"/>
  <c r="E113" i="49" s="1"/>
  <c r="AQ26" i="46"/>
  <c r="AN26" i="46"/>
  <c r="O113" i="46"/>
  <c r="AF26" i="49"/>
  <c r="S26" i="47"/>
  <c r="AC26" i="49"/>
  <c r="AP26" i="46"/>
  <c r="U26" i="49"/>
  <c r="G231" i="51"/>
  <c r="J26" i="55"/>
  <c r="K26" i="55" s="1"/>
  <c r="K26" i="47"/>
  <c r="M26" i="46"/>
  <c r="E26" i="46"/>
  <c r="AJ26" i="46"/>
  <c r="AP72" i="46"/>
  <c r="W113" i="46"/>
  <c r="O49" i="49"/>
  <c r="W49" i="49" s="1"/>
  <c r="M50" i="47"/>
  <c r="AA49" i="46"/>
  <c r="G232" i="51"/>
  <c r="R5" i="52"/>
  <c r="W26" i="49"/>
  <c r="C148" i="49" s="1"/>
  <c r="I26" i="49"/>
  <c r="AM26" i="46"/>
  <c r="E26" i="49"/>
  <c r="Z26" i="56"/>
  <c r="AN72" i="46"/>
  <c r="S50" i="47"/>
  <c r="G214" i="51"/>
  <c r="Q95" i="46"/>
  <c r="M49" i="46"/>
  <c r="Y72" i="46"/>
  <c r="AG26" i="49"/>
  <c r="G52" i="50"/>
  <c r="G50" i="47"/>
  <c r="AR26" i="46"/>
  <c r="AS26" i="46"/>
  <c r="Y26" i="46"/>
  <c r="S27" i="49"/>
  <c r="Z49" i="49"/>
  <c r="AF49" i="49"/>
  <c r="AL49" i="46"/>
  <c r="AI72" i="46"/>
  <c r="G26" i="46"/>
  <c r="AI26" i="46" s="1"/>
  <c r="X26" i="49"/>
  <c r="K95" i="49"/>
  <c r="B13" i="50"/>
  <c r="G30" i="49" s="1"/>
  <c r="B129" i="38"/>
  <c r="B131" i="38"/>
  <c r="C134" i="38"/>
  <c r="C41" i="50"/>
  <c r="C129" i="38"/>
  <c r="C129" i="40"/>
  <c r="E20" i="47"/>
  <c r="AL20" i="46" s="1"/>
  <c r="E46" i="51"/>
  <c r="J20" i="55"/>
  <c r="K20" i="55" s="1"/>
  <c r="I43" i="46"/>
  <c r="AC20" i="49"/>
  <c r="AN43" i="46"/>
  <c r="AS20" i="46"/>
  <c r="Y20" i="46"/>
  <c r="Z20" i="56"/>
  <c r="D7" i="57" s="1"/>
  <c r="AL43" i="46"/>
  <c r="X20" i="49"/>
  <c r="Y20" i="49" s="1"/>
  <c r="C120" i="40"/>
  <c r="G89" i="49"/>
  <c r="G110" i="49" s="1"/>
  <c r="I110" i="49" s="1"/>
  <c r="S20" i="47"/>
  <c r="AJ20" i="46"/>
  <c r="S89" i="49"/>
  <c r="S110" i="49" s="1"/>
  <c r="U110" i="49" s="1"/>
  <c r="K89" i="49"/>
  <c r="K110" i="49" s="1"/>
  <c r="M110" i="49" s="1"/>
  <c r="AN66" i="46"/>
  <c r="V20" i="47"/>
  <c r="V20" i="55" s="1"/>
  <c r="W20" i="55" s="1"/>
  <c r="B138" i="33"/>
  <c r="C129" i="33"/>
  <c r="C138" i="33"/>
  <c r="B41" i="50"/>
  <c r="E54" i="47" s="1"/>
  <c r="E53" i="47" s="1"/>
  <c r="B120" i="33"/>
  <c r="F46" i="50"/>
  <c r="C13" i="50"/>
  <c r="H30" i="46" s="1"/>
  <c r="H23" i="46" s="1"/>
  <c r="E16" i="46"/>
  <c r="AD16" i="49"/>
  <c r="AF62" i="49"/>
  <c r="AE16" i="49"/>
  <c r="AP16" i="46"/>
  <c r="AQ16" i="46"/>
  <c r="Q16" i="46"/>
  <c r="U16" i="49"/>
  <c r="Y16" i="46"/>
  <c r="G16" i="49"/>
  <c r="W16" i="49" s="1"/>
  <c r="B214" i="51"/>
  <c r="AG16" i="46"/>
  <c r="F19" i="50"/>
  <c r="AM16" i="46"/>
  <c r="E16" i="49"/>
  <c r="V18" i="47"/>
  <c r="V16" i="55" s="1"/>
  <c r="W16" i="55" s="1"/>
  <c r="AG16" i="49"/>
  <c r="AR62" i="46"/>
  <c r="G16" i="46"/>
  <c r="I16" i="46" s="1"/>
  <c r="E18" i="47"/>
  <c r="U18" i="47" s="1"/>
  <c r="AC16" i="46"/>
  <c r="E40" i="47"/>
  <c r="B231" i="51"/>
  <c r="O129" i="49"/>
  <c r="B213" i="51"/>
  <c r="F16" i="55"/>
  <c r="AL62" i="46"/>
  <c r="AB16" i="49"/>
  <c r="X16" i="49"/>
  <c r="D144" i="49" s="1"/>
  <c r="B4" i="52"/>
  <c r="AN16" i="46"/>
  <c r="AA16" i="49"/>
  <c r="G109" i="50"/>
  <c r="G91" i="46"/>
  <c r="G111" i="46" s="1"/>
  <c r="AF68" i="49"/>
  <c r="Z45" i="49"/>
  <c r="AL45" i="46"/>
  <c r="B50" i="50"/>
  <c r="G27" i="50"/>
  <c r="AJ22" i="46"/>
  <c r="AQ22" i="46"/>
  <c r="G24" i="50"/>
  <c r="AM22" i="46"/>
  <c r="H22" i="49"/>
  <c r="AE22" i="49"/>
  <c r="C334" i="51"/>
  <c r="K66" i="47"/>
  <c r="AB68" i="49"/>
  <c r="AD66" i="47"/>
  <c r="E22" i="47"/>
  <c r="Z22" i="49" s="1"/>
  <c r="E22" i="46"/>
  <c r="AN68" i="46"/>
  <c r="F213" i="51"/>
  <c r="J22" i="47"/>
  <c r="N4" i="52"/>
  <c r="C106" i="50"/>
  <c r="I46" i="47"/>
  <c r="AB45" i="49" s="1"/>
  <c r="C122" i="29"/>
  <c r="AI22" i="46"/>
  <c r="G98" i="50"/>
  <c r="F25" i="50"/>
  <c r="S53" i="49"/>
  <c r="S50" i="49" s="1"/>
  <c r="U50" i="49" s="1"/>
  <c r="E45" i="46"/>
  <c r="F102" i="50"/>
  <c r="E22" i="49"/>
  <c r="C50" i="50"/>
  <c r="AA91" i="46"/>
  <c r="S76" i="46"/>
  <c r="S75" i="46" s="1"/>
  <c r="C125" i="29"/>
  <c r="B106" i="50"/>
  <c r="I78" i="47" s="1"/>
  <c r="I71" i="47" s="1"/>
  <c r="AG22" i="49"/>
  <c r="C131" i="29"/>
  <c r="C138" i="28"/>
  <c r="E138" i="28"/>
  <c r="B138" i="28"/>
  <c r="B129" i="28"/>
  <c r="B132" i="28"/>
  <c r="B130" i="28"/>
  <c r="B124" i="28"/>
  <c r="B121" i="28"/>
  <c r="E126" i="28"/>
  <c r="B122" i="28"/>
  <c r="B123" i="28"/>
  <c r="B125" i="28"/>
  <c r="B131" i="28"/>
  <c r="D126" i="28"/>
  <c r="K18" i="47"/>
  <c r="I16" i="55"/>
  <c r="B47" i="51"/>
  <c r="AD18" i="47"/>
  <c r="D352" i="51"/>
  <c r="Z64" i="47"/>
  <c r="G64" i="47"/>
  <c r="O151" i="49"/>
  <c r="P29" i="54"/>
  <c r="P25" i="54"/>
  <c r="P17" i="54"/>
  <c r="P23" i="54"/>
  <c r="P27" i="54"/>
  <c r="P21" i="54"/>
  <c r="P19" i="54"/>
  <c r="AI87" i="47"/>
  <c r="Q114" i="47"/>
  <c r="S87" i="47"/>
  <c r="W108" i="46"/>
  <c r="Y85" i="46"/>
  <c r="Z16" i="56"/>
  <c r="H13" i="50"/>
  <c r="Q54" i="47"/>
  <c r="Q51" i="47" s="1"/>
  <c r="U16" i="46"/>
  <c r="C85" i="46"/>
  <c r="G85" i="49"/>
  <c r="G108" i="49" s="1"/>
  <c r="I108" i="49" s="1"/>
  <c r="AN16" i="54"/>
  <c r="G43" i="50"/>
  <c r="H19" i="50"/>
  <c r="AR85" i="46"/>
  <c r="AE108" i="46"/>
  <c r="M16" i="49"/>
  <c r="I87" i="47"/>
  <c r="G85" i="46"/>
  <c r="K85" i="49"/>
  <c r="AO16" i="54"/>
  <c r="I25" i="50"/>
  <c r="U130" i="49"/>
  <c r="E124" i="50"/>
  <c r="K85" i="46"/>
  <c r="E62" i="46"/>
  <c r="O85" i="46"/>
  <c r="S85" i="49"/>
  <c r="AI16" i="54"/>
  <c r="X17" i="54"/>
  <c r="H42" i="50"/>
  <c r="H53" i="50"/>
  <c r="H99" i="50"/>
  <c r="U151" i="49"/>
  <c r="S85" i="46"/>
  <c r="V17" i="53"/>
  <c r="I46" i="50"/>
  <c r="I39" i="46"/>
  <c r="H17" i="50"/>
  <c r="I111" i="50"/>
  <c r="AA43" i="46"/>
  <c r="O43" i="49"/>
  <c r="M44" i="47"/>
  <c r="E138" i="40"/>
  <c r="P19" i="49"/>
  <c r="P17" i="49"/>
  <c r="P29" i="49"/>
  <c r="P21" i="49"/>
  <c r="P27" i="49"/>
  <c r="P23" i="49"/>
  <c r="P25" i="49"/>
  <c r="E126" i="40"/>
  <c r="AE110" i="46"/>
  <c r="AG110" i="46" s="1"/>
  <c r="C138" i="40"/>
  <c r="AB30" i="46"/>
  <c r="AB23" i="46" s="1"/>
  <c r="AE20" i="49"/>
  <c r="N30" i="47"/>
  <c r="AE30" i="49" s="1"/>
  <c r="AF66" i="49"/>
  <c r="C110" i="46"/>
  <c r="G89" i="46"/>
  <c r="AR20" i="54"/>
  <c r="C126" i="40"/>
  <c r="F28" i="50"/>
  <c r="U20" i="46"/>
  <c r="AQ20" i="46"/>
  <c r="O20" i="47"/>
  <c r="AR66" i="46"/>
  <c r="Z66" i="49"/>
  <c r="K89" i="46"/>
  <c r="D126" i="40"/>
  <c r="Q30" i="47"/>
  <c r="Q27" i="47" s="1"/>
  <c r="E89" i="46"/>
  <c r="AI20" i="46"/>
  <c r="E20" i="46"/>
  <c r="B122" i="40"/>
  <c r="B124" i="40"/>
  <c r="B130" i="40"/>
  <c r="B132" i="40"/>
  <c r="B134" i="40"/>
  <c r="O89" i="46"/>
  <c r="G26" i="50"/>
  <c r="AE30" i="46"/>
  <c r="AE27" i="46" s="1"/>
  <c r="Q20" i="49"/>
  <c r="I20" i="47"/>
  <c r="S89" i="46"/>
  <c r="C89" i="49"/>
  <c r="I20" i="54"/>
  <c r="F47" i="50"/>
  <c r="AI20" i="54"/>
  <c r="AN20" i="54"/>
  <c r="Q89" i="47"/>
  <c r="AR89" i="46" s="1"/>
  <c r="B138" i="38"/>
  <c r="D138" i="38"/>
  <c r="D82" i="50"/>
  <c r="H82" i="50" s="1"/>
  <c r="M30" i="47"/>
  <c r="AP30" i="46" s="1"/>
  <c r="D72" i="50"/>
  <c r="D123" i="50" s="1"/>
  <c r="D74" i="50"/>
  <c r="D125" i="50" s="1"/>
  <c r="D132" i="38"/>
  <c r="D73" i="50"/>
  <c r="D124" i="50" s="1"/>
  <c r="D23" i="50"/>
  <c r="I31" i="53" s="1"/>
  <c r="I26" i="53" s="1"/>
  <c r="D80" i="50"/>
  <c r="H80" i="50" s="1"/>
  <c r="I99" i="50"/>
  <c r="D121" i="38"/>
  <c r="D97" i="50"/>
  <c r="I97" i="50" s="1"/>
  <c r="D122" i="38"/>
  <c r="D133" i="38"/>
  <c r="D79" i="50"/>
  <c r="I79" i="50" s="1"/>
  <c r="D71" i="50"/>
  <c r="H71" i="50" s="1"/>
  <c r="S29" i="49"/>
  <c r="S23" i="49"/>
  <c r="D130" i="38"/>
  <c r="D134" i="38"/>
  <c r="S21" i="49"/>
  <c r="D83" i="50"/>
  <c r="D134" i="50" s="1"/>
  <c r="D123" i="38"/>
  <c r="D131" i="38"/>
  <c r="S19" i="49"/>
  <c r="Q67" i="47"/>
  <c r="Q73" i="47"/>
  <c r="C138" i="37"/>
  <c r="R19" i="47"/>
  <c r="R21" i="47"/>
  <c r="S25" i="49"/>
  <c r="B121" i="37"/>
  <c r="B123" i="37"/>
  <c r="B125" i="37"/>
  <c r="B130" i="37"/>
  <c r="B132" i="37"/>
  <c r="B134" i="37"/>
  <c r="I28" i="50"/>
  <c r="H100" i="50"/>
  <c r="I41" i="46"/>
  <c r="W109" i="46"/>
  <c r="Y109" i="46" s="1"/>
  <c r="C352" i="51"/>
  <c r="G70" i="47"/>
  <c r="AG16" i="47"/>
  <c r="AD18" i="49"/>
  <c r="AG18" i="47"/>
  <c r="O16" i="47"/>
  <c r="AN41" i="46"/>
  <c r="O109" i="46"/>
  <c r="Q109" i="46" s="1"/>
  <c r="C105" i="51"/>
  <c r="AP18" i="46"/>
  <c r="AI18" i="46"/>
  <c r="M87" i="46"/>
  <c r="AI18" i="54"/>
  <c r="AN18" i="46"/>
  <c r="K16" i="47"/>
  <c r="AD16" i="47"/>
  <c r="C47" i="51"/>
  <c r="Q115" i="47"/>
  <c r="H43" i="50"/>
  <c r="B134" i="35"/>
  <c r="AE87" i="46"/>
  <c r="B125" i="35"/>
  <c r="AJ18" i="54"/>
  <c r="G55" i="50"/>
  <c r="W18" i="49"/>
  <c r="AB18" i="49"/>
  <c r="M18" i="49"/>
  <c r="C213" i="51"/>
  <c r="B123" i="35"/>
  <c r="E131" i="50"/>
  <c r="AQ18" i="54"/>
  <c r="S87" i="49"/>
  <c r="S25" i="54"/>
  <c r="AA47" i="46"/>
  <c r="O47" i="49"/>
  <c r="M48" i="47"/>
  <c r="O48" i="47" s="1"/>
  <c r="K24" i="47"/>
  <c r="G46" i="51"/>
  <c r="J24" i="55"/>
  <c r="D59" i="50"/>
  <c r="AB47" i="49"/>
  <c r="D126" i="32"/>
  <c r="O70" i="49"/>
  <c r="AA70" i="46"/>
  <c r="AI70" i="46" s="1"/>
  <c r="M74" i="47"/>
  <c r="O74" i="47" s="1"/>
  <c r="AR70" i="46"/>
  <c r="F352" i="51"/>
  <c r="G74" i="47"/>
  <c r="AL70" i="46"/>
  <c r="Z70" i="49"/>
  <c r="G108" i="50"/>
  <c r="O76" i="46"/>
  <c r="O63" i="46" s="1"/>
  <c r="AF70" i="49"/>
  <c r="W47" i="55"/>
  <c r="O25" i="53"/>
  <c r="F109" i="50"/>
  <c r="F27" i="50"/>
  <c r="S93" i="49"/>
  <c r="G93" i="49"/>
  <c r="G112" i="49" s="1"/>
  <c r="I112" i="49" s="1"/>
  <c r="AD24" i="49"/>
  <c r="AQ24" i="46"/>
  <c r="M30" i="55"/>
  <c r="M23" i="55" s="1"/>
  <c r="C74" i="50"/>
  <c r="C97" i="50"/>
  <c r="AG24" i="54"/>
  <c r="B120" i="32"/>
  <c r="B131" i="32"/>
  <c r="C124" i="32"/>
  <c r="AQ24" i="54"/>
  <c r="O93" i="46"/>
  <c r="O112" i="46" s="1"/>
  <c r="Q112" i="46" s="1"/>
  <c r="S17" i="54"/>
  <c r="I53" i="50"/>
  <c r="Q95" i="47"/>
  <c r="F55" i="50"/>
  <c r="C93" i="46"/>
  <c r="W112" i="46"/>
  <c r="AP24" i="46"/>
  <c r="X24" i="49"/>
  <c r="L146" i="49" s="1"/>
  <c r="AC146" i="49" s="1"/>
  <c r="AJ24" i="54"/>
  <c r="AM24" i="54"/>
  <c r="B134" i="32"/>
  <c r="B121" i="32"/>
  <c r="C131" i="32"/>
  <c r="I24" i="47"/>
  <c r="AN24" i="46" s="1"/>
  <c r="S21" i="54"/>
  <c r="AE93" i="46"/>
  <c r="I95" i="47"/>
  <c r="I113" i="47" s="1"/>
  <c r="C93" i="49"/>
  <c r="K93" i="46"/>
  <c r="AN24" i="54"/>
  <c r="B138" i="32"/>
  <c r="B132" i="32"/>
  <c r="C125" i="32"/>
  <c r="B126" i="32"/>
  <c r="F44" i="50"/>
  <c r="AI24" i="46"/>
  <c r="K93" i="49"/>
  <c r="M24" i="49"/>
  <c r="C83" i="50"/>
  <c r="C134" i="50" s="1"/>
  <c r="B122" i="32"/>
  <c r="C132" i="32"/>
  <c r="G101" i="50"/>
  <c r="I100" i="50"/>
  <c r="M31" i="53"/>
  <c r="M20" i="53" s="1"/>
  <c r="C70" i="50"/>
  <c r="C121" i="50" s="1"/>
  <c r="S29" i="54"/>
  <c r="W30" i="46"/>
  <c r="W29" i="46" s="1"/>
  <c r="G24" i="55"/>
  <c r="E138" i="31"/>
  <c r="N26" i="53"/>
  <c r="N28" i="53"/>
  <c r="N30" i="53"/>
  <c r="N18" i="53"/>
  <c r="N20" i="53"/>
  <c r="N24" i="53"/>
  <c r="N22" i="53"/>
  <c r="T21" i="54"/>
  <c r="T19" i="54"/>
  <c r="T29" i="54"/>
  <c r="U30" i="54"/>
  <c r="T17" i="54"/>
  <c r="T27" i="54"/>
  <c r="T23" i="54"/>
  <c r="T25" i="54"/>
  <c r="C17" i="46"/>
  <c r="C76" i="46"/>
  <c r="H26" i="50"/>
  <c r="I43" i="50"/>
  <c r="AA23" i="46"/>
  <c r="J29" i="55"/>
  <c r="AA30" i="54"/>
  <c r="AA29" i="54" s="1"/>
  <c r="Q30" i="55"/>
  <c r="Q25" i="55" s="1"/>
  <c r="B131" i="31"/>
  <c r="B133" i="31"/>
  <c r="AA17" i="46"/>
  <c r="N30" i="55"/>
  <c r="N21" i="55" s="1"/>
  <c r="Q53" i="55"/>
  <c r="Q46" i="55" s="1"/>
  <c r="B129" i="31"/>
  <c r="B123" i="31"/>
  <c r="B125" i="31"/>
  <c r="N53" i="55"/>
  <c r="N50" i="55" s="1"/>
  <c r="E122" i="50"/>
  <c r="AA25" i="46"/>
  <c r="AE30" i="54"/>
  <c r="AE25" i="54" s="1"/>
  <c r="H108" i="50"/>
  <c r="H18" i="50"/>
  <c r="Q31" i="53"/>
  <c r="B132" i="31"/>
  <c r="B134" i="31"/>
  <c r="H47" i="50"/>
  <c r="G46" i="50"/>
  <c r="F107" i="50"/>
  <c r="F111" i="50"/>
  <c r="B79" i="50"/>
  <c r="K99" i="46" s="1"/>
  <c r="K96" i="46" s="1"/>
  <c r="W30" i="54"/>
  <c r="W19" i="54" s="1"/>
  <c r="AB30" i="54"/>
  <c r="I18" i="50"/>
  <c r="O68" i="49"/>
  <c r="AA68" i="46"/>
  <c r="M66" i="47"/>
  <c r="E126" i="29"/>
  <c r="Q111" i="47"/>
  <c r="S111" i="47" s="1"/>
  <c r="D47" i="51"/>
  <c r="I22" i="55"/>
  <c r="AB22" i="49"/>
  <c r="K22" i="47"/>
  <c r="G22" i="55"/>
  <c r="P21" i="46"/>
  <c r="P19" i="46"/>
  <c r="P29" i="46"/>
  <c r="P27" i="46"/>
  <c r="P17" i="46"/>
  <c r="P25" i="46"/>
  <c r="P23" i="46"/>
  <c r="M46" i="47"/>
  <c r="O46" i="47" s="1"/>
  <c r="AA45" i="46"/>
  <c r="O45" i="49"/>
  <c r="C111" i="46"/>
  <c r="E91" i="46"/>
  <c r="F53" i="50"/>
  <c r="B70" i="50"/>
  <c r="C99" i="46" s="1"/>
  <c r="C98" i="46" s="1"/>
  <c r="C111" i="49"/>
  <c r="E111" i="49" s="1"/>
  <c r="U22" i="47"/>
  <c r="O91" i="46"/>
  <c r="G91" i="49"/>
  <c r="G111" i="49" s="1"/>
  <c r="I111" i="49" s="1"/>
  <c r="E22" i="54"/>
  <c r="AQ22" i="54"/>
  <c r="B134" i="29"/>
  <c r="B122" i="29"/>
  <c r="B125" i="29"/>
  <c r="B23" i="50"/>
  <c r="I30" i="47" s="1"/>
  <c r="AE50" i="46"/>
  <c r="G66" i="47"/>
  <c r="G17" i="50"/>
  <c r="S91" i="46"/>
  <c r="K91" i="49"/>
  <c r="O23" i="53"/>
  <c r="B133" i="29"/>
  <c r="B121" i="29"/>
  <c r="M91" i="46"/>
  <c r="K111" i="46"/>
  <c r="Z68" i="49"/>
  <c r="H111" i="50"/>
  <c r="AP22" i="46"/>
  <c r="E93" i="47"/>
  <c r="AL91" i="46" s="1"/>
  <c r="B132" i="29"/>
  <c r="S23" i="54"/>
  <c r="Z66" i="47"/>
  <c r="I108" i="50"/>
  <c r="AE40" i="46"/>
  <c r="S17" i="49"/>
  <c r="AN22" i="46"/>
  <c r="S91" i="49"/>
  <c r="B131" i="29"/>
  <c r="H25" i="50"/>
  <c r="G30" i="54"/>
  <c r="G21" i="54" s="1"/>
  <c r="F17" i="50"/>
  <c r="W22" i="49"/>
  <c r="K147" i="49" s="1"/>
  <c r="O22" i="47"/>
  <c r="AE91" i="46"/>
  <c r="AN22" i="54"/>
  <c r="B130" i="29"/>
  <c r="O30" i="54"/>
  <c r="O19" i="54" s="1"/>
  <c r="I22" i="46"/>
  <c r="AI22" i="54"/>
  <c r="AL68" i="46"/>
  <c r="AD22" i="49"/>
  <c r="H25" i="54"/>
  <c r="G111" i="50"/>
  <c r="G12" i="50"/>
  <c r="H28" i="50"/>
  <c r="E123" i="50"/>
  <c r="E138" i="27"/>
  <c r="W48" i="46"/>
  <c r="W46" i="46"/>
  <c r="Y53" i="46"/>
  <c r="W52" i="46"/>
  <c r="W42" i="46"/>
  <c r="Y42" i="46" s="1"/>
  <c r="E126" i="27"/>
  <c r="L23" i="54"/>
  <c r="L27" i="54"/>
  <c r="L29" i="54"/>
  <c r="L17" i="54"/>
  <c r="L21" i="54"/>
  <c r="L25" i="54"/>
  <c r="L19" i="54"/>
  <c r="O53" i="46"/>
  <c r="Q53" i="46" s="1"/>
  <c r="G107" i="50"/>
  <c r="I42" i="50"/>
  <c r="I110" i="50"/>
  <c r="S78" i="47"/>
  <c r="Q71" i="47"/>
  <c r="D30" i="46"/>
  <c r="AF30" i="54"/>
  <c r="H21" i="54"/>
  <c r="R30" i="55"/>
  <c r="B129" i="27"/>
  <c r="B122" i="27"/>
  <c r="B124" i="27"/>
  <c r="S19" i="54"/>
  <c r="C76" i="49"/>
  <c r="C63" i="49" s="1"/>
  <c r="AA27" i="46"/>
  <c r="O30" i="49"/>
  <c r="O21" i="49" s="1"/>
  <c r="AE42" i="46"/>
  <c r="Q75" i="47"/>
  <c r="S75" i="47" s="1"/>
  <c r="AE76" i="46"/>
  <c r="AE67" i="46" s="1"/>
  <c r="R31" i="53"/>
  <c r="R18" i="53" s="1"/>
  <c r="H29" i="54"/>
  <c r="R53" i="55"/>
  <c r="K30" i="46"/>
  <c r="K27" i="46" s="1"/>
  <c r="AE46" i="46"/>
  <c r="Q65" i="47"/>
  <c r="S76" i="49"/>
  <c r="S65" i="49" s="1"/>
  <c r="H27" i="54"/>
  <c r="B130" i="27"/>
  <c r="B132" i="27"/>
  <c r="B134" i="27"/>
  <c r="B80" i="50"/>
  <c r="O99" i="46" s="1"/>
  <c r="B81" i="50"/>
  <c r="B132" i="50" s="1"/>
  <c r="B73" i="50"/>
  <c r="B124" i="50" s="1"/>
  <c r="B97" i="50"/>
  <c r="B71" i="50"/>
  <c r="B122" i="50" s="1"/>
  <c r="F18" i="50"/>
  <c r="S30" i="46"/>
  <c r="S19" i="46" s="1"/>
  <c r="AE48" i="46"/>
  <c r="AG48" i="46" s="1"/>
  <c r="AE52" i="46"/>
  <c r="Q69" i="47"/>
  <c r="D30" i="49"/>
  <c r="D25" i="49" s="1"/>
  <c r="F221" i="51" s="1"/>
  <c r="H17" i="54"/>
  <c r="H98" i="50"/>
  <c r="G54" i="50"/>
  <c r="B82" i="50"/>
  <c r="F108" i="50"/>
  <c r="H46" i="50"/>
  <c r="AE44" i="46"/>
  <c r="H19" i="54"/>
  <c r="I24" i="50"/>
  <c r="F54" i="50"/>
  <c r="H110" i="50"/>
  <c r="F99" i="50"/>
  <c r="C30" i="49"/>
  <c r="U4" i="52" s="1"/>
  <c r="E133" i="50"/>
  <c r="H102" i="50"/>
  <c r="E87" i="24"/>
  <c r="E138" i="24" s="1"/>
  <c r="E75" i="24"/>
  <c r="E78" i="50"/>
  <c r="E120" i="24"/>
  <c r="E69" i="50"/>
  <c r="E130" i="50"/>
  <c r="C120" i="24"/>
  <c r="C122" i="24"/>
  <c r="C71" i="50"/>
  <c r="C73" i="50"/>
  <c r="C124" i="24"/>
  <c r="H101" i="50"/>
  <c r="I101" i="50"/>
  <c r="H24" i="50"/>
  <c r="W44" i="46"/>
  <c r="W40" i="46"/>
  <c r="Y40" i="46" s="1"/>
  <c r="W50" i="46"/>
  <c r="Y50" i="46" s="1"/>
  <c r="K30" i="54"/>
  <c r="K27" i="54" s="1"/>
  <c r="K65" i="46"/>
  <c r="K67" i="46"/>
  <c r="K73" i="46"/>
  <c r="K69" i="46"/>
  <c r="K63" i="46"/>
  <c r="X25" i="46"/>
  <c r="X29" i="46"/>
  <c r="X19" i="46"/>
  <c r="X21" i="46"/>
  <c r="X23" i="46"/>
  <c r="X17" i="46"/>
  <c r="X27" i="46"/>
  <c r="K53" i="49"/>
  <c r="K42" i="49" s="1"/>
  <c r="C30" i="54"/>
  <c r="C17" i="54" s="1"/>
  <c r="H12" i="50"/>
  <c r="I12" i="50"/>
  <c r="H109" i="50"/>
  <c r="I52" i="50"/>
  <c r="H52" i="50"/>
  <c r="I13" i="50"/>
  <c r="G99" i="50"/>
  <c r="F26" i="50"/>
  <c r="C23" i="46"/>
  <c r="B129" i="24"/>
  <c r="B133" i="24"/>
  <c r="F101" i="50"/>
  <c r="H44" i="50"/>
  <c r="I44" i="50"/>
  <c r="E132" i="50"/>
  <c r="C23" i="50"/>
  <c r="B138" i="24"/>
  <c r="C129" i="24"/>
  <c r="C131" i="24"/>
  <c r="C80" i="50"/>
  <c r="C131" i="50" s="1"/>
  <c r="C82" i="50"/>
  <c r="C133" i="24"/>
  <c r="AA21" i="46"/>
  <c r="AA19" i="46"/>
  <c r="D23" i="54"/>
  <c r="D29" i="54"/>
  <c r="D17" i="54"/>
  <c r="D25" i="54"/>
  <c r="D21" i="54"/>
  <c r="D19" i="54"/>
  <c r="H45" i="50"/>
  <c r="I45" i="50"/>
  <c r="L30" i="49"/>
  <c r="L30" i="46"/>
  <c r="L29" i="46" s="1"/>
  <c r="T30" i="49"/>
  <c r="T23" i="49" s="1"/>
  <c r="AF30" i="46"/>
  <c r="G28" i="50"/>
  <c r="C138" i="24"/>
  <c r="B123" i="24"/>
  <c r="B125" i="24"/>
  <c r="B74" i="50"/>
  <c r="B125" i="50" s="1"/>
  <c r="C121" i="24"/>
  <c r="C123" i="24"/>
  <c r="C72" i="50"/>
  <c r="C123" i="50" s="1"/>
  <c r="C125" i="24"/>
  <c r="C115" i="50"/>
  <c r="E125" i="50"/>
  <c r="B132" i="24"/>
  <c r="B83" i="50"/>
  <c r="AE99" i="46" s="1"/>
  <c r="B134" i="24"/>
  <c r="G18" i="50"/>
  <c r="G25" i="50"/>
  <c r="C21" i="46"/>
  <c r="C19" i="46"/>
  <c r="E20" i="50"/>
  <c r="C130" i="24"/>
  <c r="C79" i="50"/>
  <c r="C81" i="50"/>
  <c r="C132" i="50" s="1"/>
  <c r="C132" i="24"/>
  <c r="C134" i="24"/>
  <c r="I26" i="50"/>
  <c r="R29" i="47"/>
  <c r="R17" i="47"/>
  <c r="R25" i="47"/>
  <c r="R23" i="47"/>
  <c r="R27" i="47"/>
  <c r="B122" i="24"/>
  <c r="F52" i="50"/>
  <c r="H54" i="50"/>
  <c r="I54" i="50"/>
  <c r="F110" i="50"/>
  <c r="W76" i="46"/>
  <c r="G110" i="50"/>
  <c r="K76" i="49"/>
  <c r="I51" i="50"/>
  <c r="C53" i="46"/>
  <c r="C53" i="49"/>
  <c r="F42" i="50"/>
  <c r="G42" i="50"/>
  <c r="K53" i="46"/>
  <c r="F51" i="50"/>
  <c r="G51" i="50"/>
  <c r="I54" i="47"/>
  <c r="G53" i="50"/>
  <c r="S53" i="46"/>
  <c r="E31" i="53"/>
  <c r="E53" i="55"/>
  <c r="E30" i="55"/>
  <c r="H107" i="50"/>
  <c r="I107" i="50"/>
  <c r="F43" i="50"/>
  <c r="G53" i="46"/>
  <c r="AO28" i="46"/>
  <c r="AJ28" i="46"/>
  <c r="M28" i="46"/>
  <c r="U28" i="49"/>
  <c r="AG28" i="49"/>
  <c r="X28" i="49"/>
  <c r="M76" i="46"/>
  <c r="K71" i="46"/>
  <c r="H27" i="50"/>
  <c r="I98" i="50"/>
  <c r="G44" i="50"/>
  <c r="M50" i="55"/>
  <c r="M46" i="55"/>
  <c r="M42" i="55"/>
  <c r="M48" i="55"/>
  <c r="M40" i="55"/>
  <c r="M44" i="55"/>
  <c r="M52" i="55"/>
  <c r="O30" i="46"/>
  <c r="B129" i="23"/>
  <c r="I99" i="47"/>
  <c r="B131" i="23"/>
  <c r="K97" i="49"/>
  <c r="O97" i="46"/>
  <c r="B133" i="23"/>
  <c r="S52" i="47"/>
  <c r="AR51" i="46"/>
  <c r="AF51" i="49"/>
  <c r="K30" i="49"/>
  <c r="F24" i="50"/>
  <c r="C25" i="46"/>
  <c r="C29" i="46"/>
  <c r="AA51" i="46"/>
  <c r="O51" i="49"/>
  <c r="F12" i="50"/>
  <c r="AF97" i="49"/>
  <c r="G76" i="47"/>
  <c r="O51" i="55"/>
  <c r="V51" i="55"/>
  <c r="E32" i="50"/>
  <c r="C48" i="50"/>
  <c r="E97" i="46"/>
  <c r="C114" i="46"/>
  <c r="Z74" i="49"/>
  <c r="Q77" i="47"/>
  <c r="AR74" i="46"/>
  <c r="O28" i="55"/>
  <c r="E138" i="23"/>
  <c r="E59" i="50"/>
  <c r="B72" i="50"/>
  <c r="B123" i="23"/>
  <c r="B125" i="23"/>
  <c r="C103" i="50"/>
  <c r="AU28" i="54"/>
  <c r="G45" i="50"/>
  <c r="F45" i="50"/>
  <c r="X23" i="54"/>
  <c r="X27" i="54"/>
  <c r="X19" i="54"/>
  <c r="X21" i="54"/>
  <c r="X25" i="54"/>
  <c r="X29" i="54"/>
  <c r="H55" i="50"/>
  <c r="E134" i="50"/>
  <c r="I55" i="50"/>
  <c r="B130" i="23"/>
  <c r="K97" i="46"/>
  <c r="S97" i="46"/>
  <c r="AR28" i="54"/>
  <c r="U29" i="53"/>
  <c r="W29" i="53" s="1"/>
  <c r="M28" i="54"/>
  <c r="AN28" i="54"/>
  <c r="AI28" i="54"/>
  <c r="AP28" i="54"/>
  <c r="I28" i="47"/>
  <c r="E115" i="50"/>
  <c r="W28" i="49"/>
  <c r="C150" i="49" s="1"/>
  <c r="T27" i="46"/>
  <c r="T25" i="46"/>
  <c r="T29" i="46"/>
  <c r="T21" i="46"/>
  <c r="T23" i="46"/>
  <c r="T17" i="46"/>
  <c r="B120" i="23"/>
  <c r="B122" i="23"/>
  <c r="G97" i="46"/>
  <c r="B124" i="23"/>
  <c r="E126" i="23"/>
  <c r="E113" i="46" l="1"/>
  <c r="M65" i="46"/>
  <c r="AI49" i="49"/>
  <c r="U113" i="46"/>
  <c r="G109" i="46"/>
  <c r="I109" i="46" s="1"/>
  <c r="C231" i="51"/>
  <c r="C151" i="49"/>
  <c r="G151" i="49"/>
  <c r="K151" i="49"/>
  <c r="AB151" i="49" s="1"/>
  <c r="G95" i="47"/>
  <c r="E295" i="51"/>
  <c r="U66" i="47"/>
  <c r="O66" i="47"/>
  <c r="AQ50" i="46"/>
  <c r="V71" i="47"/>
  <c r="F321" i="51" s="1"/>
  <c r="J314" i="51"/>
  <c r="AC96" i="49"/>
  <c r="V67" i="47"/>
  <c r="U46" i="47"/>
  <c r="W46" i="47" s="1"/>
  <c r="AN45" i="46"/>
  <c r="Y46" i="46"/>
  <c r="AS46" i="46"/>
  <c r="AU87" i="46"/>
  <c r="F18" i="55"/>
  <c r="G18" i="55" s="1"/>
  <c r="V16" i="47"/>
  <c r="B75" i="51" s="1"/>
  <c r="AB87" i="49"/>
  <c r="K91" i="47"/>
  <c r="AM73" i="46"/>
  <c r="AA73" i="49"/>
  <c r="AC88" i="49"/>
  <c r="AA65" i="49"/>
  <c r="Y52" i="46"/>
  <c r="G161" i="51"/>
  <c r="V117" i="47"/>
  <c r="H201" i="51" s="1"/>
  <c r="AQ96" i="46"/>
  <c r="V94" i="47"/>
  <c r="F265" i="51" s="1"/>
  <c r="AS86" i="46"/>
  <c r="H151" i="49"/>
  <c r="I151" i="49" s="1"/>
  <c r="X151" i="49"/>
  <c r="AI151" i="49" s="1"/>
  <c r="AT26" i="54"/>
  <c r="W23" i="53"/>
  <c r="AT22" i="54"/>
  <c r="W45" i="55"/>
  <c r="AI87" i="49"/>
  <c r="AM71" i="46"/>
  <c r="AC86" i="49"/>
  <c r="AQ65" i="46"/>
  <c r="C247" i="51"/>
  <c r="V92" i="47"/>
  <c r="F263" i="51" s="1"/>
  <c r="J257" i="51"/>
  <c r="AQ40" i="46"/>
  <c r="AU49" i="46"/>
  <c r="AI64" i="49"/>
  <c r="AQ75" i="46"/>
  <c r="D314" i="51"/>
  <c r="F14" i="53"/>
  <c r="J14" i="53" s="1"/>
  <c r="N14" i="53" s="1"/>
  <c r="R14" i="53" s="1"/>
  <c r="V14" i="53" s="1"/>
  <c r="AI20" i="49"/>
  <c r="J21" i="55"/>
  <c r="AC50" i="49"/>
  <c r="B142" i="51"/>
  <c r="AO50" i="46"/>
  <c r="F341" i="51"/>
  <c r="V98" i="47"/>
  <c r="F267" i="51" s="1"/>
  <c r="X18" i="49"/>
  <c r="H145" i="49" s="1"/>
  <c r="AA18" i="49"/>
  <c r="V24" i="55"/>
  <c r="W24" i="55" s="1"/>
  <c r="AK22" i="46"/>
  <c r="W39" i="55"/>
  <c r="G242" i="51"/>
  <c r="H81" i="50"/>
  <c r="D75" i="51"/>
  <c r="W43" i="55"/>
  <c r="AU20" i="46"/>
  <c r="I72" i="50"/>
  <c r="D132" i="50"/>
  <c r="H50" i="50"/>
  <c r="AN87" i="46"/>
  <c r="I70" i="50"/>
  <c r="U27" i="54"/>
  <c r="AL41" i="46"/>
  <c r="G42" i="47"/>
  <c r="Z41" i="49"/>
  <c r="I115" i="47"/>
  <c r="D196" i="51" s="1"/>
  <c r="AG113" i="46"/>
  <c r="F29" i="55"/>
  <c r="H72" i="50"/>
  <c r="F25" i="55"/>
  <c r="F21" i="55"/>
  <c r="F31" i="53"/>
  <c r="F26" i="53" s="1"/>
  <c r="AM25" i="54" s="1"/>
  <c r="H11" i="50"/>
  <c r="H20" i="50" s="1"/>
  <c r="E121" i="50"/>
  <c r="H70" i="50"/>
  <c r="I50" i="50"/>
  <c r="AE17" i="54"/>
  <c r="B133" i="50"/>
  <c r="W99" i="46"/>
  <c r="W76" i="47"/>
  <c r="I106" i="50"/>
  <c r="I41" i="50"/>
  <c r="AA82" i="46"/>
  <c r="AE82" i="46" s="1"/>
  <c r="AI82" i="46" s="1"/>
  <c r="I36" i="55"/>
  <c r="M36" i="55" s="1"/>
  <c r="Q36" i="55" s="1"/>
  <c r="U36" i="55" s="1"/>
  <c r="F36" i="55"/>
  <c r="J36" i="55" s="1"/>
  <c r="N36" i="55" s="1"/>
  <c r="R36" i="55" s="1"/>
  <c r="V36" i="55" s="1"/>
  <c r="K36" i="46"/>
  <c r="AA13" i="46"/>
  <c r="O13" i="46"/>
  <c r="K59" i="46"/>
  <c r="O105" i="46"/>
  <c r="S105" i="46" s="1"/>
  <c r="W105" i="46" s="1"/>
  <c r="AA41" i="46"/>
  <c r="AI41" i="46" s="1"/>
  <c r="I18" i="49"/>
  <c r="AC40" i="49"/>
  <c r="M63" i="46"/>
  <c r="H41" i="50"/>
  <c r="M69" i="46"/>
  <c r="M67" i="46"/>
  <c r="AG42" i="46"/>
  <c r="AO40" i="46"/>
  <c r="Y17" i="56"/>
  <c r="C13" i="57" s="1"/>
  <c r="S51" i="47"/>
  <c r="V51" i="47"/>
  <c r="B171" i="51" s="1"/>
  <c r="AM65" i="46"/>
  <c r="AO96" i="46"/>
  <c r="AG40" i="46"/>
  <c r="AI53" i="49"/>
  <c r="Y23" i="56"/>
  <c r="C16" i="57" s="1"/>
  <c r="S110" i="47"/>
  <c r="D53" i="57"/>
  <c r="K33" i="56"/>
  <c r="C53" i="57"/>
  <c r="J33" i="56"/>
  <c r="V43" i="47"/>
  <c r="B167" i="51" s="1"/>
  <c r="V19" i="53"/>
  <c r="AU18" i="54" s="1"/>
  <c r="E109" i="46"/>
  <c r="AJ69" i="46"/>
  <c r="B17" i="52"/>
  <c r="V47" i="47"/>
  <c r="B170" i="51" s="1"/>
  <c r="G19" i="53"/>
  <c r="G53" i="47"/>
  <c r="S69" i="47"/>
  <c r="AG52" i="46"/>
  <c r="S67" i="47"/>
  <c r="I11" i="50"/>
  <c r="E126" i="35"/>
  <c r="AQ69" i="46"/>
  <c r="AA96" i="49"/>
  <c r="AC65" i="49"/>
  <c r="M73" i="46"/>
  <c r="B78" i="50"/>
  <c r="I101" i="47" s="1"/>
  <c r="I91" i="46"/>
  <c r="AT20" i="54"/>
  <c r="K71" i="47"/>
  <c r="AJ88" i="46"/>
  <c r="AO65" i="46"/>
  <c r="AC42" i="49"/>
  <c r="AU26" i="54"/>
  <c r="W27" i="53"/>
  <c r="E75" i="36"/>
  <c r="I69" i="36"/>
  <c r="E120" i="36"/>
  <c r="Y43" i="49"/>
  <c r="L132" i="49"/>
  <c r="AC132" i="49" s="1"/>
  <c r="D132" i="49"/>
  <c r="H132" i="49"/>
  <c r="X132" i="49"/>
  <c r="AI132" i="49" s="1"/>
  <c r="X44" i="49"/>
  <c r="X52" i="49"/>
  <c r="M111" i="46"/>
  <c r="S114" i="47"/>
  <c r="AJ98" i="46"/>
  <c r="B139" i="51"/>
  <c r="A258" i="51"/>
  <c r="G318" i="51"/>
  <c r="I295" i="51"/>
  <c r="G280" i="51"/>
  <c r="A277" i="51"/>
  <c r="I277" i="51"/>
  <c r="A295" i="51"/>
  <c r="G165" i="51"/>
  <c r="G217" i="51"/>
  <c r="I214" i="51"/>
  <c r="I162" i="51"/>
  <c r="I315" i="51"/>
  <c r="G337" i="51"/>
  <c r="A352" i="51"/>
  <c r="I134" i="51"/>
  <c r="A196" i="51"/>
  <c r="A190" i="51"/>
  <c r="I76" i="51"/>
  <c r="G261" i="51"/>
  <c r="A334" i="51"/>
  <c r="A105" i="51"/>
  <c r="A162" i="51"/>
  <c r="G137" i="51"/>
  <c r="A134" i="51"/>
  <c r="I105" i="51"/>
  <c r="A248" i="51"/>
  <c r="I47" i="51"/>
  <c r="A78" i="51"/>
  <c r="A9" i="51"/>
  <c r="G355" i="51"/>
  <c r="B2" i="53"/>
  <c r="A17" i="51"/>
  <c r="A76" i="51"/>
  <c r="G298" i="51"/>
  <c r="I232" i="51"/>
  <c r="I248" i="51" s="1"/>
  <c r="G108" i="51"/>
  <c r="A47" i="51"/>
  <c r="A214" i="51"/>
  <c r="I258" i="51"/>
  <c r="A19" i="51"/>
  <c r="I9" i="51"/>
  <c r="I352" i="51"/>
  <c r="A50" i="51"/>
  <c r="A202" i="51"/>
  <c r="A315" i="51"/>
  <c r="I334" i="51"/>
  <c r="A232" i="51"/>
  <c r="G235" i="51"/>
  <c r="X65" i="49"/>
  <c r="Y64" i="49"/>
  <c r="Y62" i="49"/>
  <c r="X63" i="49"/>
  <c r="F75" i="24"/>
  <c r="B89" i="24"/>
  <c r="E129" i="38"/>
  <c r="D129" i="31"/>
  <c r="E120" i="33"/>
  <c r="C87" i="36"/>
  <c r="G78" i="36"/>
  <c r="C129" i="36"/>
  <c r="B120" i="30"/>
  <c r="B75" i="30"/>
  <c r="F69" i="30"/>
  <c r="X75" i="49"/>
  <c r="Y76" i="49"/>
  <c r="X71" i="49"/>
  <c r="X73" i="49"/>
  <c r="X67" i="49"/>
  <c r="B129" i="29"/>
  <c r="AU22" i="54"/>
  <c r="C138" i="35"/>
  <c r="D151" i="49"/>
  <c r="B138" i="29"/>
  <c r="AM86" i="46"/>
  <c r="AO42" i="46"/>
  <c r="AC69" i="49"/>
  <c r="AU53" i="46"/>
  <c r="E129" i="34"/>
  <c r="F69" i="36"/>
  <c r="B75" i="36"/>
  <c r="B120" i="36"/>
  <c r="E61" i="47"/>
  <c r="I37" i="47"/>
  <c r="I87" i="36"/>
  <c r="E138" i="36"/>
  <c r="AG114" i="46"/>
  <c r="AS65" i="46"/>
  <c r="D48" i="50"/>
  <c r="D78" i="50"/>
  <c r="D129" i="50" s="1"/>
  <c r="D129" i="28"/>
  <c r="E120" i="37"/>
  <c r="D120" i="27"/>
  <c r="E120" i="31"/>
  <c r="D129" i="34"/>
  <c r="I87" i="30"/>
  <c r="E138" i="30"/>
  <c r="D126" i="33"/>
  <c r="E126" i="30"/>
  <c r="I75" i="30"/>
  <c r="E89" i="30"/>
  <c r="H75" i="30"/>
  <c r="AA133" i="49"/>
  <c r="X109" i="49"/>
  <c r="Y87" i="49"/>
  <c r="X88" i="49"/>
  <c r="V110" i="47"/>
  <c r="AU113" i="46" s="1"/>
  <c r="I93" i="47"/>
  <c r="B126" i="38"/>
  <c r="AL22" i="46"/>
  <c r="Z151" i="49"/>
  <c r="AI95" i="49"/>
  <c r="AJ109" i="46"/>
  <c r="W25" i="53"/>
  <c r="V115" i="47"/>
  <c r="AA88" i="49"/>
  <c r="E138" i="34"/>
  <c r="C89" i="24"/>
  <c r="G89" i="24" s="1"/>
  <c r="G75" i="24"/>
  <c r="D120" i="31"/>
  <c r="E120" i="34"/>
  <c r="H69" i="36"/>
  <c r="D75" i="36"/>
  <c r="D120" i="36"/>
  <c r="B87" i="30"/>
  <c r="F78" i="30"/>
  <c r="B129" i="30"/>
  <c r="L125" i="49"/>
  <c r="AC125" i="49" s="1"/>
  <c r="D125" i="49"/>
  <c r="AA125" i="49" s="1"/>
  <c r="H125" i="49"/>
  <c r="X125" i="49"/>
  <c r="AI125" i="49" s="1"/>
  <c r="X40" i="49"/>
  <c r="Y39" i="49"/>
  <c r="H87" i="36"/>
  <c r="D138" i="36"/>
  <c r="AU95" i="46"/>
  <c r="D120" i="29"/>
  <c r="E129" i="29"/>
  <c r="C75" i="30"/>
  <c r="G69" i="30"/>
  <c r="C120" i="30"/>
  <c r="F78" i="36"/>
  <c r="B129" i="36"/>
  <c r="B87" i="36"/>
  <c r="D87" i="50"/>
  <c r="D129" i="33"/>
  <c r="N61" i="47"/>
  <c r="J84" i="47"/>
  <c r="Q63" i="46"/>
  <c r="L151" i="49"/>
  <c r="AC151" i="49" s="1"/>
  <c r="G257" i="51"/>
  <c r="AG69" i="49"/>
  <c r="Y19" i="56"/>
  <c r="C14" i="57" s="1"/>
  <c r="D120" i="35"/>
  <c r="D120" i="28"/>
  <c r="E129" i="33"/>
  <c r="G69" i="36"/>
  <c r="C75" i="36"/>
  <c r="C120" i="36"/>
  <c r="D120" i="34"/>
  <c r="D120" i="37"/>
  <c r="C36" i="49"/>
  <c r="C59" i="49" s="1"/>
  <c r="C82" i="49" s="1"/>
  <c r="C105" i="49" s="1"/>
  <c r="C122" i="49" s="1"/>
  <c r="C141" i="49" s="1"/>
  <c r="G141" i="49" s="1"/>
  <c r="K141" i="49" s="1"/>
  <c r="O141" i="49" s="1"/>
  <c r="S141" i="49" s="1"/>
  <c r="W141" i="49" s="1"/>
  <c r="G13" i="49"/>
  <c r="A2" i="49"/>
  <c r="D13" i="49"/>
  <c r="D141" i="49" s="1"/>
  <c r="H141" i="49" s="1"/>
  <c r="L141" i="49" s="1"/>
  <c r="P141" i="49" s="1"/>
  <c r="T141" i="49" s="1"/>
  <c r="X141" i="49" s="1"/>
  <c r="H87" i="30"/>
  <c r="D138" i="30"/>
  <c r="D89" i="30"/>
  <c r="X69" i="49"/>
  <c r="Y68" i="49"/>
  <c r="H128" i="49"/>
  <c r="Y45" i="49"/>
  <c r="D128" i="49"/>
  <c r="AA128" i="49" s="1"/>
  <c r="X128" i="49"/>
  <c r="AI128" i="49" s="1"/>
  <c r="L128" i="49"/>
  <c r="AC128" i="49" s="1"/>
  <c r="X46" i="49"/>
  <c r="I23" i="50"/>
  <c r="AU97" i="46"/>
  <c r="AJ42" i="46"/>
  <c r="K113" i="47"/>
  <c r="AJ46" i="46"/>
  <c r="S65" i="47"/>
  <c r="E111" i="46"/>
  <c r="AM75" i="46"/>
  <c r="AJ50" i="46"/>
  <c r="AJ73" i="46"/>
  <c r="F359" i="51"/>
  <c r="D35" i="57"/>
  <c r="F33" i="56"/>
  <c r="V41" i="55"/>
  <c r="W41" i="55" s="1"/>
  <c r="AQ44" i="46"/>
  <c r="AS40" i="46"/>
  <c r="C35" i="57"/>
  <c r="E33" i="56"/>
  <c r="AU76" i="46"/>
  <c r="AS44" i="46"/>
  <c r="AQ42" i="46"/>
  <c r="AU72" i="46"/>
  <c r="AS90" i="46"/>
  <c r="F53" i="55"/>
  <c r="V53" i="55" s="1"/>
  <c r="V48" i="55" s="1"/>
  <c r="AS88" i="46"/>
  <c r="AM88" i="46"/>
  <c r="AO73" i="46"/>
  <c r="AS50" i="46"/>
  <c r="AO88" i="46"/>
  <c r="B113" i="51"/>
  <c r="Y48" i="46"/>
  <c r="F113" i="51"/>
  <c r="Y44" i="46"/>
  <c r="Q19" i="54"/>
  <c r="F339" i="51"/>
  <c r="C19" i="57"/>
  <c r="Y113" i="46"/>
  <c r="AM96" i="46"/>
  <c r="AO92" i="46"/>
  <c r="S115" i="47"/>
  <c r="AJ115" i="46"/>
  <c r="F138" i="51"/>
  <c r="AS69" i="46"/>
  <c r="AG50" i="46"/>
  <c r="M96" i="46"/>
  <c r="AU66" i="46"/>
  <c r="AJ96" i="46"/>
  <c r="AU99" i="46"/>
  <c r="AU64" i="46"/>
  <c r="AC92" i="49"/>
  <c r="AM69" i="46"/>
  <c r="E18" i="55"/>
  <c r="E19" i="55" s="1"/>
  <c r="B123" i="50"/>
  <c r="AA66" i="47"/>
  <c r="I111" i="46"/>
  <c r="AM46" i="46"/>
  <c r="F342" i="51"/>
  <c r="AO46" i="46"/>
  <c r="E129" i="50"/>
  <c r="D145" i="49"/>
  <c r="AA145" i="49" s="1"/>
  <c r="H106" i="50"/>
  <c r="S71" i="47"/>
  <c r="F19" i="55"/>
  <c r="E98" i="46"/>
  <c r="S73" i="47"/>
  <c r="AO48" i="46"/>
  <c r="AJ65" i="46"/>
  <c r="AQ92" i="46"/>
  <c r="Z18" i="49"/>
  <c r="U19" i="53"/>
  <c r="AT18" i="54" s="1"/>
  <c r="K19" i="53"/>
  <c r="J48" i="55"/>
  <c r="J44" i="55"/>
  <c r="J52" i="55"/>
  <c r="AQ71" i="46"/>
  <c r="E117" i="50"/>
  <c r="AM52" i="46"/>
  <c r="Q113" i="46"/>
  <c r="S112" i="47"/>
  <c r="AG65" i="49"/>
  <c r="AG46" i="46"/>
  <c r="AJ30" i="54"/>
  <c r="AJ25" i="54" s="1"/>
  <c r="AA67" i="49"/>
  <c r="AM50" i="46"/>
  <c r="AM63" i="46"/>
  <c r="AO69" i="46"/>
  <c r="J18" i="53"/>
  <c r="AO17" i="54" s="1"/>
  <c r="J24" i="53"/>
  <c r="AO23" i="54" s="1"/>
  <c r="J26" i="53"/>
  <c r="AO25" i="54" s="1"/>
  <c r="J30" i="53"/>
  <c r="AO29" i="54" s="1"/>
  <c r="J20" i="53"/>
  <c r="AO19" i="54" s="1"/>
  <c r="J28" i="53"/>
  <c r="AO27" i="54" s="1"/>
  <c r="AO30" i="54"/>
  <c r="G76" i="46"/>
  <c r="G75" i="46" s="1"/>
  <c r="I75" i="46" s="1"/>
  <c r="W17" i="53"/>
  <c r="AT16" i="54"/>
  <c r="AL16" i="46"/>
  <c r="J17" i="55"/>
  <c r="G76" i="49"/>
  <c r="G65" i="49" s="1"/>
  <c r="G100" i="50"/>
  <c r="Q19" i="55"/>
  <c r="Q23" i="55"/>
  <c r="R26" i="53"/>
  <c r="Q27" i="55"/>
  <c r="N27" i="55"/>
  <c r="Q17" i="55"/>
  <c r="AK16" i="54"/>
  <c r="E126" i="41"/>
  <c r="D140" i="41"/>
  <c r="B126" i="41"/>
  <c r="B138" i="41"/>
  <c r="H79" i="50"/>
  <c r="D138" i="41"/>
  <c r="I64" i="47"/>
  <c r="G343" i="51" s="1"/>
  <c r="O86" i="46"/>
  <c r="Q86" i="46" s="1"/>
  <c r="I74" i="50"/>
  <c r="AH72" i="49"/>
  <c r="U19" i="46"/>
  <c r="AI91" i="47"/>
  <c r="D126" i="35"/>
  <c r="D129" i="35"/>
  <c r="C109" i="49"/>
  <c r="E109" i="49" s="1"/>
  <c r="E87" i="46"/>
  <c r="E91" i="47"/>
  <c r="Z87" i="49" s="1"/>
  <c r="B120" i="35"/>
  <c r="E48" i="50"/>
  <c r="M42" i="47"/>
  <c r="O42" i="47" s="1"/>
  <c r="E61" i="50"/>
  <c r="I18" i="53"/>
  <c r="H74" i="50"/>
  <c r="U17" i="54"/>
  <c r="B9" i="51"/>
  <c r="G16" i="47"/>
  <c r="I30" i="55"/>
  <c r="K30" i="55" s="1"/>
  <c r="I28" i="53"/>
  <c r="U16" i="47"/>
  <c r="AL18" i="47" s="1"/>
  <c r="M75" i="46"/>
  <c r="AE73" i="49"/>
  <c r="AQ73" i="46"/>
  <c r="E110" i="46"/>
  <c r="U75" i="46"/>
  <c r="AA50" i="49"/>
  <c r="F114" i="51"/>
  <c r="B114" i="51"/>
  <c r="C161" i="51"/>
  <c r="AI41" i="49"/>
  <c r="F247" i="51"/>
  <c r="AI72" i="49"/>
  <c r="F314" i="51"/>
  <c r="V73" i="47"/>
  <c r="AS42" i="46"/>
  <c r="AO86" i="46"/>
  <c r="AQ46" i="46"/>
  <c r="AU41" i="46"/>
  <c r="Y112" i="46"/>
  <c r="AG44" i="46"/>
  <c r="Q19" i="59"/>
  <c r="C12" i="62" s="1"/>
  <c r="AM40" i="46"/>
  <c r="AM98" i="46"/>
  <c r="Q17" i="59"/>
  <c r="C11" i="62" s="1"/>
  <c r="F189" i="51"/>
  <c r="AJ67" i="46"/>
  <c r="AE65" i="49"/>
  <c r="C17" i="62"/>
  <c r="Y108" i="46"/>
  <c r="AQ88" i="46"/>
  <c r="AM67" i="46"/>
  <c r="Q29" i="59"/>
  <c r="AS75" i="46"/>
  <c r="AM42" i="46"/>
  <c r="F110" i="51"/>
  <c r="B110" i="51"/>
  <c r="AA42" i="49"/>
  <c r="AS73" i="46"/>
  <c r="G146" i="49"/>
  <c r="C146" i="49"/>
  <c r="W146" i="49"/>
  <c r="AH146" i="49" s="1"/>
  <c r="AO44" i="46"/>
  <c r="AO71" i="46"/>
  <c r="AA63" i="49"/>
  <c r="F358" i="51"/>
  <c r="AQ86" i="46"/>
  <c r="AU68" i="46"/>
  <c r="E247" i="51"/>
  <c r="E314" i="51"/>
  <c r="AI68" i="49"/>
  <c r="R29" i="59"/>
  <c r="F140" i="51"/>
  <c r="AC46" i="49"/>
  <c r="B141" i="51"/>
  <c r="AQ90" i="46"/>
  <c r="AI45" i="49"/>
  <c r="E161" i="51"/>
  <c r="AU45" i="46"/>
  <c r="AO67" i="46"/>
  <c r="AO90" i="46"/>
  <c r="E257" i="51"/>
  <c r="AI91" i="49"/>
  <c r="V111" i="47"/>
  <c r="AA92" i="49"/>
  <c r="F303" i="51"/>
  <c r="AM92" i="46"/>
  <c r="AJ111" i="46"/>
  <c r="AU91" i="46"/>
  <c r="AJ92" i="46"/>
  <c r="G6" i="62"/>
  <c r="Q27" i="59"/>
  <c r="C16" i="62" s="1"/>
  <c r="Q23" i="59"/>
  <c r="C14" i="62" s="1"/>
  <c r="D133" i="50"/>
  <c r="C29" i="54"/>
  <c r="E29" i="54" s="1"/>
  <c r="S30" i="55"/>
  <c r="D130" i="50"/>
  <c r="W29" i="54"/>
  <c r="Y29" i="54" s="1"/>
  <c r="AT24" i="54"/>
  <c r="C126" i="32"/>
  <c r="I20" i="50"/>
  <c r="AE21" i="54"/>
  <c r="U74" i="47"/>
  <c r="AT70" i="46" s="1"/>
  <c r="H97" i="50"/>
  <c r="I82" i="50"/>
  <c r="J42" i="55"/>
  <c r="J40" i="55"/>
  <c r="N29" i="47"/>
  <c r="AE29" i="49" s="1"/>
  <c r="AR30" i="54"/>
  <c r="AI89" i="47"/>
  <c r="J46" i="55"/>
  <c r="Q50" i="55"/>
  <c r="R27" i="55"/>
  <c r="E49" i="47"/>
  <c r="G112" i="51" s="1"/>
  <c r="N25" i="55"/>
  <c r="Q21" i="55"/>
  <c r="Q29" i="55"/>
  <c r="E45" i="47"/>
  <c r="J105" i="51"/>
  <c r="E51" i="47"/>
  <c r="B124" i="51" s="1"/>
  <c r="M25" i="55"/>
  <c r="D122" i="50"/>
  <c r="E43" i="47"/>
  <c r="G110" i="51" s="1"/>
  <c r="G54" i="47"/>
  <c r="E47" i="47"/>
  <c r="B123" i="51" s="1"/>
  <c r="AG94" i="49"/>
  <c r="AS94" i="46"/>
  <c r="R23" i="59"/>
  <c r="D14" i="62" s="1"/>
  <c r="E7" i="62"/>
  <c r="AI115" i="49"/>
  <c r="G247" i="51"/>
  <c r="AI70" i="49"/>
  <c r="G314" i="51"/>
  <c r="V75" i="47"/>
  <c r="AC63" i="49"/>
  <c r="F338" i="51"/>
  <c r="AU51" i="46"/>
  <c r="AJ52" i="46"/>
  <c r="AE94" i="49"/>
  <c r="AQ94" i="46"/>
  <c r="V114" i="47"/>
  <c r="E201" i="51" s="1"/>
  <c r="B257" i="51"/>
  <c r="AI85" i="49"/>
  <c r="F268" i="51"/>
  <c r="V88" i="47"/>
  <c r="AI62" i="49"/>
  <c r="C314" i="51"/>
  <c r="F325" i="51"/>
  <c r="V65" i="47"/>
  <c r="AI47" i="49"/>
  <c r="V49" i="47"/>
  <c r="F161" i="51"/>
  <c r="F109" i="51"/>
  <c r="B109" i="51"/>
  <c r="AA40" i="49"/>
  <c r="F172" i="51"/>
  <c r="AG108" i="46"/>
  <c r="C7" i="62"/>
  <c r="R19" i="59"/>
  <c r="D12" i="62" s="1"/>
  <c r="AU89" i="46"/>
  <c r="AJ110" i="46"/>
  <c r="AJ90" i="46"/>
  <c r="AU43" i="46"/>
  <c r="AJ44" i="46"/>
  <c r="AM94" i="46"/>
  <c r="AS48" i="46"/>
  <c r="AG48" i="49"/>
  <c r="F139" i="51"/>
  <c r="B140" i="51"/>
  <c r="AC44" i="49"/>
  <c r="AI89" i="49"/>
  <c r="V90" i="47"/>
  <c r="V116" i="47"/>
  <c r="D257" i="51"/>
  <c r="E114" i="46"/>
  <c r="AQ63" i="46"/>
  <c r="AE63" i="49"/>
  <c r="R27" i="59"/>
  <c r="D16" i="62" s="1"/>
  <c r="G7" i="62"/>
  <c r="AU47" i="46"/>
  <c r="AJ48" i="46"/>
  <c r="AJ112" i="46"/>
  <c r="AU93" i="46"/>
  <c r="AJ94" i="46"/>
  <c r="AU70" i="46"/>
  <c r="AJ71" i="46"/>
  <c r="AC90" i="49"/>
  <c r="F282" i="51"/>
  <c r="F300" i="51"/>
  <c r="AA86" i="49"/>
  <c r="D161" i="51"/>
  <c r="V45" i="47"/>
  <c r="AI43" i="49"/>
  <c r="AE98" i="49"/>
  <c r="AQ98" i="46"/>
  <c r="AS52" i="46"/>
  <c r="AE67" i="49"/>
  <c r="AQ67" i="46"/>
  <c r="AI74" i="49"/>
  <c r="V77" i="47"/>
  <c r="AI75" i="49" s="1"/>
  <c r="AE48" i="49"/>
  <c r="AQ48" i="46"/>
  <c r="AA48" i="49"/>
  <c r="F112" i="51"/>
  <c r="B112" i="51"/>
  <c r="V53" i="47"/>
  <c r="AI52" i="49" s="1"/>
  <c r="AI51" i="49"/>
  <c r="F302" i="51"/>
  <c r="AA94" i="49"/>
  <c r="AA71" i="49"/>
  <c r="F360" i="51"/>
  <c r="F6" i="62"/>
  <c r="Q25" i="59"/>
  <c r="C15" i="62" s="1"/>
  <c r="AU74" i="46"/>
  <c r="AJ75" i="46"/>
  <c r="AJ114" i="46"/>
  <c r="AI69" i="49"/>
  <c r="F322" i="51"/>
  <c r="F257" i="51"/>
  <c r="V113" i="47"/>
  <c r="V96" i="47"/>
  <c r="AI93" i="49"/>
  <c r="AS63" i="46"/>
  <c r="AG63" i="49"/>
  <c r="AI97" i="49"/>
  <c r="V112" i="47"/>
  <c r="AI114" i="49" s="1"/>
  <c r="V100" i="47"/>
  <c r="AI98" i="49" s="1"/>
  <c r="AU62" i="46"/>
  <c r="AJ63" i="46"/>
  <c r="AG67" i="49"/>
  <c r="AS67" i="46"/>
  <c r="AO63" i="46"/>
  <c r="Q21" i="59"/>
  <c r="C13" i="62" s="1"/>
  <c r="D6" i="62"/>
  <c r="AQ52" i="46"/>
  <c r="AO52" i="46"/>
  <c r="AG98" i="49"/>
  <c r="AS98" i="46"/>
  <c r="AA44" i="49"/>
  <c r="AM44" i="46"/>
  <c r="F111" i="51"/>
  <c r="B111" i="51"/>
  <c r="AU85" i="46"/>
  <c r="AJ108" i="46"/>
  <c r="AJ86" i="46"/>
  <c r="AO75" i="46"/>
  <c r="V41" i="47"/>
  <c r="B172" i="51"/>
  <c r="AI39" i="49"/>
  <c r="B161" i="51"/>
  <c r="AI66" i="49"/>
  <c r="D247" i="51"/>
  <c r="B314" i="51"/>
  <c r="V69" i="47"/>
  <c r="AM48" i="46"/>
  <c r="W52" i="47"/>
  <c r="G112" i="47"/>
  <c r="D17" i="62"/>
  <c r="R21" i="59"/>
  <c r="D13" i="62" s="1"/>
  <c r="R17" i="59"/>
  <c r="D11" i="62" s="1"/>
  <c r="J7" i="62"/>
  <c r="F7" i="62"/>
  <c r="R25" i="59"/>
  <c r="D15" i="62" s="1"/>
  <c r="AO94" i="46"/>
  <c r="AO98" i="46"/>
  <c r="F301" i="51"/>
  <c r="AA90" i="49"/>
  <c r="AM90" i="46"/>
  <c r="AU39" i="46"/>
  <c r="AJ40" i="46"/>
  <c r="AB51" i="49"/>
  <c r="K52" i="47"/>
  <c r="AN51" i="46"/>
  <c r="G28" i="47"/>
  <c r="Z28" i="49"/>
  <c r="E28" i="55"/>
  <c r="E29" i="55" s="1"/>
  <c r="B138" i="27"/>
  <c r="G46" i="49"/>
  <c r="I46" i="49" s="1"/>
  <c r="G40" i="49"/>
  <c r="I40" i="49" s="1"/>
  <c r="G48" i="49"/>
  <c r="I48" i="49" s="1"/>
  <c r="G24" i="47"/>
  <c r="E24" i="55"/>
  <c r="E25" i="55" s="1"/>
  <c r="G30" i="46"/>
  <c r="G29" i="46" s="1"/>
  <c r="D9" i="51"/>
  <c r="I24" i="46"/>
  <c r="AJ24" i="46"/>
  <c r="AU24" i="46" s="1"/>
  <c r="AL24" i="46"/>
  <c r="G50" i="49"/>
  <c r="I50" i="49" s="1"/>
  <c r="G52" i="49"/>
  <c r="I52" i="49" s="1"/>
  <c r="G41" i="50"/>
  <c r="G42" i="49"/>
  <c r="I42" i="49" s="1"/>
  <c r="I93" i="46"/>
  <c r="G112" i="46"/>
  <c r="I112" i="46" s="1"/>
  <c r="G13" i="50"/>
  <c r="F41" i="50"/>
  <c r="J27" i="55"/>
  <c r="O52" i="46"/>
  <c r="Q52" i="46" s="1"/>
  <c r="AK26" i="46"/>
  <c r="S69" i="46"/>
  <c r="U69" i="46" s="1"/>
  <c r="S67" i="46"/>
  <c r="U67" i="46" s="1"/>
  <c r="AT72" i="46"/>
  <c r="AK72" i="46"/>
  <c r="G8" i="51"/>
  <c r="F26" i="55"/>
  <c r="AA26" i="49"/>
  <c r="AB95" i="49"/>
  <c r="K113" i="49"/>
  <c r="M113" i="49" s="1"/>
  <c r="S71" i="46"/>
  <c r="U71" i="46" s="1"/>
  <c r="W148" i="49"/>
  <c r="K148" i="49"/>
  <c r="W129" i="49"/>
  <c r="C129" i="49"/>
  <c r="G129" i="49"/>
  <c r="I129" i="49" s="1"/>
  <c r="K129" i="49"/>
  <c r="G7" i="57"/>
  <c r="AI49" i="46"/>
  <c r="AP49" i="46"/>
  <c r="I110" i="47"/>
  <c r="AN95" i="46"/>
  <c r="F277" i="51"/>
  <c r="K97" i="47"/>
  <c r="S73" i="46"/>
  <c r="U73" i="46" s="1"/>
  <c r="S65" i="46"/>
  <c r="U65" i="46" s="1"/>
  <c r="F50" i="50"/>
  <c r="F134" i="51"/>
  <c r="AB49" i="49"/>
  <c r="K50" i="47"/>
  <c r="G134" i="51"/>
  <c r="B11" i="50"/>
  <c r="Y26" i="49"/>
  <c r="H148" i="49"/>
  <c r="X148" i="49"/>
  <c r="AI148" i="49" s="1"/>
  <c r="D148" i="49"/>
  <c r="L148" i="49"/>
  <c r="AC148" i="49" s="1"/>
  <c r="F315" i="51"/>
  <c r="F248" i="51"/>
  <c r="W72" i="47"/>
  <c r="N21" i="47"/>
  <c r="AE21" i="49" s="1"/>
  <c r="I26" i="46"/>
  <c r="AN49" i="46"/>
  <c r="G148" i="49"/>
  <c r="AD49" i="49"/>
  <c r="AB29" i="46"/>
  <c r="AC29" i="46" s="1"/>
  <c r="G50" i="50"/>
  <c r="F13" i="50"/>
  <c r="H30" i="49"/>
  <c r="H27" i="49" s="1"/>
  <c r="F241" i="51" s="1"/>
  <c r="B120" i="37"/>
  <c r="B87" i="50"/>
  <c r="B129" i="37"/>
  <c r="O42" i="46"/>
  <c r="Q42" i="46" s="1"/>
  <c r="C120" i="38"/>
  <c r="B120" i="38"/>
  <c r="T17" i="49"/>
  <c r="AG17" i="49" s="1"/>
  <c r="O50" i="46"/>
  <c r="Q50" i="46" s="1"/>
  <c r="O40" i="46"/>
  <c r="Q40" i="46" s="1"/>
  <c r="T4" i="52"/>
  <c r="D29" i="49"/>
  <c r="AF89" i="49"/>
  <c r="E20" i="55"/>
  <c r="E21" i="55" s="1"/>
  <c r="G20" i="47"/>
  <c r="Z20" i="49"/>
  <c r="Z20" i="47"/>
  <c r="E9" i="51"/>
  <c r="D105" i="51"/>
  <c r="Z43" i="49"/>
  <c r="Z44" i="47"/>
  <c r="G44" i="47"/>
  <c r="G115" i="51"/>
  <c r="C140" i="33"/>
  <c r="C11" i="50"/>
  <c r="C34" i="50" s="1"/>
  <c r="AA39" i="46"/>
  <c r="AC39" i="46" s="1"/>
  <c r="O150" i="49"/>
  <c r="Q150" i="49" s="1"/>
  <c r="O147" i="49"/>
  <c r="AD147" i="49" s="1"/>
  <c r="B48" i="50"/>
  <c r="M40" i="47"/>
  <c r="C75" i="51"/>
  <c r="AU16" i="46"/>
  <c r="O127" i="49"/>
  <c r="Q127" i="49" s="1"/>
  <c r="O39" i="49"/>
  <c r="W39" i="49" s="1"/>
  <c r="U76" i="46"/>
  <c r="B115" i="50"/>
  <c r="F115" i="50" s="1"/>
  <c r="O128" i="49"/>
  <c r="Q128" i="49" s="1"/>
  <c r="S63" i="46"/>
  <c r="U63" i="46" s="1"/>
  <c r="O132" i="49"/>
  <c r="Q132" i="49" s="1"/>
  <c r="C5" i="52"/>
  <c r="B232" i="51"/>
  <c r="I16" i="49"/>
  <c r="E41" i="47"/>
  <c r="G41" i="47" s="1"/>
  <c r="N27" i="47"/>
  <c r="AE27" i="49" s="1"/>
  <c r="B125" i="51"/>
  <c r="AI16" i="46"/>
  <c r="AT16" i="46" s="1"/>
  <c r="N25" i="47"/>
  <c r="AE25" i="49" s="1"/>
  <c r="H144" i="49"/>
  <c r="AA144" i="49" s="1"/>
  <c r="AL39" i="46"/>
  <c r="O130" i="49"/>
  <c r="AD130" i="49" s="1"/>
  <c r="E87" i="47"/>
  <c r="AL85" i="46" s="1"/>
  <c r="F17" i="55"/>
  <c r="G16" i="55"/>
  <c r="G340" i="51"/>
  <c r="S75" i="49"/>
  <c r="AF75" i="49" s="1"/>
  <c r="C78" i="50"/>
  <c r="C129" i="50" s="1"/>
  <c r="Q19" i="47"/>
  <c r="S19" i="47" s="1"/>
  <c r="O144" i="49"/>
  <c r="AD144" i="49" s="1"/>
  <c r="O148" i="49"/>
  <c r="Q148" i="49" s="1"/>
  <c r="O146" i="49"/>
  <c r="AD146" i="49" s="1"/>
  <c r="S67" i="49"/>
  <c r="AF67" i="49" s="1"/>
  <c r="S69" i="49"/>
  <c r="U69" i="49" s="1"/>
  <c r="I69" i="47"/>
  <c r="G342" i="51" s="1"/>
  <c r="O126" i="49"/>
  <c r="Q126" i="49" s="1"/>
  <c r="O149" i="49"/>
  <c r="AD149" i="49" s="1"/>
  <c r="L144" i="49"/>
  <c r="AC144" i="49" s="1"/>
  <c r="AI16" i="49"/>
  <c r="X144" i="49"/>
  <c r="AI144" i="49" s="1"/>
  <c r="Z16" i="47"/>
  <c r="AA16" i="47" s="1"/>
  <c r="E16" i="55"/>
  <c r="E17" i="55" s="1"/>
  <c r="Z16" i="49"/>
  <c r="Z18" i="47"/>
  <c r="AA18" i="47" s="1"/>
  <c r="G18" i="47"/>
  <c r="C9" i="51"/>
  <c r="H27" i="46"/>
  <c r="O133" i="49"/>
  <c r="Q133" i="49" s="1"/>
  <c r="O125" i="49"/>
  <c r="Q125" i="49" s="1"/>
  <c r="O145" i="49"/>
  <c r="AD145" i="49" s="1"/>
  <c r="S71" i="49"/>
  <c r="U71" i="49" s="1"/>
  <c r="O131" i="49"/>
  <c r="AD131" i="49" s="1"/>
  <c r="F106" i="50"/>
  <c r="G40" i="47"/>
  <c r="B105" i="51"/>
  <c r="Z40" i="47"/>
  <c r="Z39" i="49"/>
  <c r="S52" i="49"/>
  <c r="U52" i="49" s="1"/>
  <c r="C59" i="50"/>
  <c r="S40" i="49"/>
  <c r="U40" i="49" s="1"/>
  <c r="S42" i="49"/>
  <c r="U42" i="49" s="1"/>
  <c r="C120" i="29"/>
  <c r="C69" i="50"/>
  <c r="C120" i="50" s="1"/>
  <c r="S44" i="49"/>
  <c r="U44" i="49" s="1"/>
  <c r="M93" i="47"/>
  <c r="U93" i="47" s="1"/>
  <c r="B126" i="29"/>
  <c r="S46" i="49"/>
  <c r="U46" i="49" s="1"/>
  <c r="S48" i="49"/>
  <c r="U48" i="49" s="1"/>
  <c r="B120" i="29"/>
  <c r="O91" i="49"/>
  <c r="B59" i="50"/>
  <c r="D21" i="49"/>
  <c r="F220" i="51" s="1"/>
  <c r="H29" i="46"/>
  <c r="H25" i="46"/>
  <c r="I22" i="49"/>
  <c r="N5" i="52"/>
  <c r="AE23" i="46"/>
  <c r="H21" i="46"/>
  <c r="F231" i="51"/>
  <c r="H17" i="46"/>
  <c r="X22" i="49"/>
  <c r="D147" i="49" s="1"/>
  <c r="AA22" i="49"/>
  <c r="D23" i="49"/>
  <c r="F222" i="51" s="1"/>
  <c r="H19" i="46"/>
  <c r="O67" i="46"/>
  <c r="Q67" i="46" s="1"/>
  <c r="AR53" i="46"/>
  <c r="O71" i="46"/>
  <c r="Q71" i="46" s="1"/>
  <c r="AC23" i="46"/>
  <c r="C129" i="29"/>
  <c r="O75" i="46"/>
  <c r="Q75" i="46" s="1"/>
  <c r="AC30" i="46"/>
  <c r="G106" i="50"/>
  <c r="AB21" i="46"/>
  <c r="Q76" i="46"/>
  <c r="AB17" i="46"/>
  <c r="AC17" i="46" s="1"/>
  <c r="O69" i="46"/>
  <c r="Q69" i="46" s="1"/>
  <c r="AQ30" i="46"/>
  <c r="O65" i="46"/>
  <c r="Q65" i="46" s="1"/>
  <c r="AB19" i="46"/>
  <c r="AC19" i="46" s="1"/>
  <c r="F9" i="51"/>
  <c r="E22" i="55"/>
  <c r="E23" i="55" s="1"/>
  <c r="G23" i="55" s="1"/>
  <c r="G22" i="47"/>
  <c r="C19" i="49"/>
  <c r="G219" i="51" s="1"/>
  <c r="AB25" i="46"/>
  <c r="AC25" i="46" s="1"/>
  <c r="O73" i="46"/>
  <c r="Q73" i="46" s="1"/>
  <c r="D27" i="49"/>
  <c r="F223" i="51" s="1"/>
  <c r="AB27" i="46"/>
  <c r="D134" i="51"/>
  <c r="K46" i="47"/>
  <c r="J22" i="55"/>
  <c r="AO22" i="46"/>
  <c r="D46" i="51"/>
  <c r="V22" i="47"/>
  <c r="W22" i="47" s="1"/>
  <c r="AC22" i="49"/>
  <c r="AF50" i="49"/>
  <c r="Q45" i="47"/>
  <c r="S45" i="47" s="1"/>
  <c r="AE25" i="46"/>
  <c r="D138" i="28"/>
  <c r="Q53" i="47"/>
  <c r="AR52" i="46" s="1"/>
  <c r="Q47" i="47"/>
  <c r="S47" i="47" s="1"/>
  <c r="Q41" i="47"/>
  <c r="S41" i="47" s="1"/>
  <c r="AR27" i="46"/>
  <c r="AF53" i="49"/>
  <c r="G19" i="49"/>
  <c r="G237" i="51" s="1"/>
  <c r="S54" i="47"/>
  <c r="Q43" i="47"/>
  <c r="AR42" i="46" s="1"/>
  <c r="B126" i="28"/>
  <c r="D140" i="28"/>
  <c r="AE19" i="46"/>
  <c r="B140" i="28"/>
  <c r="AE21" i="46"/>
  <c r="M17" i="47"/>
  <c r="AP19" i="46" s="1"/>
  <c r="Q49" i="47"/>
  <c r="S49" i="47" s="1"/>
  <c r="AE29" i="46"/>
  <c r="C126" i="28"/>
  <c r="O92" i="46"/>
  <c r="Q92" i="46" s="1"/>
  <c r="S27" i="47"/>
  <c r="Q21" i="47"/>
  <c r="AF21" i="49" s="1"/>
  <c r="S108" i="46"/>
  <c r="U108" i="46" s="1"/>
  <c r="U85" i="46"/>
  <c r="AF27" i="49"/>
  <c r="B7" i="57"/>
  <c r="Q25" i="47"/>
  <c r="S30" i="47"/>
  <c r="C144" i="49"/>
  <c r="G144" i="49"/>
  <c r="Y16" i="49"/>
  <c r="W144" i="49"/>
  <c r="AH16" i="49"/>
  <c r="C76" i="51"/>
  <c r="U16" i="55"/>
  <c r="W18" i="47"/>
  <c r="O25" i="49"/>
  <c r="Q25" i="49" s="1"/>
  <c r="O96" i="46"/>
  <c r="Q96" i="46" s="1"/>
  <c r="Q17" i="47"/>
  <c r="AF19" i="49" s="1"/>
  <c r="AF85" i="49"/>
  <c r="S108" i="49"/>
  <c r="U108" i="49" s="1"/>
  <c r="Q151" i="49"/>
  <c r="AD151" i="49"/>
  <c r="AD129" i="49"/>
  <c r="Q129" i="49"/>
  <c r="O88" i="46"/>
  <c r="Q88" i="46" s="1"/>
  <c r="AR30" i="46"/>
  <c r="O108" i="46"/>
  <c r="Q108" i="46" s="1"/>
  <c r="Q85" i="46"/>
  <c r="AA85" i="46"/>
  <c r="M87" i="47"/>
  <c r="O85" i="49"/>
  <c r="W85" i="49" s="1"/>
  <c r="K144" i="49"/>
  <c r="AU16" i="54"/>
  <c r="B277" i="51"/>
  <c r="K87" i="47"/>
  <c r="AD87" i="47"/>
  <c r="O90" i="46"/>
  <c r="Q90" i="46" s="1"/>
  <c r="Q29" i="47"/>
  <c r="AF29" i="49" s="1"/>
  <c r="O62" i="49"/>
  <c r="AA62" i="46"/>
  <c r="M64" i="47"/>
  <c r="K108" i="49"/>
  <c r="M108" i="49" s="1"/>
  <c r="AB85" i="49"/>
  <c r="C108" i="46"/>
  <c r="E108" i="46" s="1"/>
  <c r="E85" i="46"/>
  <c r="Q130" i="49"/>
  <c r="B131" i="50"/>
  <c r="AF30" i="49"/>
  <c r="Q23" i="47"/>
  <c r="AN85" i="46"/>
  <c r="K108" i="46"/>
  <c r="M108" i="46" s="1"/>
  <c r="M85" i="46"/>
  <c r="G108" i="46"/>
  <c r="I108" i="46" s="1"/>
  <c r="I85" i="46"/>
  <c r="M29" i="47"/>
  <c r="AE17" i="46"/>
  <c r="D138" i="40"/>
  <c r="E140" i="40"/>
  <c r="I83" i="50"/>
  <c r="E26" i="52"/>
  <c r="D140" i="40"/>
  <c r="Q99" i="46"/>
  <c r="O94" i="46"/>
  <c r="Q94" i="46" s="1"/>
  <c r="C25" i="49"/>
  <c r="G221" i="51" s="1"/>
  <c r="H83" i="50"/>
  <c r="M21" i="47"/>
  <c r="AP21" i="46" s="1"/>
  <c r="U23" i="54"/>
  <c r="G110" i="46"/>
  <c r="I110" i="46" s="1"/>
  <c r="I89" i="46"/>
  <c r="AG44" i="47"/>
  <c r="U44" i="47"/>
  <c r="Y89" i="46"/>
  <c r="W110" i="46"/>
  <c r="Y110" i="46" s="1"/>
  <c r="Y151" i="49"/>
  <c r="AD20" i="47"/>
  <c r="K20" i="47"/>
  <c r="E47" i="51"/>
  <c r="I20" i="55"/>
  <c r="U20" i="47"/>
  <c r="AT20" i="46" s="1"/>
  <c r="AB20" i="49"/>
  <c r="M27" i="47"/>
  <c r="Q116" i="47"/>
  <c r="S116" i="47" s="1"/>
  <c r="C277" i="51"/>
  <c r="AD89" i="47"/>
  <c r="AD91" i="47"/>
  <c r="K89" i="47"/>
  <c r="I116" i="47"/>
  <c r="O110" i="46"/>
  <c r="Q110" i="46" s="1"/>
  <c r="Q89" i="46"/>
  <c r="AK20" i="46"/>
  <c r="K110" i="46"/>
  <c r="M110" i="46" s="1"/>
  <c r="M89" i="46"/>
  <c r="AN89" i="46"/>
  <c r="AK20" i="54"/>
  <c r="AD43" i="49"/>
  <c r="W43" i="49"/>
  <c r="AA66" i="46"/>
  <c r="M68" i="47"/>
  <c r="O66" i="49"/>
  <c r="O115" i="46"/>
  <c r="Q115" i="46" s="1"/>
  <c r="M25" i="47"/>
  <c r="M19" i="47"/>
  <c r="M23" i="47"/>
  <c r="I71" i="50"/>
  <c r="C110" i="49"/>
  <c r="E110" i="49" s="1"/>
  <c r="B138" i="40"/>
  <c r="G68" i="47"/>
  <c r="B352" i="51"/>
  <c r="AL66" i="46"/>
  <c r="Z68" i="47"/>
  <c r="AA68" i="47" s="1"/>
  <c r="N17" i="47"/>
  <c r="AE19" i="49" s="1"/>
  <c r="N23" i="47"/>
  <c r="N19" i="47"/>
  <c r="AE17" i="49" s="1"/>
  <c r="AI43" i="46"/>
  <c r="AP43" i="46"/>
  <c r="O30" i="47"/>
  <c r="B120" i="40"/>
  <c r="U89" i="46"/>
  <c r="S110" i="46"/>
  <c r="U110" i="46" s="1"/>
  <c r="C140" i="40"/>
  <c r="AB89" i="49"/>
  <c r="AN20" i="46"/>
  <c r="K19" i="46"/>
  <c r="Q42" i="55"/>
  <c r="D131" i="50"/>
  <c r="C92" i="46"/>
  <c r="E92" i="46" s="1"/>
  <c r="E140" i="38"/>
  <c r="N23" i="55"/>
  <c r="O23" i="55" s="1"/>
  <c r="I24" i="53"/>
  <c r="I20" i="53"/>
  <c r="Q52" i="55"/>
  <c r="C99" i="49"/>
  <c r="C94" i="49" s="1"/>
  <c r="E94" i="49" s="1"/>
  <c r="I53" i="55"/>
  <c r="I46" i="55" s="1"/>
  <c r="C90" i="46"/>
  <c r="E90" i="46" s="1"/>
  <c r="C86" i="46"/>
  <c r="E86" i="46" s="1"/>
  <c r="AR50" i="46"/>
  <c r="I73" i="50"/>
  <c r="H73" i="50"/>
  <c r="C138" i="38"/>
  <c r="E138" i="38"/>
  <c r="Q44" i="55"/>
  <c r="G70" i="50"/>
  <c r="J334" i="51"/>
  <c r="I67" i="47"/>
  <c r="G339" i="51" s="1"/>
  <c r="H23" i="50"/>
  <c r="AO21" i="54"/>
  <c r="N29" i="55"/>
  <c r="AE115" i="46"/>
  <c r="AG115" i="46" s="1"/>
  <c r="E99" i="46"/>
  <c r="I73" i="47"/>
  <c r="I80" i="50"/>
  <c r="S53" i="55"/>
  <c r="B140" i="38"/>
  <c r="B121" i="50"/>
  <c r="K31" i="53"/>
  <c r="F70" i="50"/>
  <c r="C88" i="46"/>
  <c r="E88" i="46" s="1"/>
  <c r="I22" i="53"/>
  <c r="K22" i="53" s="1"/>
  <c r="E126" i="38"/>
  <c r="I30" i="53"/>
  <c r="I75" i="47"/>
  <c r="K75" i="47" s="1"/>
  <c r="I77" i="47"/>
  <c r="K77" i="47" s="1"/>
  <c r="C96" i="46"/>
  <c r="E96" i="46" s="1"/>
  <c r="K78" i="47"/>
  <c r="D120" i="38"/>
  <c r="D69" i="50"/>
  <c r="D120" i="50" s="1"/>
  <c r="C126" i="38"/>
  <c r="M21" i="55"/>
  <c r="O21" i="55" s="1"/>
  <c r="M17" i="55"/>
  <c r="E138" i="37"/>
  <c r="S99" i="46"/>
  <c r="S98" i="46" s="1"/>
  <c r="U98" i="46" s="1"/>
  <c r="K88" i="46"/>
  <c r="M88" i="46" s="1"/>
  <c r="M19" i="55"/>
  <c r="D138" i="37"/>
  <c r="E126" i="37"/>
  <c r="U19" i="54"/>
  <c r="M27" i="55"/>
  <c r="C115" i="46"/>
  <c r="E115" i="46" s="1"/>
  <c r="U25" i="54"/>
  <c r="B126" i="37"/>
  <c r="O30" i="55"/>
  <c r="C94" i="46"/>
  <c r="E94" i="46" s="1"/>
  <c r="M29" i="55"/>
  <c r="U29" i="54"/>
  <c r="D126" i="37"/>
  <c r="C126" i="37"/>
  <c r="W145" i="49"/>
  <c r="C145" i="49"/>
  <c r="G145" i="49"/>
  <c r="I145" i="49" s="1"/>
  <c r="O19" i="49"/>
  <c r="Q19" i="49" s="1"/>
  <c r="U42" i="47"/>
  <c r="O17" i="49"/>
  <c r="Q17" i="49" s="1"/>
  <c r="AK18" i="54"/>
  <c r="B138" i="35"/>
  <c r="AK18" i="46"/>
  <c r="Z18" i="56"/>
  <c r="B126" i="35"/>
  <c r="K25" i="54"/>
  <c r="M25" i="54" s="1"/>
  <c r="S109" i="49"/>
  <c r="U109" i="49" s="1"/>
  <c r="AF87" i="49"/>
  <c r="W41" i="49"/>
  <c r="AD41" i="49"/>
  <c r="Q30" i="53"/>
  <c r="W19" i="46"/>
  <c r="Y19" i="46" s="1"/>
  <c r="K46" i="49"/>
  <c r="M46" i="49" s="1"/>
  <c r="AP30" i="54"/>
  <c r="AR87" i="46"/>
  <c r="AE109" i="46"/>
  <c r="AG109" i="46" s="1"/>
  <c r="E138" i="35"/>
  <c r="Q30" i="49"/>
  <c r="K52" i="49"/>
  <c r="M52" i="49" s="1"/>
  <c r="W21" i="46"/>
  <c r="Y21" i="46" s="1"/>
  <c r="M70" i="47"/>
  <c r="O64" i="49"/>
  <c r="AA64" i="46"/>
  <c r="O87" i="49"/>
  <c r="M91" i="47"/>
  <c r="AA87" i="46"/>
  <c r="AI87" i="46" s="1"/>
  <c r="O23" i="49"/>
  <c r="Q23" i="49" s="1"/>
  <c r="O23" i="54"/>
  <c r="Q23" i="54" s="1"/>
  <c r="K29" i="54"/>
  <c r="M29" i="54" s="1"/>
  <c r="AD30" i="49"/>
  <c r="W27" i="46"/>
  <c r="Y27" i="46" s="1"/>
  <c r="K145" i="49"/>
  <c r="O17" i="54"/>
  <c r="Q17" i="54" s="1"/>
  <c r="K19" i="54"/>
  <c r="M28" i="53"/>
  <c r="O28" i="53" s="1"/>
  <c r="I21" i="54"/>
  <c r="Y18" i="49"/>
  <c r="X145" i="49"/>
  <c r="AI145" i="49" s="1"/>
  <c r="L145" i="49"/>
  <c r="AC145" i="49" s="1"/>
  <c r="K48" i="49"/>
  <c r="M48" i="49" s="1"/>
  <c r="S31" i="53"/>
  <c r="M18" i="53"/>
  <c r="O18" i="53" s="1"/>
  <c r="M22" i="53"/>
  <c r="O22" i="53" s="1"/>
  <c r="C75" i="46"/>
  <c r="E75" i="46" s="1"/>
  <c r="AB93" i="49"/>
  <c r="K112" i="49"/>
  <c r="M112" i="49" s="1"/>
  <c r="AK70" i="46"/>
  <c r="O46" i="46"/>
  <c r="Q46" i="46" s="1"/>
  <c r="K50" i="49"/>
  <c r="M50" i="49" s="1"/>
  <c r="AE29" i="54"/>
  <c r="R20" i="53"/>
  <c r="Y29" i="46"/>
  <c r="M24" i="53"/>
  <c r="O24" i="53" s="1"/>
  <c r="AR93" i="46"/>
  <c r="AE112" i="46"/>
  <c r="AG112" i="46" s="1"/>
  <c r="E93" i="46"/>
  <c r="AL93" i="46"/>
  <c r="C112" i="46"/>
  <c r="E112" i="46" s="1"/>
  <c r="AB146" i="49"/>
  <c r="M146" i="49"/>
  <c r="AP70" i="46"/>
  <c r="AC70" i="46"/>
  <c r="K44" i="49"/>
  <c r="M44" i="49" s="1"/>
  <c r="AE19" i="54"/>
  <c r="R24" i="53"/>
  <c r="W25" i="46"/>
  <c r="Y25" i="46" s="1"/>
  <c r="Y30" i="46"/>
  <c r="AS30" i="54"/>
  <c r="AU24" i="54"/>
  <c r="AK24" i="54"/>
  <c r="Q113" i="47"/>
  <c r="S113" i="47" s="1"/>
  <c r="AD47" i="49"/>
  <c r="W47" i="49"/>
  <c r="S112" i="49"/>
  <c r="U112" i="49" s="1"/>
  <c r="AF93" i="49"/>
  <c r="K40" i="49"/>
  <c r="M40" i="49" s="1"/>
  <c r="M26" i="53"/>
  <c r="O26" i="53" s="1"/>
  <c r="AA93" i="46"/>
  <c r="M95" i="47"/>
  <c r="U95" i="47" s="1"/>
  <c r="O93" i="49"/>
  <c r="W93" i="49" s="1"/>
  <c r="K112" i="46"/>
  <c r="M112" i="46" s="1"/>
  <c r="M93" i="46"/>
  <c r="AN93" i="46"/>
  <c r="E138" i="32"/>
  <c r="Z24" i="56"/>
  <c r="C125" i="50"/>
  <c r="G74" i="50"/>
  <c r="D190" i="51"/>
  <c r="G113" i="47"/>
  <c r="AD70" i="49"/>
  <c r="W70" i="49"/>
  <c r="J25" i="55"/>
  <c r="K24" i="55"/>
  <c r="AC47" i="46"/>
  <c r="AI47" i="46"/>
  <c r="AP47" i="46"/>
  <c r="N19" i="55"/>
  <c r="O48" i="46"/>
  <c r="Q48" i="46" s="1"/>
  <c r="O44" i="46"/>
  <c r="Q44" i="46" s="1"/>
  <c r="R22" i="53"/>
  <c r="U21" i="54"/>
  <c r="O20" i="53"/>
  <c r="Z93" i="49"/>
  <c r="C112" i="49"/>
  <c r="E112" i="49" s="1"/>
  <c r="Y24" i="49"/>
  <c r="D146" i="49"/>
  <c r="X146" i="49"/>
  <c r="AI146" i="49" s="1"/>
  <c r="H146" i="49"/>
  <c r="I146" i="49" s="1"/>
  <c r="AI24" i="49"/>
  <c r="R28" i="53"/>
  <c r="M30" i="53"/>
  <c r="O30" i="53" s="1"/>
  <c r="O31" i="53"/>
  <c r="I24" i="55"/>
  <c r="AB24" i="49"/>
  <c r="G47" i="51"/>
  <c r="U24" i="47"/>
  <c r="C138" i="32"/>
  <c r="N17" i="55"/>
  <c r="W17" i="46"/>
  <c r="Y17" i="46" s="1"/>
  <c r="AB53" i="49"/>
  <c r="W23" i="46"/>
  <c r="Y23" i="46" s="1"/>
  <c r="K86" i="46"/>
  <c r="M86" i="46" s="1"/>
  <c r="F73" i="50"/>
  <c r="E126" i="32"/>
  <c r="D138" i="32"/>
  <c r="U48" i="47"/>
  <c r="S29" i="46"/>
  <c r="U29" i="46" s="1"/>
  <c r="W25" i="54"/>
  <c r="Y25" i="54" s="1"/>
  <c r="C23" i="54"/>
  <c r="E23" i="54" s="1"/>
  <c r="N40" i="55"/>
  <c r="O40" i="55" s="1"/>
  <c r="O25" i="54"/>
  <c r="Q25" i="54" s="1"/>
  <c r="K94" i="46"/>
  <c r="M94" i="46" s="1"/>
  <c r="C65" i="46"/>
  <c r="E65" i="46" s="1"/>
  <c r="W23" i="54"/>
  <c r="Y23" i="54" s="1"/>
  <c r="AE23" i="54"/>
  <c r="AE27" i="54"/>
  <c r="D138" i="31"/>
  <c r="Q40" i="55"/>
  <c r="Q48" i="55"/>
  <c r="E30" i="54"/>
  <c r="Q30" i="54"/>
  <c r="N48" i="55"/>
  <c r="O48" i="55" s="1"/>
  <c r="C140" i="31"/>
  <c r="C19" i="54"/>
  <c r="E19" i="54" s="1"/>
  <c r="N46" i="55"/>
  <c r="O46" i="55" s="1"/>
  <c r="K92" i="46"/>
  <c r="M92" i="46" s="1"/>
  <c r="AC30" i="54"/>
  <c r="AB23" i="54"/>
  <c r="AQ23" i="54" s="1"/>
  <c r="AB19" i="54"/>
  <c r="AQ19" i="54" s="1"/>
  <c r="AB25" i="54"/>
  <c r="AQ25" i="54" s="1"/>
  <c r="AB27" i="54"/>
  <c r="AQ27" i="54" s="1"/>
  <c r="AB21" i="54"/>
  <c r="AQ30" i="54"/>
  <c r="AB17" i="54"/>
  <c r="AQ17" i="54" s="1"/>
  <c r="AB29" i="54"/>
  <c r="AQ29" i="54" s="1"/>
  <c r="W21" i="54"/>
  <c r="Y21" i="54" s="1"/>
  <c r="O21" i="54"/>
  <c r="Q21" i="54" s="1"/>
  <c r="B130" i="50"/>
  <c r="AE69" i="46"/>
  <c r="AR69" i="46" s="1"/>
  <c r="C138" i="31"/>
  <c r="C71" i="46"/>
  <c r="E71" i="46" s="1"/>
  <c r="C63" i="46"/>
  <c r="E63" i="46" s="1"/>
  <c r="C67" i="46"/>
  <c r="E67" i="46" s="1"/>
  <c r="E76" i="46"/>
  <c r="O50" i="55"/>
  <c r="W17" i="54"/>
  <c r="Y17" i="54" s="1"/>
  <c r="O27" i="54"/>
  <c r="Q27" i="54" s="1"/>
  <c r="AI30" i="54"/>
  <c r="AI19" i="54" s="1"/>
  <c r="K99" i="49"/>
  <c r="B120" i="31"/>
  <c r="AA19" i="54"/>
  <c r="AA23" i="54"/>
  <c r="AA25" i="54"/>
  <c r="AA27" i="54"/>
  <c r="AA21" i="54"/>
  <c r="AA17" i="54"/>
  <c r="N52" i="55"/>
  <c r="O52" i="55" s="1"/>
  <c r="O53" i="55"/>
  <c r="Y30" i="54"/>
  <c r="M99" i="46"/>
  <c r="O29" i="54"/>
  <c r="Q29" i="54" s="1"/>
  <c r="AN30" i="54"/>
  <c r="N44" i="55"/>
  <c r="O44" i="55" s="1"/>
  <c r="K115" i="46"/>
  <c r="M115" i="46" s="1"/>
  <c r="C73" i="49"/>
  <c r="E73" i="49" s="1"/>
  <c r="K90" i="46"/>
  <c r="M90" i="46" s="1"/>
  <c r="C73" i="46"/>
  <c r="E73" i="46" s="1"/>
  <c r="D140" i="31"/>
  <c r="C126" i="31"/>
  <c r="W27" i="54"/>
  <c r="N42" i="55"/>
  <c r="O42" i="55" s="1"/>
  <c r="C71" i="49"/>
  <c r="E71" i="49" s="1"/>
  <c r="C69" i="46"/>
  <c r="E69" i="46" s="1"/>
  <c r="Q18" i="53"/>
  <c r="Q24" i="53"/>
  <c r="Q28" i="53"/>
  <c r="Q22" i="53"/>
  <c r="Q26" i="53"/>
  <c r="AR25" i="54" s="1"/>
  <c r="Q20" i="53"/>
  <c r="B138" i="31"/>
  <c r="D126" i="31"/>
  <c r="AB147" i="49"/>
  <c r="K93" i="47"/>
  <c r="I111" i="47"/>
  <c r="D277" i="51"/>
  <c r="T27" i="49"/>
  <c r="AG27" i="49" s="1"/>
  <c r="G83" i="50"/>
  <c r="G19" i="54"/>
  <c r="I19" i="54" s="1"/>
  <c r="G29" i="54"/>
  <c r="I29" i="54" s="1"/>
  <c r="G17" i="54"/>
  <c r="I17" i="54" s="1"/>
  <c r="Q91" i="46"/>
  <c r="O111" i="46"/>
  <c r="Q111" i="46" s="1"/>
  <c r="AA111" i="46"/>
  <c r="AC111" i="46" s="1"/>
  <c r="AI68" i="46"/>
  <c r="AP68" i="46"/>
  <c r="AE111" i="46"/>
  <c r="AG111" i="46" s="1"/>
  <c r="AR91" i="46"/>
  <c r="AI91" i="46"/>
  <c r="E76" i="51"/>
  <c r="U22" i="55"/>
  <c r="W68" i="49"/>
  <c r="AH68" i="49" s="1"/>
  <c r="AD68" i="49"/>
  <c r="T19" i="49"/>
  <c r="AG19" i="49" s="1"/>
  <c r="T29" i="49"/>
  <c r="AG29" i="49" s="1"/>
  <c r="I30" i="54"/>
  <c r="Y91" i="46"/>
  <c r="W111" i="46"/>
  <c r="Y111" i="46" s="1"/>
  <c r="AT22" i="46"/>
  <c r="T21" i="49"/>
  <c r="U21" i="49" s="1"/>
  <c r="C23" i="49"/>
  <c r="K17" i="54"/>
  <c r="M17" i="54" s="1"/>
  <c r="D19" i="49"/>
  <c r="F219" i="51" s="1"/>
  <c r="J214" i="51"/>
  <c r="G27" i="54"/>
  <c r="I27" i="54" s="1"/>
  <c r="G93" i="47"/>
  <c r="F295" i="51"/>
  <c r="E111" i="47"/>
  <c r="AK22" i="54"/>
  <c r="C126" i="29"/>
  <c r="AG30" i="49"/>
  <c r="M30" i="54"/>
  <c r="C21" i="49"/>
  <c r="G220" i="51" s="1"/>
  <c r="F224" i="51"/>
  <c r="G25" i="54"/>
  <c r="I25" i="54" s="1"/>
  <c r="W66" i="47"/>
  <c r="E315" i="51"/>
  <c r="E248" i="51"/>
  <c r="AB91" i="49"/>
  <c r="K111" i="49"/>
  <c r="M111" i="49" s="1"/>
  <c r="AD45" i="49"/>
  <c r="W45" i="49"/>
  <c r="E7" i="57"/>
  <c r="AN91" i="46"/>
  <c r="T25" i="49"/>
  <c r="AG25" i="49" s="1"/>
  <c r="AE96" i="46"/>
  <c r="AG96" i="46" s="1"/>
  <c r="C25" i="54"/>
  <c r="E25" i="54" s="1"/>
  <c r="D17" i="49"/>
  <c r="C27" i="49"/>
  <c r="G223" i="51" s="1"/>
  <c r="G23" i="54"/>
  <c r="I23" i="54" s="1"/>
  <c r="S111" i="49"/>
  <c r="U111" i="49" s="1"/>
  <c r="AF91" i="49"/>
  <c r="D138" i="29"/>
  <c r="S111" i="46"/>
  <c r="U111" i="46" s="1"/>
  <c r="U91" i="46"/>
  <c r="B140" i="29"/>
  <c r="D140" i="29"/>
  <c r="Z91" i="49"/>
  <c r="AE88" i="46"/>
  <c r="AG88" i="46" s="1"/>
  <c r="G81" i="50"/>
  <c r="J213" i="51"/>
  <c r="G82" i="50"/>
  <c r="C17" i="49"/>
  <c r="G218" i="51" s="1"/>
  <c r="W147" i="49"/>
  <c r="G147" i="49"/>
  <c r="AH22" i="49"/>
  <c r="C147" i="49"/>
  <c r="C138" i="29"/>
  <c r="AP45" i="46"/>
  <c r="AI45" i="46"/>
  <c r="D126" i="29"/>
  <c r="K23" i="46"/>
  <c r="C75" i="49"/>
  <c r="E75" i="49" s="1"/>
  <c r="D138" i="27"/>
  <c r="AF29" i="54"/>
  <c r="AF27" i="54"/>
  <c r="AF21" i="54"/>
  <c r="AF17" i="54"/>
  <c r="AS17" i="54" s="1"/>
  <c r="AG30" i="54"/>
  <c r="AF19" i="54"/>
  <c r="AF23" i="54"/>
  <c r="AF25" i="54"/>
  <c r="AG25" i="54" s="1"/>
  <c r="C138" i="27"/>
  <c r="S25" i="46"/>
  <c r="U25" i="46" s="1"/>
  <c r="S73" i="49"/>
  <c r="S63" i="49"/>
  <c r="AF76" i="49"/>
  <c r="D19" i="46"/>
  <c r="D17" i="46"/>
  <c r="D23" i="46"/>
  <c r="D27" i="46"/>
  <c r="E27" i="46" s="1"/>
  <c r="D21" i="46"/>
  <c r="E30" i="46"/>
  <c r="D29" i="46"/>
  <c r="D25" i="46"/>
  <c r="R29" i="55"/>
  <c r="R23" i="55"/>
  <c r="V30" i="55"/>
  <c r="F74" i="50"/>
  <c r="AE94" i="46"/>
  <c r="AG94" i="46" s="1"/>
  <c r="Q101" i="47"/>
  <c r="Q94" i="47" s="1"/>
  <c r="U30" i="46"/>
  <c r="R25" i="55"/>
  <c r="S25" i="55" s="1"/>
  <c r="S17" i="46"/>
  <c r="U17" i="46" s="1"/>
  <c r="R46" i="55"/>
  <c r="S46" i="55" s="1"/>
  <c r="R44" i="55"/>
  <c r="R48" i="55"/>
  <c r="R42" i="55"/>
  <c r="R50" i="55"/>
  <c r="R52" i="55"/>
  <c r="R40" i="55"/>
  <c r="C140" i="27"/>
  <c r="D126" i="27"/>
  <c r="B120" i="27"/>
  <c r="AE65" i="46"/>
  <c r="AR76" i="46"/>
  <c r="AE71" i="46"/>
  <c r="AE75" i="46"/>
  <c r="AG75" i="46" s="1"/>
  <c r="AG99" i="46"/>
  <c r="S99" i="49"/>
  <c r="S98" i="49" s="1"/>
  <c r="S23" i="46"/>
  <c r="U23" i="46" s="1"/>
  <c r="K17" i="46"/>
  <c r="AG76" i="46"/>
  <c r="R17" i="55"/>
  <c r="S27" i="46"/>
  <c r="U27" i="46" s="1"/>
  <c r="F97" i="50"/>
  <c r="E78" i="47"/>
  <c r="G97" i="50"/>
  <c r="E140" i="27"/>
  <c r="K21" i="46"/>
  <c r="AE98" i="46"/>
  <c r="AG98" i="46" s="1"/>
  <c r="B134" i="50"/>
  <c r="S21" i="46"/>
  <c r="U21" i="46" s="1"/>
  <c r="K29" i="46"/>
  <c r="M29" i="46" s="1"/>
  <c r="AE63" i="46"/>
  <c r="AR63" i="46" s="1"/>
  <c r="R19" i="55"/>
  <c r="R30" i="53"/>
  <c r="O27" i="49"/>
  <c r="Q27" i="49" s="1"/>
  <c r="O29" i="49"/>
  <c r="C69" i="49"/>
  <c r="E69" i="49" s="1"/>
  <c r="C65" i="49"/>
  <c r="E65" i="49" s="1"/>
  <c r="I25" i="47"/>
  <c r="B55" i="51" s="1"/>
  <c r="I23" i="47"/>
  <c r="I17" i="47"/>
  <c r="I27" i="47"/>
  <c r="G56" i="51" s="1"/>
  <c r="I21" i="47"/>
  <c r="G57" i="51"/>
  <c r="B57" i="51"/>
  <c r="I19" i="47"/>
  <c r="J47" i="51"/>
  <c r="F83" i="50"/>
  <c r="K25" i="46"/>
  <c r="AE73" i="46"/>
  <c r="AG73" i="46" s="1"/>
  <c r="R21" i="55"/>
  <c r="C67" i="49"/>
  <c r="E67" i="49" s="1"/>
  <c r="E30" i="49"/>
  <c r="C29" i="49"/>
  <c r="G224" i="51"/>
  <c r="C126" i="27"/>
  <c r="E120" i="50"/>
  <c r="F81" i="50"/>
  <c r="H75" i="24"/>
  <c r="E126" i="24"/>
  <c r="I75" i="24"/>
  <c r="E89" i="24"/>
  <c r="E140" i="24" s="1"/>
  <c r="H87" i="24"/>
  <c r="I87" i="24"/>
  <c r="AG23" i="49"/>
  <c r="J232" i="51"/>
  <c r="U5" i="52"/>
  <c r="D103" i="50"/>
  <c r="I103" i="50" s="1"/>
  <c r="D138" i="24"/>
  <c r="C130" i="50"/>
  <c r="G79" i="50"/>
  <c r="F79" i="50"/>
  <c r="L17" i="49"/>
  <c r="L19" i="49"/>
  <c r="L25" i="49"/>
  <c r="L21" i="49"/>
  <c r="L29" i="49"/>
  <c r="L27" i="49"/>
  <c r="L23" i="49"/>
  <c r="G23" i="50"/>
  <c r="F23" i="50"/>
  <c r="J30" i="47"/>
  <c r="AC30" i="49" s="1"/>
  <c r="G23" i="49"/>
  <c r="G240" i="51" s="1"/>
  <c r="M30" i="46"/>
  <c r="G17" i="49"/>
  <c r="G236" i="51" s="1"/>
  <c r="B120" i="24"/>
  <c r="B69" i="50"/>
  <c r="C133" i="50"/>
  <c r="F82" i="50"/>
  <c r="C32" i="50"/>
  <c r="D126" i="24"/>
  <c r="C21" i="54"/>
  <c r="E21" i="54" s="1"/>
  <c r="C27" i="54"/>
  <c r="E27" i="54" s="1"/>
  <c r="E63" i="49"/>
  <c r="C124" i="50"/>
  <c r="G73" i="50"/>
  <c r="G25" i="49"/>
  <c r="G29" i="49"/>
  <c r="C126" i="24"/>
  <c r="AR67" i="46"/>
  <c r="AG67" i="46"/>
  <c r="C122" i="50"/>
  <c r="G71" i="50"/>
  <c r="F71" i="50"/>
  <c r="L25" i="46"/>
  <c r="L21" i="46"/>
  <c r="L23" i="46"/>
  <c r="L27" i="46"/>
  <c r="M27" i="46" s="1"/>
  <c r="L19" i="46"/>
  <c r="L17" i="46"/>
  <c r="W30" i="49"/>
  <c r="W29" i="49" s="1"/>
  <c r="G21" i="49"/>
  <c r="B20" i="50"/>
  <c r="F80" i="50"/>
  <c r="G80" i="50"/>
  <c r="D140" i="24"/>
  <c r="G27" i="49"/>
  <c r="G241" i="51" s="1"/>
  <c r="AE90" i="46"/>
  <c r="AG90" i="46" s="1"/>
  <c r="AE86" i="46"/>
  <c r="AG86" i="46" s="1"/>
  <c r="AE92" i="46"/>
  <c r="AG92" i="46" s="1"/>
  <c r="AF17" i="46"/>
  <c r="AF25" i="46"/>
  <c r="AG30" i="46"/>
  <c r="AS30" i="46"/>
  <c r="AF19" i="46"/>
  <c r="AF21" i="46"/>
  <c r="AS21" i="46" s="1"/>
  <c r="AF23" i="46"/>
  <c r="AF29" i="46"/>
  <c r="AF27" i="46"/>
  <c r="K23" i="54"/>
  <c r="M23" i="54" s="1"/>
  <c r="K21" i="54"/>
  <c r="M21" i="54" s="1"/>
  <c r="AJ30" i="46"/>
  <c r="AJ19" i="46" s="1"/>
  <c r="D32" i="50"/>
  <c r="I32" i="50" s="1"/>
  <c r="U30" i="49"/>
  <c r="O97" i="49"/>
  <c r="AA97" i="46"/>
  <c r="AT28" i="54"/>
  <c r="AK28" i="54"/>
  <c r="D33" i="50"/>
  <c r="AD51" i="49"/>
  <c r="W51" i="49"/>
  <c r="B138" i="23"/>
  <c r="I112" i="47"/>
  <c r="K112" i="47" s="1"/>
  <c r="K99" i="47"/>
  <c r="O21" i="46"/>
  <c r="Q21" i="46" s="1"/>
  <c r="O25" i="46"/>
  <c r="Q25" i="46" s="1"/>
  <c r="O29" i="46"/>
  <c r="Q29" i="46" s="1"/>
  <c r="O17" i="46"/>
  <c r="Q17" i="46" s="1"/>
  <c r="AN30" i="46"/>
  <c r="Q30" i="46"/>
  <c r="O23" i="46"/>
  <c r="Q23" i="46" s="1"/>
  <c r="O27" i="46"/>
  <c r="O19" i="46"/>
  <c r="Q19" i="46" s="1"/>
  <c r="D150" i="49"/>
  <c r="L150" i="49"/>
  <c r="AC150" i="49" s="1"/>
  <c r="X150" i="49"/>
  <c r="AI150" i="49" s="1"/>
  <c r="AI28" i="49"/>
  <c r="H150" i="49"/>
  <c r="Y28" i="49"/>
  <c r="E42" i="55"/>
  <c r="E52" i="55"/>
  <c r="E44" i="55"/>
  <c r="E46" i="55"/>
  <c r="E48" i="55"/>
  <c r="E50" i="55"/>
  <c r="E40" i="55"/>
  <c r="D138" i="23"/>
  <c r="K150" i="49"/>
  <c r="G150" i="49"/>
  <c r="W150" i="49"/>
  <c r="I115" i="50"/>
  <c r="H115" i="50"/>
  <c r="U99" i="47"/>
  <c r="W51" i="55"/>
  <c r="B126" i="23"/>
  <c r="W114" i="46"/>
  <c r="Y114" i="46" s="1"/>
  <c r="Y97" i="46"/>
  <c r="G31" i="53"/>
  <c r="E18" i="53"/>
  <c r="E20" i="53"/>
  <c r="E22" i="53"/>
  <c r="E24" i="53"/>
  <c r="E28" i="53"/>
  <c r="E26" i="53"/>
  <c r="E30" i="53"/>
  <c r="AL30" i="54"/>
  <c r="U31" i="53"/>
  <c r="U30" i="53" s="1"/>
  <c r="U65" i="49"/>
  <c r="AF65" i="49"/>
  <c r="I43" i="47"/>
  <c r="I41" i="47"/>
  <c r="I49" i="47"/>
  <c r="K49" i="47" s="1"/>
  <c r="G143" i="51"/>
  <c r="B152" i="51"/>
  <c r="I51" i="47"/>
  <c r="I47" i="47"/>
  <c r="J134" i="51"/>
  <c r="I53" i="47"/>
  <c r="K53" i="47" s="1"/>
  <c r="I45" i="47"/>
  <c r="G139" i="51" s="1"/>
  <c r="K54" i="47"/>
  <c r="M42" i="49"/>
  <c r="I97" i="46"/>
  <c r="AL97" i="46"/>
  <c r="G114" i="46"/>
  <c r="I114" i="46" s="1"/>
  <c r="D117" i="50"/>
  <c r="G72" i="50"/>
  <c r="F72" i="50"/>
  <c r="G99" i="46"/>
  <c r="G98" i="46" s="1"/>
  <c r="G99" i="49"/>
  <c r="AA74" i="46"/>
  <c r="O74" i="49"/>
  <c r="B103" i="50"/>
  <c r="G103" i="50" s="1"/>
  <c r="M71" i="46"/>
  <c r="G44" i="46"/>
  <c r="I44" i="46" s="1"/>
  <c r="G52" i="46"/>
  <c r="I52" i="46" s="1"/>
  <c r="I53" i="46"/>
  <c r="G46" i="46"/>
  <c r="I46" i="46" s="1"/>
  <c r="G42" i="46"/>
  <c r="I42" i="46" s="1"/>
  <c r="G50" i="46"/>
  <c r="I50" i="46" s="1"/>
  <c r="G48" i="46"/>
  <c r="I48" i="46" s="1"/>
  <c r="G40" i="46"/>
  <c r="I40" i="46" s="1"/>
  <c r="K65" i="49"/>
  <c r="K63" i="49"/>
  <c r="K75" i="49"/>
  <c r="K73" i="49"/>
  <c r="K67" i="49"/>
  <c r="K69" i="49"/>
  <c r="K71" i="49"/>
  <c r="AB76" i="49"/>
  <c r="B32" i="50"/>
  <c r="U97" i="46"/>
  <c r="S114" i="46"/>
  <c r="U114" i="46" s="1"/>
  <c r="I59" i="50"/>
  <c r="D126" i="23"/>
  <c r="S77" i="47"/>
  <c r="C61" i="50"/>
  <c r="AP51" i="46"/>
  <c r="AI51" i="46"/>
  <c r="Q97" i="46"/>
  <c r="O114" i="46"/>
  <c r="Q114" i="46" s="1"/>
  <c r="O98" i="46"/>
  <c r="Q98" i="46" s="1"/>
  <c r="AU28" i="46"/>
  <c r="AK28" i="46"/>
  <c r="E17" i="54"/>
  <c r="H59" i="50"/>
  <c r="AB28" i="49"/>
  <c r="I28" i="55"/>
  <c r="K28" i="47"/>
  <c r="U28" i="47"/>
  <c r="AH28" i="49" s="1"/>
  <c r="AN28" i="46"/>
  <c r="I29" i="47"/>
  <c r="E33" i="50"/>
  <c r="C117" i="50"/>
  <c r="K27" i="49"/>
  <c r="K29" i="49"/>
  <c r="M30" i="49"/>
  <c r="K21" i="49"/>
  <c r="K25" i="49"/>
  <c r="AB30" i="49"/>
  <c r="K19" i="49"/>
  <c r="K17" i="49"/>
  <c r="K23" i="49"/>
  <c r="AB97" i="49"/>
  <c r="K114" i="49"/>
  <c r="M114" i="49" s="1"/>
  <c r="U23" i="49"/>
  <c r="W65" i="46"/>
  <c r="W73" i="46"/>
  <c r="Y76" i="46"/>
  <c r="W71" i="46"/>
  <c r="Y71" i="46" s="1"/>
  <c r="W63" i="46"/>
  <c r="W75" i="46"/>
  <c r="W69" i="46"/>
  <c r="W67" i="46"/>
  <c r="AN76" i="46"/>
  <c r="M27" i="54"/>
  <c r="E87" i="50"/>
  <c r="C87" i="50"/>
  <c r="C138" i="23"/>
  <c r="D140" i="23"/>
  <c r="D61" i="50"/>
  <c r="Q21" i="49"/>
  <c r="Y19" i="54"/>
  <c r="S52" i="46"/>
  <c r="U52" i="46" s="1"/>
  <c r="S46" i="46"/>
  <c r="U46" i="46" s="1"/>
  <c r="U53" i="46"/>
  <c r="S44" i="46"/>
  <c r="U44" i="46" s="1"/>
  <c r="S48" i="46"/>
  <c r="U48" i="46" s="1"/>
  <c r="S50" i="46"/>
  <c r="U50" i="46" s="1"/>
  <c r="S40" i="46"/>
  <c r="U40" i="46" s="1"/>
  <c r="S42" i="46"/>
  <c r="U42" i="46" s="1"/>
  <c r="K46" i="46"/>
  <c r="K42" i="46"/>
  <c r="AN53" i="46"/>
  <c r="K48" i="46"/>
  <c r="K52" i="46"/>
  <c r="K44" i="46"/>
  <c r="K50" i="46"/>
  <c r="K40" i="46"/>
  <c r="M53" i="46"/>
  <c r="C46" i="49"/>
  <c r="C42" i="49"/>
  <c r="C52" i="49"/>
  <c r="C40" i="49"/>
  <c r="C44" i="49"/>
  <c r="C50" i="49"/>
  <c r="Z53" i="49"/>
  <c r="C48" i="49"/>
  <c r="E75" i="50"/>
  <c r="C75" i="50"/>
  <c r="C140" i="23"/>
  <c r="C126" i="23"/>
  <c r="M97" i="46"/>
  <c r="AN97" i="46"/>
  <c r="K114" i="46"/>
  <c r="M114" i="46" s="1"/>
  <c r="K98" i="46"/>
  <c r="G30" i="55"/>
  <c r="C42" i="46"/>
  <c r="C50" i="46"/>
  <c r="C46" i="46"/>
  <c r="C48" i="46"/>
  <c r="C52" i="46"/>
  <c r="C40" i="46"/>
  <c r="E53" i="46"/>
  <c r="C44" i="46"/>
  <c r="AL53" i="46"/>
  <c r="B121" i="51" l="1"/>
  <c r="G111" i="51"/>
  <c r="AI65" i="49"/>
  <c r="AU65" i="46"/>
  <c r="O53" i="49"/>
  <c r="O50" i="49" s="1"/>
  <c r="M54" i="47"/>
  <c r="M45" i="47" s="1"/>
  <c r="AC41" i="46"/>
  <c r="AI18" i="49"/>
  <c r="V18" i="55"/>
  <c r="W18" i="55" s="1"/>
  <c r="AU18" i="46"/>
  <c r="I65" i="47"/>
  <c r="G338" i="51" s="1"/>
  <c r="O7" i="57"/>
  <c r="P8" i="57"/>
  <c r="E162" i="51"/>
  <c r="Y22" i="49"/>
  <c r="M111" i="47"/>
  <c r="O111" i="47" s="1"/>
  <c r="O93" i="47"/>
  <c r="AU69" i="46"/>
  <c r="AU115" i="46"/>
  <c r="F167" i="51"/>
  <c r="AI42" i="49"/>
  <c r="AU42" i="46"/>
  <c r="G286" i="51"/>
  <c r="AD91" i="49"/>
  <c r="B201" i="51"/>
  <c r="AI92" i="49"/>
  <c r="AU92" i="46"/>
  <c r="AU50" i="46"/>
  <c r="AI50" i="49"/>
  <c r="F171" i="51"/>
  <c r="G171" i="51" s="1"/>
  <c r="AU46" i="46"/>
  <c r="AU96" i="46"/>
  <c r="AI96" i="49"/>
  <c r="AU88" i="46"/>
  <c r="AI88" i="49"/>
  <c r="I114" i="47"/>
  <c r="Z85" i="49"/>
  <c r="AA151" i="49"/>
  <c r="G71" i="49"/>
  <c r="I71" i="49" s="1"/>
  <c r="AR17" i="54"/>
  <c r="O111" i="49"/>
  <c r="Q111" i="49" s="1"/>
  <c r="W91" i="49"/>
  <c r="W111" i="49" s="1"/>
  <c r="I98" i="47"/>
  <c r="I96" i="47"/>
  <c r="K96" i="47" s="1"/>
  <c r="I92" i="47"/>
  <c r="G284" i="51" s="1"/>
  <c r="I100" i="47"/>
  <c r="K100" i="47" s="1"/>
  <c r="AI113" i="49"/>
  <c r="G73" i="49"/>
  <c r="I73" i="49" s="1"/>
  <c r="AP91" i="46"/>
  <c r="L147" i="49"/>
  <c r="AC147" i="49" s="1"/>
  <c r="H147" i="49"/>
  <c r="I147" i="49" s="1"/>
  <c r="AB99" i="49"/>
  <c r="I94" i="47"/>
  <c r="K94" i="47" s="1"/>
  <c r="K101" i="47"/>
  <c r="I117" i="47"/>
  <c r="K117" i="47" s="1"/>
  <c r="I90" i="47"/>
  <c r="K90" i="47" s="1"/>
  <c r="B129" i="50"/>
  <c r="I88" i="47"/>
  <c r="K88" i="47" s="1"/>
  <c r="J277" i="51"/>
  <c r="S19" i="55"/>
  <c r="K115" i="47"/>
  <c r="F169" i="51"/>
  <c r="AI46" i="49"/>
  <c r="AU109" i="46"/>
  <c r="G248" i="51"/>
  <c r="G21" i="55"/>
  <c r="Z146" i="49"/>
  <c r="G25" i="55"/>
  <c r="G67" i="46"/>
  <c r="I67" i="46" s="1"/>
  <c r="Q145" i="49"/>
  <c r="AD127" i="49"/>
  <c r="E151" i="49"/>
  <c r="G29" i="55"/>
  <c r="F18" i="53"/>
  <c r="AM17" i="54" s="1"/>
  <c r="AG42" i="47"/>
  <c r="F30" i="53"/>
  <c r="AM29" i="54" s="1"/>
  <c r="F28" i="53"/>
  <c r="AM27" i="54" s="1"/>
  <c r="V31" i="53"/>
  <c r="AU30" i="54" s="1"/>
  <c r="AP41" i="46"/>
  <c r="G71" i="46"/>
  <c r="I71" i="46" s="1"/>
  <c r="I78" i="50"/>
  <c r="K26" i="53"/>
  <c r="F24" i="53"/>
  <c r="AM23" i="54" s="1"/>
  <c r="F20" i="53"/>
  <c r="AM19" i="54" s="1"/>
  <c r="H78" i="50"/>
  <c r="G63" i="49"/>
  <c r="I63" i="49" s="1"/>
  <c r="E146" i="49"/>
  <c r="G67" i="49"/>
  <c r="I67" i="49" s="1"/>
  <c r="G69" i="49"/>
  <c r="I69" i="49" s="1"/>
  <c r="AK24" i="46"/>
  <c r="G75" i="49"/>
  <c r="I75" i="49" s="1"/>
  <c r="AM30" i="54"/>
  <c r="F22" i="53"/>
  <c r="AM21" i="54" s="1"/>
  <c r="AP29" i="54"/>
  <c r="H48" i="50"/>
  <c r="G43" i="47"/>
  <c r="AJ21" i="54"/>
  <c r="S21" i="55"/>
  <c r="G53" i="55"/>
  <c r="O27" i="55"/>
  <c r="AA150" i="49"/>
  <c r="S27" i="55"/>
  <c r="G26" i="53"/>
  <c r="W92" i="46"/>
  <c r="Y92" i="46" s="1"/>
  <c r="W88" i="46"/>
  <c r="Y88" i="46" s="1"/>
  <c r="W90" i="46"/>
  <c r="Y90" i="46" s="1"/>
  <c r="W96" i="46"/>
  <c r="Y96" i="46" s="1"/>
  <c r="W94" i="46"/>
  <c r="Y94" i="46" s="1"/>
  <c r="W98" i="46"/>
  <c r="Y98" i="46" s="1"/>
  <c r="O59" i="46"/>
  <c r="S59" i="46" s="1"/>
  <c r="W59" i="46" s="1"/>
  <c r="AA59" i="46"/>
  <c r="AE59" i="46" s="1"/>
  <c r="AI59" i="46" s="1"/>
  <c r="S13" i="46"/>
  <c r="O36" i="46"/>
  <c r="AE13" i="46"/>
  <c r="AA36" i="46"/>
  <c r="I27" i="55"/>
  <c r="K27" i="55" s="1"/>
  <c r="D140" i="27"/>
  <c r="Q149" i="49"/>
  <c r="C89" i="30"/>
  <c r="G75" i="30"/>
  <c r="C126" i="30"/>
  <c r="D138" i="34"/>
  <c r="M37" i="47"/>
  <c r="Q37" i="47" s="1"/>
  <c r="U37" i="47" s="1"/>
  <c r="A117" i="51"/>
  <c r="A174" i="51"/>
  <c r="A145" i="51"/>
  <c r="F89" i="24"/>
  <c r="I75" i="36"/>
  <c r="E126" i="36"/>
  <c r="E89" i="36"/>
  <c r="K28" i="53"/>
  <c r="H89" i="30"/>
  <c r="D140" i="30"/>
  <c r="C126" i="36"/>
  <c r="G75" i="36"/>
  <c r="C89" i="36"/>
  <c r="E84" i="47"/>
  <c r="I61" i="47"/>
  <c r="M61" i="47" s="1"/>
  <c r="Q61" i="47" s="1"/>
  <c r="U61" i="47" s="1"/>
  <c r="E126" i="34"/>
  <c r="D138" i="33"/>
  <c r="D75" i="50"/>
  <c r="I75" i="50" s="1"/>
  <c r="X147" i="49"/>
  <c r="AI147" i="49" s="1"/>
  <c r="E138" i="33"/>
  <c r="B138" i="36"/>
  <c r="F87" i="36"/>
  <c r="E138" i="29"/>
  <c r="E140" i="29"/>
  <c r="F87" i="30"/>
  <c r="B138" i="30"/>
  <c r="M151" i="49"/>
  <c r="D140" i="33"/>
  <c r="B89" i="36"/>
  <c r="B126" i="36"/>
  <c r="F75" i="36"/>
  <c r="AA132" i="49"/>
  <c r="F75" i="30"/>
  <c r="B89" i="30"/>
  <c r="B126" i="30"/>
  <c r="Q144" i="49"/>
  <c r="AI109" i="49"/>
  <c r="G201" i="51"/>
  <c r="E140" i="34"/>
  <c r="D126" i="34"/>
  <c r="D126" i="36"/>
  <c r="H75" i="36"/>
  <c r="D89" i="36"/>
  <c r="AA20" i="47"/>
  <c r="C140" i="28"/>
  <c r="H13" i="49"/>
  <c r="L13" i="49" s="1"/>
  <c r="P13" i="49" s="1"/>
  <c r="T13" i="49" s="1"/>
  <c r="X13" i="49" s="1"/>
  <c r="K13" i="49"/>
  <c r="O13" i="49" s="1"/>
  <c r="G36" i="49"/>
  <c r="B140" i="33"/>
  <c r="B126" i="33"/>
  <c r="R61" i="47"/>
  <c r="N84" i="47"/>
  <c r="E126" i="31"/>
  <c r="E140" i="31"/>
  <c r="C138" i="36"/>
  <c r="G87" i="36"/>
  <c r="E140" i="30"/>
  <c r="I89" i="30"/>
  <c r="E126" i="33"/>
  <c r="E30" i="47"/>
  <c r="J9" i="51" s="1"/>
  <c r="K11" i="50"/>
  <c r="AJ23" i="54"/>
  <c r="AJ17" i="54"/>
  <c r="AJ29" i="54"/>
  <c r="AJ27" i="54"/>
  <c r="AJ19" i="54"/>
  <c r="AK19" i="54" s="1"/>
  <c r="F52" i="55"/>
  <c r="G52" i="55" s="1"/>
  <c r="F42" i="55"/>
  <c r="G42" i="55" s="1"/>
  <c r="F48" i="55"/>
  <c r="G48" i="55" s="1"/>
  <c r="F44" i="55"/>
  <c r="G44" i="55" s="1"/>
  <c r="F46" i="55"/>
  <c r="G46" i="55" s="1"/>
  <c r="F40" i="55"/>
  <c r="G40" i="55" s="1"/>
  <c r="F50" i="55"/>
  <c r="G50" i="55" s="1"/>
  <c r="G19" i="55"/>
  <c r="AU114" i="46"/>
  <c r="K30" i="53"/>
  <c r="K46" i="55"/>
  <c r="I17" i="55"/>
  <c r="K17" i="55" s="1"/>
  <c r="U30" i="55"/>
  <c r="W30" i="55" s="1"/>
  <c r="I19" i="55"/>
  <c r="K19" i="55" s="1"/>
  <c r="S17" i="55"/>
  <c r="I25" i="55"/>
  <c r="K25" i="55" s="1"/>
  <c r="I21" i="55"/>
  <c r="K21" i="55" s="1"/>
  <c r="I23" i="55"/>
  <c r="W19" i="53"/>
  <c r="AT18" i="46"/>
  <c r="AH18" i="49"/>
  <c r="S42" i="55"/>
  <c r="AL16" i="47"/>
  <c r="K20" i="53"/>
  <c r="I48" i="50"/>
  <c r="K24" i="53"/>
  <c r="K18" i="53"/>
  <c r="O25" i="55"/>
  <c r="G73" i="46"/>
  <c r="I73" i="46" s="1"/>
  <c r="G65" i="46"/>
  <c r="I65" i="46" s="1"/>
  <c r="G69" i="46"/>
  <c r="I69" i="46" s="1"/>
  <c r="Q147" i="49"/>
  <c r="G63" i="46"/>
  <c r="I63" i="46" s="1"/>
  <c r="I76" i="46"/>
  <c r="S23" i="55"/>
  <c r="S52" i="55"/>
  <c r="AD128" i="49"/>
  <c r="I144" i="49"/>
  <c r="C140" i="41"/>
  <c r="AK16" i="46"/>
  <c r="G51" i="47"/>
  <c r="AD150" i="49"/>
  <c r="Q146" i="49"/>
  <c r="AD148" i="49"/>
  <c r="AR21" i="54"/>
  <c r="AL23" i="54"/>
  <c r="B140" i="41"/>
  <c r="AD133" i="49"/>
  <c r="E140" i="41"/>
  <c r="G113" i="51"/>
  <c r="AI39" i="46"/>
  <c r="AP39" i="46"/>
  <c r="AB62" i="49"/>
  <c r="AN62" i="46"/>
  <c r="AD64" i="47"/>
  <c r="AA64" i="47" s="1"/>
  <c r="B334" i="51"/>
  <c r="K64" i="47"/>
  <c r="I148" i="49"/>
  <c r="P21" i="56"/>
  <c r="G47" i="47"/>
  <c r="O29" i="47"/>
  <c r="F59" i="50"/>
  <c r="G91" i="47"/>
  <c r="E115" i="47"/>
  <c r="B295" i="51"/>
  <c r="AL87" i="46"/>
  <c r="F61" i="50"/>
  <c r="B140" i="35"/>
  <c r="D138" i="35"/>
  <c r="D140" i="35"/>
  <c r="V44" i="55"/>
  <c r="B76" i="51"/>
  <c r="W16" i="47"/>
  <c r="AJ16" i="47" s="1"/>
  <c r="U18" i="55"/>
  <c r="S50" i="55"/>
  <c r="C140" i="35"/>
  <c r="AU86" i="46"/>
  <c r="F323" i="51"/>
  <c r="AI73" i="49"/>
  <c r="AU108" i="46"/>
  <c r="AU111" i="46"/>
  <c r="AU73" i="46"/>
  <c r="U23" i="56"/>
  <c r="AU90" i="46"/>
  <c r="W74" i="47"/>
  <c r="G315" i="51"/>
  <c r="G49" i="47"/>
  <c r="B122" i="51"/>
  <c r="AH70" i="49"/>
  <c r="AU71" i="46"/>
  <c r="C201" i="51"/>
  <c r="AI111" i="49"/>
  <c r="AU63" i="46"/>
  <c r="AU40" i="46"/>
  <c r="I150" i="49"/>
  <c r="B120" i="51"/>
  <c r="O17" i="55"/>
  <c r="G45" i="47"/>
  <c r="S44" i="55"/>
  <c r="E150" i="49"/>
  <c r="AB50" i="49"/>
  <c r="G21" i="46"/>
  <c r="I21" i="46" s="1"/>
  <c r="S29" i="55"/>
  <c r="AP21" i="54"/>
  <c r="G17" i="46"/>
  <c r="I17" i="46" s="1"/>
  <c r="I29" i="46"/>
  <c r="V46" i="55"/>
  <c r="S24" i="53"/>
  <c r="AN19" i="54"/>
  <c r="U21" i="56"/>
  <c r="O19" i="55"/>
  <c r="I30" i="49"/>
  <c r="AC25" i="54"/>
  <c r="I69" i="50"/>
  <c r="P17" i="56"/>
  <c r="AD21" i="49"/>
  <c r="AU112" i="46"/>
  <c r="AU52" i="46"/>
  <c r="AU48" i="46"/>
  <c r="F262" i="51"/>
  <c r="AI86" i="49"/>
  <c r="AU98" i="46"/>
  <c r="AU44" i="46"/>
  <c r="F170" i="51"/>
  <c r="AI48" i="49"/>
  <c r="B169" i="51"/>
  <c r="F319" i="51"/>
  <c r="AI67" i="49"/>
  <c r="AU67" i="46"/>
  <c r="AI40" i="49"/>
  <c r="F166" i="51"/>
  <c r="B166" i="51"/>
  <c r="AI112" i="49"/>
  <c r="D201" i="51"/>
  <c r="AI110" i="49"/>
  <c r="F201" i="51"/>
  <c r="AI63" i="49"/>
  <c r="F320" i="51"/>
  <c r="F324" i="51"/>
  <c r="AI71" i="49"/>
  <c r="AU75" i="46"/>
  <c r="F264" i="51"/>
  <c r="AI90" i="49"/>
  <c r="AU110" i="46"/>
  <c r="AI94" i="49"/>
  <c r="F266" i="51"/>
  <c r="F168" i="51"/>
  <c r="B168" i="51"/>
  <c r="AI44" i="49"/>
  <c r="AU94" i="46"/>
  <c r="P19" i="56"/>
  <c r="P23" i="56"/>
  <c r="B140" i="23"/>
  <c r="P29" i="56"/>
  <c r="G59" i="50"/>
  <c r="M19" i="46"/>
  <c r="G27" i="46"/>
  <c r="I27" i="46" s="1"/>
  <c r="I30" i="46"/>
  <c r="H19" i="49"/>
  <c r="F237" i="51" s="1"/>
  <c r="U25" i="56"/>
  <c r="AA146" i="49"/>
  <c r="G25" i="46"/>
  <c r="I25" i="46" s="1"/>
  <c r="AI30" i="46"/>
  <c r="AI27" i="46" s="1"/>
  <c r="G19" i="46"/>
  <c r="I19" i="46" s="1"/>
  <c r="G23" i="46"/>
  <c r="I23" i="46" s="1"/>
  <c r="T5" i="52"/>
  <c r="H25" i="49"/>
  <c r="F239" i="51" s="1"/>
  <c r="F242" i="51"/>
  <c r="J231" i="51"/>
  <c r="O25" i="47"/>
  <c r="AQ27" i="46"/>
  <c r="B119" i="51"/>
  <c r="H23" i="49"/>
  <c r="F240" i="51" s="1"/>
  <c r="X30" i="49"/>
  <c r="Y30" i="49" s="1"/>
  <c r="P25" i="56"/>
  <c r="E29" i="49"/>
  <c r="H17" i="49"/>
  <c r="F236" i="51" s="1"/>
  <c r="H29" i="49"/>
  <c r="I29" i="49" s="1"/>
  <c r="H21" i="49"/>
  <c r="F238" i="51" s="1"/>
  <c r="U17" i="49"/>
  <c r="AF69" i="49"/>
  <c r="P27" i="56"/>
  <c r="U75" i="49"/>
  <c r="B34" i="50"/>
  <c r="O21" i="47"/>
  <c r="G11" i="50"/>
  <c r="Z148" i="49"/>
  <c r="AB44" i="49"/>
  <c r="G162" i="51"/>
  <c r="W50" i="47"/>
  <c r="P9" i="57"/>
  <c r="O9" i="57"/>
  <c r="E110" i="47"/>
  <c r="G97" i="47"/>
  <c r="G295" i="51"/>
  <c r="AL95" i="46"/>
  <c r="Z95" i="49"/>
  <c r="AB148" i="49"/>
  <c r="M148" i="49"/>
  <c r="G9" i="51"/>
  <c r="U26" i="47"/>
  <c r="AI26" i="49" s="1"/>
  <c r="E26" i="55"/>
  <c r="E27" i="55" s="1"/>
  <c r="Z26" i="49"/>
  <c r="AA148" i="49"/>
  <c r="E148" i="49"/>
  <c r="AP25" i="46"/>
  <c r="E23" i="49"/>
  <c r="AB129" i="49"/>
  <c r="M129" i="49"/>
  <c r="G26" i="55"/>
  <c r="F27" i="55"/>
  <c r="K69" i="47"/>
  <c r="F11" i="50"/>
  <c r="F20" i="50" s="1"/>
  <c r="AQ29" i="46"/>
  <c r="AK49" i="46"/>
  <c r="AT49" i="46"/>
  <c r="AA95" i="46"/>
  <c r="M97" i="47"/>
  <c r="O95" i="49"/>
  <c r="K110" i="47"/>
  <c r="B196" i="51"/>
  <c r="AQ21" i="46"/>
  <c r="E129" i="49"/>
  <c r="Z129" i="49"/>
  <c r="G26" i="47"/>
  <c r="AH148" i="49"/>
  <c r="Y148" i="49"/>
  <c r="B75" i="50"/>
  <c r="M101" i="47" s="1"/>
  <c r="AH49" i="49"/>
  <c r="AL26" i="46"/>
  <c r="AH129" i="49"/>
  <c r="Y129" i="49"/>
  <c r="B138" i="37"/>
  <c r="S53" i="47"/>
  <c r="O27" i="47"/>
  <c r="U17" i="56"/>
  <c r="U27" i="56"/>
  <c r="U19" i="56"/>
  <c r="Z30" i="56"/>
  <c r="Z29" i="56" s="1"/>
  <c r="U29" i="56"/>
  <c r="AD25" i="49"/>
  <c r="G115" i="50"/>
  <c r="AF42" i="49"/>
  <c r="AQ25" i="46"/>
  <c r="W53" i="49"/>
  <c r="C133" i="49" s="1"/>
  <c r="E133" i="49" s="1"/>
  <c r="O42" i="49"/>
  <c r="Q42" i="49" s="1"/>
  <c r="AR44" i="46"/>
  <c r="O48" i="49"/>
  <c r="Q48" i="49" s="1"/>
  <c r="F78" i="50"/>
  <c r="AR48" i="46"/>
  <c r="S43" i="47"/>
  <c r="E25" i="49"/>
  <c r="G109" i="51"/>
  <c r="F48" i="50"/>
  <c r="G48" i="50"/>
  <c r="O40" i="49"/>
  <c r="Q40" i="49" s="1"/>
  <c r="O44" i="49"/>
  <c r="G78" i="50"/>
  <c r="O46" i="49"/>
  <c r="Q46" i="49" s="1"/>
  <c r="O52" i="49"/>
  <c r="Q52" i="49" s="1"/>
  <c r="AF40" i="49"/>
  <c r="AR40" i="46"/>
  <c r="F30" i="47"/>
  <c r="AB46" i="49"/>
  <c r="AF44" i="49"/>
  <c r="AF48" i="49"/>
  <c r="C33" i="50"/>
  <c r="C20" i="50"/>
  <c r="G20" i="50" s="1"/>
  <c r="S94" i="46"/>
  <c r="U94" i="46" s="1"/>
  <c r="AC21" i="46"/>
  <c r="AP27" i="46"/>
  <c r="U40" i="47"/>
  <c r="B162" i="51" s="1"/>
  <c r="AP29" i="46"/>
  <c r="AG40" i="47"/>
  <c r="AA53" i="46"/>
  <c r="AI53" i="46" s="1"/>
  <c r="AF71" i="49"/>
  <c r="AD39" i="49"/>
  <c r="O40" i="47"/>
  <c r="AD126" i="49"/>
  <c r="AD132" i="49"/>
  <c r="G17" i="55"/>
  <c r="AR23" i="46"/>
  <c r="Q131" i="49"/>
  <c r="Y99" i="46"/>
  <c r="AR19" i="46"/>
  <c r="W115" i="46"/>
  <c r="Y115" i="46" s="1"/>
  <c r="S17" i="47"/>
  <c r="K90" i="49"/>
  <c r="M90" i="49" s="1"/>
  <c r="W86" i="46"/>
  <c r="Y86" i="46" s="1"/>
  <c r="S21" i="47"/>
  <c r="C98" i="49"/>
  <c r="E98" i="49" s="1"/>
  <c r="AD125" i="49"/>
  <c r="U67" i="49"/>
  <c r="U25" i="49"/>
  <c r="AR21" i="46"/>
  <c r="AR17" i="46"/>
  <c r="K73" i="47"/>
  <c r="Z87" i="47"/>
  <c r="AA87" i="47" s="1"/>
  <c r="G87" i="47"/>
  <c r="E114" i="47"/>
  <c r="C295" i="51"/>
  <c r="AF17" i="49"/>
  <c r="AR29" i="46"/>
  <c r="O19" i="47"/>
  <c r="M21" i="46"/>
  <c r="AC27" i="46"/>
  <c r="S23" i="47"/>
  <c r="E19" i="49"/>
  <c r="E27" i="49"/>
  <c r="AB48" i="49"/>
  <c r="AR25" i="46"/>
  <c r="J23" i="55"/>
  <c r="K22" i="55"/>
  <c r="AF52" i="49"/>
  <c r="AQ17" i="46"/>
  <c r="K67" i="47"/>
  <c r="C140" i="29"/>
  <c r="AD17" i="49"/>
  <c r="AP17" i="46"/>
  <c r="E75" i="51"/>
  <c r="V22" i="55"/>
  <c r="AU22" i="46"/>
  <c r="AI22" i="49"/>
  <c r="C88" i="49"/>
  <c r="E88" i="49" s="1"/>
  <c r="AS29" i="54"/>
  <c r="AG69" i="46"/>
  <c r="S48" i="55"/>
  <c r="O29" i="55"/>
  <c r="C96" i="49"/>
  <c r="E96" i="49" s="1"/>
  <c r="AS21" i="54"/>
  <c r="E140" i="28"/>
  <c r="AD19" i="49"/>
  <c r="AG21" i="49"/>
  <c r="C86" i="49"/>
  <c r="E86" i="49" s="1"/>
  <c r="M23" i="46"/>
  <c r="H69" i="50"/>
  <c r="S29" i="47"/>
  <c r="S115" i="49"/>
  <c r="U115" i="49" s="1"/>
  <c r="C90" i="49"/>
  <c r="E90" i="49" s="1"/>
  <c r="C92" i="49"/>
  <c r="E92" i="49" s="1"/>
  <c r="AR46" i="46"/>
  <c r="AF23" i="49"/>
  <c r="C115" i="49"/>
  <c r="E115" i="49" s="1"/>
  <c r="S25" i="47"/>
  <c r="AF46" i="49"/>
  <c r="AF25" i="49"/>
  <c r="O17" i="47"/>
  <c r="M114" i="47"/>
  <c r="O114" i="47" s="1"/>
  <c r="AG87" i="47"/>
  <c r="O87" i="47"/>
  <c r="U87" i="47"/>
  <c r="AH85" i="49" s="1"/>
  <c r="AH144" i="49"/>
  <c r="Y144" i="49"/>
  <c r="AC85" i="46"/>
  <c r="AA108" i="46"/>
  <c r="AC108" i="46" s="1"/>
  <c r="AP85" i="46"/>
  <c r="AI85" i="46"/>
  <c r="Z144" i="49"/>
  <c r="E144" i="49"/>
  <c r="U64" i="47"/>
  <c r="O64" i="47"/>
  <c r="AG64" i="47"/>
  <c r="K114" i="47"/>
  <c r="E196" i="51"/>
  <c r="AB144" i="49"/>
  <c r="M144" i="49"/>
  <c r="AN27" i="54"/>
  <c r="AI62" i="46"/>
  <c r="AP62" i="46"/>
  <c r="AC62" i="46"/>
  <c r="AI25" i="54"/>
  <c r="AK25" i="54" s="1"/>
  <c r="C125" i="49"/>
  <c r="G125" i="49"/>
  <c r="I125" i="49" s="1"/>
  <c r="W125" i="49"/>
  <c r="K125" i="49"/>
  <c r="W62" i="49"/>
  <c r="W108" i="49" s="1"/>
  <c r="AD62" i="49"/>
  <c r="O108" i="49"/>
  <c r="Q108" i="49" s="1"/>
  <c r="AD85" i="49"/>
  <c r="Y27" i="54"/>
  <c r="S22" i="53"/>
  <c r="AG19" i="54"/>
  <c r="W132" i="49"/>
  <c r="AH43" i="49"/>
  <c r="G132" i="49"/>
  <c r="I132" i="49" s="1"/>
  <c r="K132" i="49"/>
  <c r="C132" i="49"/>
  <c r="U20" i="55"/>
  <c r="AH20" i="49"/>
  <c r="AL20" i="47"/>
  <c r="D76" i="51"/>
  <c r="W20" i="47"/>
  <c r="AT43" i="46"/>
  <c r="AK43" i="46"/>
  <c r="AI66" i="46"/>
  <c r="AP66" i="46"/>
  <c r="AD23" i="49"/>
  <c r="G89" i="47"/>
  <c r="E116" i="47"/>
  <c r="D295" i="51"/>
  <c r="Z91" i="47"/>
  <c r="AA91" i="47" s="1"/>
  <c r="Z89" i="47"/>
  <c r="AA89" i="47" s="1"/>
  <c r="AL89" i="46"/>
  <c r="O11" i="57"/>
  <c r="AL44" i="47"/>
  <c r="D162" i="51"/>
  <c r="W44" i="47"/>
  <c r="P11" i="57"/>
  <c r="O89" i="49"/>
  <c r="AA89" i="46"/>
  <c r="M89" i="47"/>
  <c r="AG91" i="47" s="1"/>
  <c r="B126" i="40"/>
  <c r="AQ23" i="46"/>
  <c r="AE23" i="49"/>
  <c r="K116" i="47"/>
  <c r="F196" i="51"/>
  <c r="AQ19" i="46"/>
  <c r="AP23" i="54"/>
  <c r="AG29" i="54"/>
  <c r="Z89" i="49"/>
  <c r="AD66" i="49"/>
  <c r="W66" i="49"/>
  <c r="AR75" i="46"/>
  <c r="AR19" i="54"/>
  <c r="AP23" i="46"/>
  <c r="O23" i="47"/>
  <c r="AG68" i="47"/>
  <c r="U68" i="47"/>
  <c r="V17" i="55"/>
  <c r="I50" i="55"/>
  <c r="K50" i="55" s="1"/>
  <c r="AN99" i="46"/>
  <c r="AN17" i="54"/>
  <c r="V21" i="55"/>
  <c r="S92" i="46"/>
  <c r="U92" i="46" s="1"/>
  <c r="V52" i="55"/>
  <c r="W21" i="49"/>
  <c r="V40" i="55"/>
  <c r="I42" i="55"/>
  <c r="K42" i="55" s="1"/>
  <c r="V19" i="55"/>
  <c r="S115" i="46"/>
  <c r="U115" i="46" s="1"/>
  <c r="M17" i="46"/>
  <c r="E21" i="46"/>
  <c r="C140" i="38"/>
  <c r="S86" i="46"/>
  <c r="U86" i="46" s="1"/>
  <c r="V29" i="55"/>
  <c r="S96" i="46"/>
  <c r="U96" i="46" s="1"/>
  <c r="I48" i="55"/>
  <c r="K48" i="55" s="1"/>
  <c r="I40" i="55"/>
  <c r="K40" i="55" s="1"/>
  <c r="I52" i="55"/>
  <c r="K52" i="55" s="1"/>
  <c r="U53" i="55"/>
  <c r="W53" i="55" s="1"/>
  <c r="S88" i="46"/>
  <c r="U88" i="46" s="1"/>
  <c r="AG27" i="54"/>
  <c r="I44" i="55"/>
  <c r="K44" i="55" s="1"/>
  <c r="U99" i="46"/>
  <c r="V25" i="55"/>
  <c r="S90" i="46"/>
  <c r="U90" i="46" s="1"/>
  <c r="K53" i="55"/>
  <c r="D126" i="38"/>
  <c r="Q90" i="47"/>
  <c r="AD27" i="49"/>
  <c r="AR29" i="54"/>
  <c r="S26" i="53"/>
  <c r="E140" i="37"/>
  <c r="M19" i="54"/>
  <c r="V42" i="55"/>
  <c r="G222" i="51"/>
  <c r="V50" i="55"/>
  <c r="C140" i="37"/>
  <c r="K152" i="49"/>
  <c r="AB152" i="49" s="1"/>
  <c r="AN29" i="54"/>
  <c r="E29" i="46"/>
  <c r="H103" i="50"/>
  <c r="E17" i="49"/>
  <c r="B140" i="37"/>
  <c r="D140" i="37"/>
  <c r="W64" i="49"/>
  <c r="AD64" i="49"/>
  <c r="AK87" i="46"/>
  <c r="AG63" i="46"/>
  <c r="O70" i="47"/>
  <c r="U70" i="47"/>
  <c r="AG66" i="47"/>
  <c r="O109" i="49"/>
  <c r="Q109" i="49" s="1"/>
  <c r="AD87" i="49"/>
  <c r="AR73" i="46"/>
  <c r="W126" i="49"/>
  <c r="AH41" i="49"/>
  <c r="C126" i="49"/>
  <c r="K126" i="49"/>
  <c r="G126" i="49"/>
  <c r="I126" i="49" s="1"/>
  <c r="G152" i="49"/>
  <c r="E21" i="49"/>
  <c r="AG23" i="54"/>
  <c r="S28" i="53"/>
  <c r="M145" i="49"/>
  <c r="AB145" i="49"/>
  <c r="E140" i="35"/>
  <c r="W152" i="49"/>
  <c r="AH152" i="49" s="1"/>
  <c r="AA109" i="46"/>
  <c r="AC109" i="46" s="1"/>
  <c r="AP87" i="46"/>
  <c r="AC87" i="46"/>
  <c r="W87" i="49"/>
  <c r="AT41" i="46"/>
  <c r="AK41" i="46"/>
  <c r="Z145" i="49"/>
  <c r="E145" i="49"/>
  <c r="U29" i="49"/>
  <c r="AN17" i="46"/>
  <c r="W42" i="47"/>
  <c r="C162" i="51"/>
  <c r="AL42" i="47"/>
  <c r="O6" i="57"/>
  <c r="P10" i="57"/>
  <c r="O91" i="47"/>
  <c r="M115" i="47"/>
  <c r="O115" i="47" s="1"/>
  <c r="U91" i="47"/>
  <c r="AT87" i="46" s="1"/>
  <c r="AP64" i="46"/>
  <c r="AI64" i="46"/>
  <c r="AC64" i="46"/>
  <c r="C7" i="57"/>
  <c r="AH145" i="49"/>
  <c r="Y145" i="49"/>
  <c r="S96" i="49"/>
  <c r="U96" i="49" s="1"/>
  <c r="Q100" i="47"/>
  <c r="S100" i="47" s="1"/>
  <c r="K94" i="49"/>
  <c r="S92" i="49"/>
  <c r="AF92" i="49" s="1"/>
  <c r="K98" i="49"/>
  <c r="S94" i="49"/>
  <c r="U94" i="49" s="1"/>
  <c r="Q117" i="47"/>
  <c r="S117" i="47" s="1"/>
  <c r="AC17" i="54"/>
  <c r="AD93" i="49"/>
  <c r="O112" i="49"/>
  <c r="Q112" i="49" s="1"/>
  <c r="K88" i="49"/>
  <c r="K115" i="49"/>
  <c r="M115" i="49" s="1"/>
  <c r="AN23" i="54"/>
  <c r="S88" i="49"/>
  <c r="U88" i="49" s="1"/>
  <c r="Q92" i="47"/>
  <c r="S92" i="47" s="1"/>
  <c r="F76" i="51"/>
  <c r="U24" i="55"/>
  <c r="W24" i="47"/>
  <c r="AH24" i="49"/>
  <c r="AF99" i="49"/>
  <c r="Q98" i="47"/>
  <c r="S98" i="47" s="1"/>
  <c r="AT47" i="46"/>
  <c r="AK47" i="46"/>
  <c r="M113" i="47"/>
  <c r="O113" i="47" s="1"/>
  <c r="O95" i="47"/>
  <c r="B140" i="32"/>
  <c r="F7" i="57"/>
  <c r="K92" i="49"/>
  <c r="M92" i="49" s="1"/>
  <c r="K96" i="49"/>
  <c r="S86" i="49"/>
  <c r="S90" i="49"/>
  <c r="U90" i="49" s="1"/>
  <c r="AR99" i="46"/>
  <c r="S101" i="47"/>
  <c r="W48" i="47"/>
  <c r="P7" i="57"/>
  <c r="O8" i="57"/>
  <c r="F162" i="51"/>
  <c r="AC93" i="46"/>
  <c r="AP93" i="46"/>
  <c r="AA112" i="46"/>
  <c r="AC112" i="46" s="1"/>
  <c r="W112" i="49"/>
  <c r="AH93" i="49"/>
  <c r="U113" i="47"/>
  <c r="W95" i="47"/>
  <c r="F258" i="51"/>
  <c r="AI93" i="46"/>
  <c r="Q96" i="47"/>
  <c r="S96" i="47" s="1"/>
  <c r="AN25" i="46"/>
  <c r="G127" i="49"/>
  <c r="I127" i="49" s="1"/>
  <c r="AH47" i="49"/>
  <c r="W127" i="49"/>
  <c r="C127" i="49"/>
  <c r="K127" i="49"/>
  <c r="K86" i="49"/>
  <c r="M86" i="49" s="1"/>
  <c r="Q88" i="47"/>
  <c r="S88" i="47" s="1"/>
  <c r="E140" i="32"/>
  <c r="AT24" i="46"/>
  <c r="Y146" i="49"/>
  <c r="U19" i="49"/>
  <c r="W25" i="49"/>
  <c r="D140" i="32"/>
  <c r="C140" i="32"/>
  <c r="AN25" i="54"/>
  <c r="B126" i="31"/>
  <c r="AI27" i="54"/>
  <c r="AJ29" i="46"/>
  <c r="AC27" i="54"/>
  <c r="AP27" i="54"/>
  <c r="AI23" i="54"/>
  <c r="E25" i="46"/>
  <c r="AI29" i="54"/>
  <c r="AT29" i="54" s="1"/>
  <c r="AS19" i="54"/>
  <c r="S40" i="55"/>
  <c r="S18" i="53"/>
  <c r="AP19" i="54"/>
  <c r="AC19" i="54"/>
  <c r="AC23" i="54"/>
  <c r="AC29" i="54"/>
  <c r="AI17" i="54"/>
  <c r="H32" i="50"/>
  <c r="S20" i="53"/>
  <c r="AP25" i="54"/>
  <c r="AP17" i="54"/>
  <c r="AR27" i="54"/>
  <c r="AI21" i="54"/>
  <c r="AK30" i="54"/>
  <c r="AG17" i="54"/>
  <c r="AC21" i="54"/>
  <c r="AQ21" i="54"/>
  <c r="AR23" i="54"/>
  <c r="AS25" i="54"/>
  <c r="AK45" i="46"/>
  <c r="AT45" i="46"/>
  <c r="F218" i="51"/>
  <c r="AT91" i="46"/>
  <c r="AI111" i="46"/>
  <c r="AK91" i="46"/>
  <c r="AH147" i="49"/>
  <c r="K128" i="49"/>
  <c r="G128" i="49"/>
  <c r="I128" i="49" s="1"/>
  <c r="W128" i="49"/>
  <c r="C128" i="49"/>
  <c r="AH45" i="49"/>
  <c r="E258" i="51"/>
  <c r="W93" i="47"/>
  <c r="U111" i="47"/>
  <c r="C196" i="51"/>
  <c r="K111" i="47"/>
  <c r="AS27" i="54"/>
  <c r="B190" i="51"/>
  <c r="G111" i="47"/>
  <c r="U27" i="49"/>
  <c r="M25" i="46"/>
  <c r="AK68" i="46"/>
  <c r="AT68" i="46"/>
  <c r="AL29" i="54"/>
  <c r="E147" i="49"/>
  <c r="Z147" i="49"/>
  <c r="E65" i="47"/>
  <c r="E73" i="47"/>
  <c r="E69" i="47"/>
  <c r="E75" i="47"/>
  <c r="G362" i="51"/>
  <c r="G78" i="47"/>
  <c r="J352" i="51"/>
  <c r="AL76" i="46"/>
  <c r="E77" i="47"/>
  <c r="E67" i="47"/>
  <c r="E71" i="47"/>
  <c r="Z65" i="49" s="1"/>
  <c r="I117" i="50"/>
  <c r="E17" i="46"/>
  <c r="G55" i="51"/>
  <c r="B54" i="51"/>
  <c r="AG21" i="54"/>
  <c r="S30" i="53"/>
  <c r="I27" i="49"/>
  <c r="W23" i="49"/>
  <c r="E19" i="46"/>
  <c r="G238" i="51"/>
  <c r="AN19" i="46"/>
  <c r="W27" i="49"/>
  <c r="B53" i="51"/>
  <c r="G53" i="51"/>
  <c r="E23" i="46"/>
  <c r="G54" i="51"/>
  <c r="B56" i="51"/>
  <c r="AG71" i="46"/>
  <c r="AR71" i="46"/>
  <c r="Z76" i="49"/>
  <c r="B52" i="51"/>
  <c r="G52" i="51"/>
  <c r="AD29" i="49"/>
  <c r="Q29" i="49"/>
  <c r="AT30" i="54"/>
  <c r="AG65" i="46"/>
  <c r="AR65" i="46"/>
  <c r="AF63" i="49"/>
  <c r="U63" i="49"/>
  <c r="AN21" i="46"/>
  <c r="C152" i="49"/>
  <c r="B126" i="27"/>
  <c r="U73" i="49"/>
  <c r="AF73" i="49"/>
  <c r="AS23" i="54"/>
  <c r="H89" i="24"/>
  <c r="I89" i="24"/>
  <c r="AN23" i="46"/>
  <c r="AL25" i="54"/>
  <c r="AL17" i="54"/>
  <c r="AN21" i="54"/>
  <c r="W17" i="49"/>
  <c r="W19" i="49"/>
  <c r="I87" i="50"/>
  <c r="G239" i="51"/>
  <c r="AJ17" i="46"/>
  <c r="AJ25" i="46"/>
  <c r="AG21" i="46"/>
  <c r="AS19" i="46"/>
  <c r="AG19" i="46"/>
  <c r="B120" i="50"/>
  <c r="F69" i="50"/>
  <c r="E101" i="47"/>
  <c r="Z99" i="49" s="1"/>
  <c r="G69" i="50"/>
  <c r="C140" i="24"/>
  <c r="AJ27" i="46"/>
  <c r="B126" i="24"/>
  <c r="AJ21" i="46"/>
  <c r="AS25" i="46"/>
  <c r="AG25" i="46"/>
  <c r="AB52" i="49"/>
  <c r="B33" i="50"/>
  <c r="AJ23" i="46"/>
  <c r="AS27" i="46"/>
  <c r="AG27" i="46"/>
  <c r="AS17" i="46"/>
  <c r="AG17" i="46"/>
  <c r="AO30" i="46"/>
  <c r="AS29" i="46"/>
  <c r="AG29" i="46"/>
  <c r="I65" i="49"/>
  <c r="B66" i="51"/>
  <c r="J27" i="47"/>
  <c r="AC27" i="49" s="1"/>
  <c r="J19" i="47"/>
  <c r="AO17" i="46" s="1"/>
  <c r="J21" i="47"/>
  <c r="J23" i="47"/>
  <c r="AO23" i="46" s="1"/>
  <c r="J29" i="47"/>
  <c r="AO29" i="46" s="1"/>
  <c r="K30" i="47"/>
  <c r="J17" i="47"/>
  <c r="AO19" i="46" s="1"/>
  <c r="C26" i="52"/>
  <c r="J46" i="51"/>
  <c r="J25" i="47"/>
  <c r="AC25" i="49" s="1"/>
  <c r="F57" i="51"/>
  <c r="AN29" i="46"/>
  <c r="I33" i="50"/>
  <c r="AS23" i="46"/>
  <c r="AG23" i="46"/>
  <c r="E50" i="49"/>
  <c r="Z50" i="49"/>
  <c r="E42" i="46"/>
  <c r="AL42" i="46"/>
  <c r="E40" i="49"/>
  <c r="Z40" i="49"/>
  <c r="M52" i="46"/>
  <c r="AN52" i="46"/>
  <c r="Y69" i="46"/>
  <c r="AN69" i="46"/>
  <c r="K28" i="55"/>
  <c r="I29" i="55"/>
  <c r="K29" i="55" s="1"/>
  <c r="E126" i="50"/>
  <c r="W99" i="47"/>
  <c r="U112" i="47"/>
  <c r="W112" i="47" s="1"/>
  <c r="Q27" i="46"/>
  <c r="AN27" i="46"/>
  <c r="Y75" i="46"/>
  <c r="AN75" i="46"/>
  <c r="AK51" i="46"/>
  <c r="AT51" i="46"/>
  <c r="AB71" i="49"/>
  <c r="M71" i="49"/>
  <c r="I98" i="46"/>
  <c r="U20" i="53"/>
  <c r="U24" i="53"/>
  <c r="U26" i="53"/>
  <c r="U22" i="53"/>
  <c r="U18" i="53"/>
  <c r="U28" i="53"/>
  <c r="AL19" i="54"/>
  <c r="C131" i="49"/>
  <c r="AH51" i="49"/>
  <c r="G131" i="49"/>
  <c r="I131" i="49" s="1"/>
  <c r="K131" i="49"/>
  <c r="W131" i="49"/>
  <c r="AI97" i="46"/>
  <c r="AP97" i="46"/>
  <c r="AA114" i="46"/>
  <c r="AC114" i="46" s="1"/>
  <c r="M48" i="46"/>
  <c r="AN48" i="46"/>
  <c r="M98" i="46"/>
  <c r="E89" i="50"/>
  <c r="E140" i="50" s="1"/>
  <c r="Z42" i="49"/>
  <c r="E42" i="49"/>
  <c r="Y63" i="46"/>
  <c r="M25" i="49"/>
  <c r="AB25" i="49"/>
  <c r="F32" i="50"/>
  <c r="G32" i="50"/>
  <c r="M69" i="49"/>
  <c r="AB69" i="49"/>
  <c r="O76" i="49"/>
  <c r="O75" i="49" s="1"/>
  <c r="F103" i="50"/>
  <c r="AA76" i="46"/>
  <c r="AA75" i="46" s="1"/>
  <c r="M78" i="47"/>
  <c r="G88" i="49"/>
  <c r="G92" i="49"/>
  <c r="G90" i="49"/>
  <c r="G98" i="49"/>
  <c r="G96" i="49"/>
  <c r="G86" i="49"/>
  <c r="G115" i="49"/>
  <c r="I115" i="49" s="1"/>
  <c r="G94" i="49"/>
  <c r="AB150" i="49"/>
  <c r="M150" i="49"/>
  <c r="E140" i="23"/>
  <c r="E40" i="46"/>
  <c r="AL40" i="46"/>
  <c r="Z48" i="49"/>
  <c r="E48" i="49"/>
  <c r="E46" i="49"/>
  <c r="Z46" i="49"/>
  <c r="M42" i="46"/>
  <c r="AN42" i="46"/>
  <c r="H61" i="50"/>
  <c r="U98" i="49"/>
  <c r="M21" i="49"/>
  <c r="AB21" i="49"/>
  <c r="E138" i="50"/>
  <c r="M67" i="49"/>
  <c r="AB67" i="49"/>
  <c r="AN71" i="46"/>
  <c r="AD74" i="49"/>
  <c r="W74" i="49"/>
  <c r="G88" i="46"/>
  <c r="G115" i="46"/>
  <c r="I115" i="46" s="1"/>
  <c r="G86" i="46"/>
  <c r="G90" i="46"/>
  <c r="G96" i="46"/>
  <c r="I99" i="46"/>
  <c r="G94" i="46"/>
  <c r="G92" i="46"/>
  <c r="B149" i="51"/>
  <c r="K45" i="47"/>
  <c r="K41" i="47"/>
  <c r="G138" i="51"/>
  <c r="B147" i="51"/>
  <c r="F87" i="50"/>
  <c r="B138" i="50"/>
  <c r="H33" i="50"/>
  <c r="I61" i="50"/>
  <c r="O114" i="49"/>
  <c r="Q114" i="49" s="1"/>
  <c r="AD97" i="49"/>
  <c r="W97" i="49"/>
  <c r="E52" i="46"/>
  <c r="AL52" i="46"/>
  <c r="AN46" i="46"/>
  <c r="M46" i="46"/>
  <c r="C126" i="50"/>
  <c r="M73" i="49"/>
  <c r="AB73" i="49"/>
  <c r="G141" i="51"/>
  <c r="B148" i="51"/>
  <c r="K43" i="47"/>
  <c r="E44" i="46"/>
  <c r="AL44" i="46"/>
  <c r="Z52" i="49"/>
  <c r="E52" i="49"/>
  <c r="AL48" i="46"/>
  <c r="E48" i="46"/>
  <c r="M40" i="46"/>
  <c r="AN40" i="46"/>
  <c r="C138" i="50"/>
  <c r="G87" i="50"/>
  <c r="Y73" i="46"/>
  <c r="AN73" i="46"/>
  <c r="AB23" i="49"/>
  <c r="M23" i="49"/>
  <c r="M29" i="49"/>
  <c r="AB29" i="49"/>
  <c r="AB75" i="49"/>
  <c r="M75" i="49"/>
  <c r="AI74" i="46"/>
  <c r="AP74" i="46"/>
  <c r="AB40" i="49"/>
  <c r="AL27" i="54"/>
  <c r="H87" i="50"/>
  <c r="D138" i="50"/>
  <c r="Z150" i="49"/>
  <c r="AN50" i="46"/>
  <c r="M50" i="46"/>
  <c r="Y65" i="46"/>
  <c r="AN65" i="46"/>
  <c r="AB17" i="49"/>
  <c r="M17" i="49"/>
  <c r="AB27" i="49"/>
  <c r="M27" i="49"/>
  <c r="AT28" i="46"/>
  <c r="U28" i="55"/>
  <c r="W28" i="47"/>
  <c r="S94" i="47"/>
  <c r="AR92" i="46"/>
  <c r="M63" i="49"/>
  <c r="Q50" i="49"/>
  <c r="B117" i="50"/>
  <c r="F117" i="50" s="1"/>
  <c r="H117" i="50"/>
  <c r="G140" i="51"/>
  <c r="K47" i="47"/>
  <c r="B150" i="51"/>
  <c r="E46" i="46"/>
  <c r="AL46" i="46"/>
  <c r="E50" i="46"/>
  <c r="AL50" i="46"/>
  <c r="C89" i="50"/>
  <c r="E44" i="49"/>
  <c r="Z44" i="49"/>
  <c r="M44" i="46"/>
  <c r="AN44" i="46"/>
  <c r="Y67" i="46"/>
  <c r="AN67" i="46"/>
  <c r="AB19" i="49"/>
  <c r="M19" i="49"/>
  <c r="M65" i="49"/>
  <c r="AB65" i="49"/>
  <c r="AB42" i="49"/>
  <c r="B151" i="51"/>
  <c r="K51" i="47"/>
  <c r="AL21" i="54"/>
  <c r="Y150" i="49"/>
  <c r="AH150" i="49"/>
  <c r="AU26" i="46" l="1"/>
  <c r="G75" i="51"/>
  <c r="V26" i="55"/>
  <c r="W26" i="55" s="1"/>
  <c r="D126" i="50"/>
  <c r="AB63" i="49"/>
  <c r="AN63" i="46"/>
  <c r="AB94" i="49"/>
  <c r="K65" i="47"/>
  <c r="AB98" i="49"/>
  <c r="Z61" i="47"/>
  <c r="AH91" i="49"/>
  <c r="K92" i="47"/>
  <c r="G28" i="53"/>
  <c r="G283" i="51"/>
  <c r="Z71" i="49"/>
  <c r="G282" i="51"/>
  <c r="K98" i="47"/>
  <c r="AB96" i="49"/>
  <c r="AB88" i="49"/>
  <c r="G196" i="51"/>
  <c r="V30" i="53"/>
  <c r="AU29" i="54" s="1"/>
  <c r="Z67" i="49"/>
  <c r="U17" i="55"/>
  <c r="W17" i="55" s="1"/>
  <c r="V22" i="53"/>
  <c r="AU21" i="54" s="1"/>
  <c r="V28" i="53"/>
  <c r="AU27" i="54" s="1"/>
  <c r="V26" i="53"/>
  <c r="AU25" i="54" s="1"/>
  <c r="V20" i="53"/>
  <c r="AU19" i="54" s="1"/>
  <c r="V18" i="53"/>
  <c r="W18" i="53" s="1"/>
  <c r="W31" i="53"/>
  <c r="V24" i="53"/>
  <c r="AU23" i="54" s="1"/>
  <c r="M147" i="49"/>
  <c r="AA147" i="49"/>
  <c r="G281" i="51"/>
  <c r="Z63" i="49"/>
  <c r="G30" i="53"/>
  <c r="E21" i="47"/>
  <c r="Z21" i="49" s="1"/>
  <c r="G18" i="53"/>
  <c r="Z75" i="49"/>
  <c r="G24" i="53"/>
  <c r="G61" i="50"/>
  <c r="Z69" i="49"/>
  <c r="AK21" i="54"/>
  <c r="U19" i="55"/>
  <c r="W19" i="55" s="1"/>
  <c r="G20" i="53"/>
  <c r="E27" i="47"/>
  <c r="Z27" i="49" s="1"/>
  <c r="G22" i="53"/>
  <c r="U25" i="55"/>
  <c r="W25" i="55" s="1"/>
  <c r="U29" i="55"/>
  <c r="W29" i="55" s="1"/>
  <c r="U23" i="55"/>
  <c r="U21" i="55"/>
  <c r="W21" i="55" s="1"/>
  <c r="H75" i="50"/>
  <c r="AK23" i="54"/>
  <c r="K23" i="55"/>
  <c r="AK27" i="54"/>
  <c r="AI13" i="46"/>
  <c r="AE36" i="46"/>
  <c r="AI36" i="46" s="1"/>
  <c r="W13" i="46"/>
  <c r="W36" i="46" s="1"/>
  <c r="S36" i="46"/>
  <c r="E17" i="47"/>
  <c r="G21" i="51" s="1"/>
  <c r="E19" i="47"/>
  <c r="Z17" i="49" s="1"/>
  <c r="E29" i="47"/>
  <c r="Z29" i="49" s="1"/>
  <c r="B27" i="51"/>
  <c r="AL30" i="46"/>
  <c r="E25" i="47"/>
  <c r="B24" i="51" s="1"/>
  <c r="G27" i="51"/>
  <c r="G30" i="47"/>
  <c r="Z30" i="49"/>
  <c r="E23" i="47"/>
  <c r="G25" i="51" s="1"/>
  <c r="U30" i="47"/>
  <c r="AT30" i="46" s="1"/>
  <c r="AK17" i="54"/>
  <c r="V61" i="47"/>
  <c r="R84" i="47"/>
  <c r="V84" i="47" s="1"/>
  <c r="C140" i="30"/>
  <c r="G89" i="30"/>
  <c r="D140" i="34"/>
  <c r="F89" i="36"/>
  <c r="B140" i="36"/>
  <c r="E107" i="47"/>
  <c r="I107" i="47" s="1"/>
  <c r="M107" i="47" s="1"/>
  <c r="Q107" i="47" s="1"/>
  <c r="U107" i="47" s="1"/>
  <c r="I84" i="47"/>
  <c r="M84" i="47" s="1"/>
  <c r="Q84" i="47" s="1"/>
  <c r="U84" i="47" s="1"/>
  <c r="Y147" i="49"/>
  <c r="H89" i="36"/>
  <c r="D140" i="36"/>
  <c r="C140" i="36"/>
  <c r="G89" i="36"/>
  <c r="E140" i="36"/>
  <c r="I89" i="36"/>
  <c r="K36" i="49"/>
  <c r="G59" i="49"/>
  <c r="B140" i="30"/>
  <c r="F89" i="30"/>
  <c r="E140" i="33"/>
  <c r="O36" i="49"/>
  <c r="S36" i="49" s="1"/>
  <c r="W36" i="49" s="1"/>
  <c r="S13" i="49"/>
  <c r="W13" i="49" s="1"/>
  <c r="W40" i="47"/>
  <c r="AJ40" i="47" s="1"/>
  <c r="D89" i="50"/>
  <c r="I89" i="50" s="1"/>
  <c r="Z23" i="56"/>
  <c r="D16" i="57" s="1"/>
  <c r="AL40" i="47"/>
  <c r="P6" i="57"/>
  <c r="O10" i="57"/>
  <c r="AT39" i="46"/>
  <c r="AH39" i="49"/>
  <c r="AK39" i="46"/>
  <c r="AI17" i="46"/>
  <c r="AK17" i="46" s="1"/>
  <c r="I23" i="49"/>
  <c r="J7" i="57"/>
  <c r="W26" i="47"/>
  <c r="X23" i="49"/>
  <c r="Y23" i="49" s="1"/>
  <c r="X21" i="49"/>
  <c r="Y21" i="49" s="1"/>
  <c r="X19" i="49"/>
  <c r="Y19" i="49" s="1"/>
  <c r="X29" i="49"/>
  <c r="Y29" i="49" s="1"/>
  <c r="X27" i="49"/>
  <c r="Y27" i="49" s="1"/>
  <c r="X17" i="49"/>
  <c r="Y17" i="49" s="1"/>
  <c r="D152" i="49"/>
  <c r="E152" i="49" s="1"/>
  <c r="X25" i="49"/>
  <c r="Y25" i="49" s="1"/>
  <c r="L152" i="49"/>
  <c r="AC152" i="49" s="1"/>
  <c r="H152" i="49"/>
  <c r="I152" i="49" s="1"/>
  <c r="X152" i="49"/>
  <c r="AI152" i="49" s="1"/>
  <c r="F190" i="51"/>
  <c r="G115" i="47"/>
  <c r="W40" i="49"/>
  <c r="Y40" i="49" s="1"/>
  <c r="I19" i="49"/>
  <c r="AI29" i="46"/>
  <c r="AH66" i="49"/>
  <c r="Z25" i="56"/>
  <c r="D17" i="57" s="1"/>
  <c r="AK29" i="54"/>
  <c r="Z19" i="56"/>
  <c r="D14" i="57" s="1"/>
  <c r="U52" i="55"/>
  <c r="W52" i="55" s="1"/>
  <c r="Z17" i="56"/>
  <c r="D13" i="57" s="1"/>
  <c r="D19" i="57"/>
  <c r="Z27" i="56"/>
  <c r="D18" i="57" s="1"/>
  <c r="Z21" i="56"/>
  <c r="D15" i="57" s="1"/>
  <c r="AI19" i="46"/>
  <c r="AI25" i="46"/>
  <c r="AB90" i="49"/>
  <c r="AI23" i="46"/>
  <c r="AK23" i="46" s="1"/>
  <c r="B126" i="50"/>
  <c r="AK30" i="46"/>
  <c r="AI21" i="46"/>
  <c r="AK21" i="46" s="1"/>
  <c r="AA99" i="46"/>
  <c r="AA98" i="46" s="1"/>
  <c r="AC98" i="46" s="1"/>
  <c r="F75" i="50"/>
  <c r="G75" i="50"/>
  <c r="I21" i="49"/>
  <c r="AB86" i="49"/>
  <c r="AN96" i="46"/>
  <c r="I17" i="49"/>
  <c r="I25" i="49"/>
  <c r="AN98" i="46"/>
  <c r="O99" i="49"/>
  <c r="O98" i="49" s="1"/>
  <c r="Q98" i="49" s="1"/>
  <c r="V30" i="47"/>
  <c r="D26" i="52"/>
  <c r="AN92" i="46"/>
  <c r="M94" i="49"/>
  <c r="G27" i="55"/>
  <c r="W133" i="49"/>
  <c r="Y133" i="49" s="1"/>
  <c r="W42" i="49"/>
  <c r="Y42" i="49" s="1"/>
  <c r="AP95" i="46"/>
  <c r="AI95" i="46"/>
  <c r="AA113" i="46"/>
  <c r="AC113" i="46" s="1"/>
  <c r="G76" i="51"/>
  <c r="U26" i="55"/>
  <c r="U27" i="55" s="1"/>
  <c r="AT26" i="46"/>
  <c r="AH26" i="49"/>
  <c r="C190" i="51"/>
  <c r="G110" i="47"/>
  <c r="W46" i="49"/>
  <c r="Y46" i="49" s="1"/>
  <c r="W50" i="49"/>
  <c r="Y50" i="49" s="1"/>
  <c r="W52" i="49"/>
  <c r="Y52" i="49" s="1"/>
  <c r="O113" i="49"/>
  <c r="Q113" i="49" s="1"/>
  <c r="AD95" i="49"/>
  <c r="W95" i="49"/>
  <c r="W48" i="49"/>
  <c r="Y48" i="49" s="1"/>
  <c r="AB92" i="49"/>
  <c r="M110" i="47"/>
  <c r="O110" i="47" s="1"/>
  <c r="K133" i="49"/>
  <c r="M133" i="49" s="1"/>
  <c r="G133" i="49"/>
  <c r="I133" i="49" s="1"/>
  <c r="M98" i="49"/>
  <c r="M88" i="49"/>
  <c r="W44" i="49"/>
  <c r="Y44" i="49" s="1"/>
  <c r="AA48" i="46"/>
  <c r="AC48" i="46" s="1"/>
  <c r="M49" i="47"/>
  <c r="O49" i="47" s="1"/>
  <c r="AA46" i="46"/>
  <c r="AC46" i="46" s="1"/>
  <c r="AN86" i="46"/>
  <c r="AG89" i="47"/>
  <c r="AA44" i="46"/>
  <c r="AC44" i="46" s="1"/>
  <c r="AA40" i="46"/>
  <c r="AC40" i="46" s="1"/>
  <c r="AD44" i="49"/>
  <c r="AI44" i="46"/>
  <c r="AK44" i="46" s="1"/>
  <c r="AI52" i="46"/>
  <c r="AK52" i="46" s="1"/>
  <c r="AI46" i="46"/>
  <c r="AK46" i="46" s="1"/>
  <c r="AI40" i="46"/>
  <c r="AK40" i="46" s="1"/>
  <c r="AI42" i="46"/>
  <c r="AK53" i="46"/>
  <c r="AI48" i="46"/>
  <c r="AK48" i="46" s="1"/>
  <c r="AI50" i="46"/>
  <c r="AK50" i="46" s="1"/>
  <c r="O45" i="47"/>
  <c r="M41" i="47"/>
  <c r="O41" i="47" s="1"/>
  <c r="AD53" i="49"/>
  <c r="Q44" i="49"/>
  <c r="M43" i="47"/>
  <c r="M51" i="47"/>
  <c r="U54" i="47"/>
  <c r="O54" i="47"/>
  <c r="M53" i="47"/>
  <c r="M47" i="47"/>
  <c r="B37" i="51"/>
  <c r="F29" i="47"/>
  <c r="F17" i="47"/>
  <c r="F27" i="47"/>
  <c r="F23" i="47"/>
  <c r="F27" i="51"/>
  <c r="J8" i="51"/>
  <c r="F21" i="47"/>
  <c r="F25" i="47"/>
  <c r="F19" i="47"/>
  <c r="AA30" i="49"/>
  <c r="AM30" i="46"/>
  <c r="AA50" i="46"/>
  <c r="AA42" i="46"/>
  <c r="AC53" i="46"/>
  <c r="AA52" i="46"/>
  <c r="AP53" i="46"/>
  <c r="AN88" i="46"/>
  <c r="AN94" i="46"/>
  <c r="AL99" i="46"/>
  <c r="Z152" i="49"/>
  <c r="G114" i="47"/>
  <c r="G190" i="51"/>
  <c r="AH62" i="49"/>
  <c r="G33" i="50"/>
  <c r="W22" i="55"/>
  <c r="V23" i="55"/>
  <c r="AF96" i="49"/>
  <c r="AR96" i="46"/>
  <c r="AF86" i="49"/>
  <c r="AN90" i="46"/>
  <c r="U86" i="49"/>
  <c r="AR88" i="46"/>
  <c r="AF98" i="49"/>
  <c r="AR98" i="46"/>
  <c r="AH125" i="49"/>
  <c r="Y125" i="49"/>
  <c r="AF90" i="49"/>
  <c r="AL87" i="47"/>
  <c r="U114" i="47"/>
  <c r="W87" i="47"/>
  <c r="AJ87" i="47" s="1"/>
  <c r="B258" i="51"/>
  <c r="E125" i="49"/>
  <c r="Z125" i="49"/>
  <c r="AI108" i="46"/>
  <c r="AK85" i="46"/>
  <c r="AT85" i="46"/>
  <c r="C315" i="51"/>
  <c r="B248" i="51"/>
  <c r="AL64" i="47"/>
  <c r="W64" i="47"/>
  <c r="AJ64" i="47" s="1"/>
  <c r="AK62" i="46"/>
  <c r="AT62" i="46"/>
  <c r="AH108" i="49"/>
  <c r="Y108" i="49"/>
  <c r="M125" i="49"/>
  <c r="AB125" i="49"/>
  <c r="U42" i="55"/>
  <c r="W42" i="55" s="1"/>
  <c r="O110" i="49"/>
  <c r="Q110" i="49" s="1"/>
  <c r="AD89" i="49"/>
  <c r="W89" i="49"/>
  <c r="AF88" i="49"/>
  <c r="U50" i="55"/>
  <c r="W50" i="55" s="1"/>
  <c r="B315" i="51"/>
  <c r="W68" i="47"/>
  <c r="AL68" i="47"/>
  <c r="D248" i="51"/>
  <c r="E190" i="51"/>
  <c r="G116" i="47"/>
  <c r="Y132" i="49"/>
  <c r="AH132" i="49"/>
  <c r="U44" i="55"/>
  <c r="W44" i="55" s="1"/>
  <c r="U46" i="55"/>
  <c r="W46" i="55" s="1"/>
  <c r="B140" i="40"/>
  <c r="U40" i="55"/>
  <c r="W40" i="55" s="1"/>
  <c r="U48" i="55"/>
  <c r="W48" i="55" s="1"/>
  <c r="M116" i="47"/>
  <c r="O116" i="47" s="1"/>
  <c r="U89" i="47"/>
  <c r="AL91" i="47" s="1"/>
  <c r="AT66" i="46"/>
  <c r="AK66" i="46"/>
  <c r="E132" i="49"/>
  <c r="Z132" i="49"/>
  <c r="AA110" i="46"/>
  <c r="AC110" i="46" s="1"/>
  <c r="AP89" i="46"/>
  <c r="AI89" i="46"/>
  <c r="AB132" i="49"/>
  <c r="M132" i="49"/>
  <c r="D140" i="38"/>
  <c r="U92" i="49"/>
  <c r="AR90" i="46"/>
  <c r="S90" i="47"/>
  <c r="AR94" i="46"/>
  <c r="AT64" i="46"/>
  <c r="AK64" i="46"/>
  <c r="W91" i="47"/>
  <c r="U115" i="47"/>
  <c r="C258" i="51"/>
  <c r="M126" i="49"/>
  <c r="AB126" i="49"/>
  <c r="AI109" i="46"/>
  <c r="Z126" i="49"/>
  <c r="E126" i="49"/>
  <c r="D315" i="51"/>
  <c r="C248" i="51"/>
  <c r="W70" i="47"/>
  <c r="AL66" i="47"/>
  <c r="AH87" i="49"/>
  <c r="W109" i="49"/>
  <c r="Y126" i="49"/>
  <c r="AH126" i="49"/>
  <c r="AH64" i="49"/>
  <c r="AR86" i="46"/>
  <c r="AH112" i="49"/>
  <c r="Y112" i="49"/>
  <c r="AF94" i="49"/>
  <c r="M96" i="49"/>
  <c r="AB127" i="49"/>
  <c r="M127" i="49"/>
  <c r="AI112" i="46"/>
  <c r="AK93" i="46"/>
  <c r="AT93" i="46"/>
  <c r="Z127" i="49"/>
  <c r="E127" i="49"/>
  <c r="AH127" i="49"/>
  <c r="Y127" i="49"/>
  <c r="O25" i="57"/>
  <c r="D202" i="51"/>
  <c r="W113" i="47"/>
  <c r="P26" i="57"/>
  <c r="W28" i="53"/>
  <c r="B140" i="31"/>
  <c r="E128" i="49"/>
  <c r="Z128" i="49"/>
  <c r="AH128" i="49"/>
  <c r="Y128" i="49"/>
  <c r="AB128" i="49"/>
  <c r="M128" i="49"/>
  <c r="W111" i="47"/>
  <c r="C202" i="51"/>
  <c r="P25" i="57"/>
  <c r="O26" i="57"/>
  <c r="Y111" i="49"/>
  <c r="AH111" i="49"/>
  <c r="AT111" i="46"/>
  <c r="AK111" i="46"/>
  <c r="B140" i="27"/>
  <c r="G360" i="51"/>
  <c r="G75" i="47"/>
  <c r="AL71" i="46"/>
  <c r="AT25" i="54"/>
  <c r="AL65" i="46"/>
  <c r="G71" i="47"/>
  <c r="G357" i="51"/>
  <c r="G356" i="51"/>
  <c r="G69" i="47"/>
  <c r="AL67" i="46"/>
  <c r="G359" i="51"/>
  <c r="AL69" i="46"/>
  <c r="G67" i="47"/>
  <c r="G73" i="47"/>
  <c r="AL73" i="46"/>
  <c r="Z73" i="49"/>
  <c r="AT27" i="54"/>
  <c r="G77" i="47"/>
  <c r="AL75" i="46"/>
  <c r="G65" i="47"/>
  <c r="G358" i="51"/>
  <c r="AL63" i="46"/>
  <c r="F33" i="50"/>
  <c r="AT21" i="54"/>
  <c r="AC19" i="49"/>
  <c r="F55" i="51"/>
  <c r="B63" i="51"/>
  <c r="K21" i="47"/>
  <c r="B140" i="24"/>
  <c r="G117" i="50"/>
  <c r="AC29" i="49"/>
  <c r="B64" i="51"/>
  <c r="K25" i="47"/>
  <c r="F52" i="51"/>
  <c r="B61" i="51"/>
  <c r="K19" i="47"/>
  <c r="B89" i="50"/>
  <c r="F89" i="50" s="1"/>
  <c r="F56" i="51"/>
  <c r="K27" i="47"/>
  <c r="AO27" i="46"/>
  <c r="AO21" i="46"/>
  <c r="AC21" i="49"/>
  <c r="AT23" i="54"/>
  <c r="F53" i="51"/>
  <c r="B62" i="51"/>
  <c r="K17" i="47"/>
  <c r="AC23" i="49"/>
  <c r="E117" i="47"/>
  <c r="E92" i="47"/>
  <c r="Z88" i="49" s="1"/>
  <c r="E88" i="47"/>
  <c r="Z86" i="49" s="1"/>
  <c r="E100" i="47"/>
  <c r="Z98" i="49" s="1"/>
  <c r="E96" i="47"/>
  <c r="G305" i="51"/>
  <c r="G101" i="47"/>
  <c r="E98" i="47"/>
  <c r="Z96" i="49" s="1"/>
  <c r="E94" i="47"/>
  <c r="AL92" i="46" s="1"/>
  <c r="J295" i="51"/>
  <c r="E90" i="47"/>
  <c r="AL90" i="46" s="1"/>
  <c r="AC17" i="49"/>
  <c r="AO25" i="46"/>
  <c r="F54" i="51"/>
  <c r="B65" i="51"/>
  <c r="K23" i="47"/>
  <c r="K29" i="47"/>
  <c r="AH97" i="49"/>
  <c r="W114" i="49"/>
  <c r="I92" i="46"/>
  <c r="I88" i="46"/>
  <c r="AC75" i="46"/>
  <c r="I94" i="46"/>
  <c r="Q75" i="49"/>
  <c r="I86" i="49"/>
  <c r="AA63" i="46"/>
  <c r="AA69" i="46"/>
  <c r="AI76" i="46"/>
  <c r="AI75" i="46" s="1"/>
  <c r="AC76" i="46"/>
  <c r="AA65" i="46"/>
  <c r="AA67" i="46"/>
  <c r="AP76" i="46"/>
  <c r="AA71" i="46"/>
  <c r="AA73" i="46"/>
  <c r="AB131" i="49"/>
  <c r="M131" i="49"/>
  <c r="AH74" i="49"/>
  <c r="AT19" i="54"/>
  <c r="I96" i="49"/>
  <c r="AI114" i="46"/>
  <c r="AK97" i="46"/>
  <c r="AT97" i="46"/>
  <c r="AT74" i="46"/>
  <c r="AK74" i="46"/>
  <c r="I96" i="46"/>
  <c r="AD76" i="49"/>
  <c r="O73" i="49"/>
  <c r="O67" i="49"/>
  <c r="O71" i="49"/>
  <c r="O69" i="49"/>
  <c r="W76" i="49"/>
  <c r="W75" i="49" s="1"/>
  <c r="O63" i="49"/>
  <c r="O65" i="49"/>
  <c r="AT17" i="54"/>
  <c r="I98" i="49"/>
  <c r="E131" i="49"/>
  <c r="Z131" i="49"/>
  <c r="C140" i="50"/>
  <c r="I90" i="46"/>
  <c r="I90" i="49"/>
  <c r="M117" i="47"/>
  <c r="O117" i="47" s="1"/>
  <c r="M100" i="47"/>
  <c r="O100" i="47" s="1"/>
  <c r="M94" i="47"/>
  <c r="O94" i="47" s="1"/>
  <c r="M92" i="47"/>
  <c r="O92" i="47" s="1"/>
  <c r="M98" i="47"/>
  <c r="O98" i="47" s="1"/>
  <c r="M90" i="47"/>
  <c r="O90" i="47" s="1"/>
  <c r="M88" i="47"/>
  <c r="O88" i="47" s="1"/>
  <c r="O101" i="47"/>
  <c r="M96" i="47"/>
  <c r="O96" i="47" s="1"/>
  <c r="U101" i="47"/>
  <c r="I86" i="46"/>
  <c r="I92" i="49"/>
  <c r="AK27" i="46"/>
  <c r="I94" i="49"/>
  <c r="I88" i="49"/>
  <c r="M65" i="47"/>
  <c r="O65" i="47" s="1"/>
  <c r="M75" i="47"/>
  <c r="O75" i="47" s="1"/>
  <c r="M73" i="47"/>
  <c r="O73" i="47" s="1"/>
  <c r="M67" i="47"/>
  <c r="O67" i="47" s="1"/>
  <c r="M69" i="47"/>
  <c r="O69" i="47" s="1"/>
  <c r="U78" i="47"/>
  <c r="M77" i="47"/>
  <c r="O77" i="47" s="1"/>
  <c r="O78" i="47"/>
  <c r="M71" i="47"/>
  <c r="O71" i="47" s="1"/>
  <c r="AH131" i="49"/>
  <c r="Y131" i="49"/>
  <c r="V27" i="55" l="1"/>
  <c r="W27" i="55" s="1"/>
  <c r="W22" i="53"/>
  <c r="W30" i="53"/>
  <c r="W26" i="53"/>
  <c r="W20" i="53"/>
  <c r="AU17" i="54"/>
  <c r="W24" i="53"/>
  <c r="AL89" i="47"/>
  <c r="D17" i="51"/>
  <c r="B23" i="51"/>
  <c r="AL21" i="46"/>
  <c r="G24" i="51"/>
  <c r="C17" i="51"/>
  <c r="G26" i="51"/>
  <c r="AL27" i="46"/>
  <c r="G19" i="47"/>
  <c r="B26" i="51"/>
  <c r="G17" i="51"/>
  <c r="G27" i="47"/>
  <c r="W23" i="55"/>
  <c r="Z23" i="49"/>
  <c r="AL23" i="46"/>
  <c r="G22" i="51"/>
  <c r="D140" i="50"/>
  <c r="B21" i="51"/>
  <c r="B25" i="51"/>
  <c r="G23" i="47"/>
  <c r="F17" i="51"/>
  <c r="H89" i="50"/>
  <c r="AL17" i="46"/>
  <c r="B22" i="51"/>
  <c r="AL29" i="46"/>
  <c r="Z25" i="49"/>
  <c r="AL25" i="46"/>
  <c r="G29" i="47"/>
  <c r="H17" i="51"/>
  <c r="E17" i="51"/>
  <c r="G23" i="51"/>
  <c r="G17" i="47"/>
  <c r="G25" i="47"/>
  <c r="AL19" i="46"/>
  <c r="Z19" i="49"/>
  <c r="B17" i="51"/>
  <c r="U19" i="47"/>
  <c r="AT17" i="46" s="1"/>
  <c r="U29" i="47"/>
  <c r="AH29" i="49" s="1"/>
  <c r="U23" i="47"/>
  <c r="B86" i="51"/>
  <c r="J76" i="51"/>
  <c r="U21" i="47"/>
  <c r="AT21" i="46" s="1"/>
  <c r="U17" i="47"/>
  <c r="AH30" i="49"/>
  <c r="U25" i="47"/>
  <c r="G86" i="51"/>
  <c r="U27" i="47"/>
  <c r="G82" i="49"/>
  <c r="K59" i="49"/>
  <c r="O59" i="49" s="1"/>
  <c r="S59" i="49" s="1"/>
  <c r="W59" i="49" s="1"/>
  <c r="AA152" i="49"/>
  <c r="W99" i="49"/>
  <c r="W98" i="49" s="1"/>
  <c r="Y98" i="49" s="1"/>
  <c r="O92" i="49"/>
  <c r="AD92" i="49" s="1"/>
  <c r="AD99" i="49"/>
  <c r="Y152" i="49"/>
  <c r="V29" i="47"/>
  <c r="F86" i="51"/>
  <c r="AA88" i="46"/>
  <c r="AC88" i="46" s="1"/>
  <c r="AK19" i="46"/>
  <c r="AK25" i="46"/>
  <c r="M152" i="49"/>
  <c r="AB133" i="49"/>
  <c r="AA96" i="46"/>
  <c r="AP96" i="46" s="1"/>
  <c r="AA92" i="46"/>
  <c r="AP92" i="46" s="1"/>
  <c r="AA115" i="46"/>
  <c r="AC115" i="46" s="1"/>
  <c r="V17" i="47"/>
  <c r="AI19" i="49" s="1"/>
  <c r="AP99" i="46"/>
  <c r="AK29" i="46"/>
  <c r="V21" i="47"/>
  <c r="AI21" i="49" s="1"/>
  <c r="AA86" i="46"/>
  <c r="AP86" i="46" s="1"/>
  <c r="AU30" i="46"/>
  <c r="AI30" i="49"/>
  <c r="O90" i="49"/>
  <c r="AD90" i="49" s="1"/>
  <c r="O94" i="49"/>
  <c r="AD94" i="49" s="1"/>
  <c r="V23" i="47"/>
  <c r="AU23" i="46" s="1"/>
  <c r="AA94" i="46"/>
  <c r="AC94" i="46" s="1"/>
  <c r="AC99" i="46"/>
  <c r="V19" i="47"/>
  <c r="AI17" i="49" s="1"/>
  <c r="AI99" i="46"/>
  <c r="AI98" i="46" s="1"/>
  <c r="AK98" i="46" s="1"/>
  <c r="V25" i="47"/>
  <c r="AI25" i="49" s="1"/>
  <c r="AA90" i="46"/>
  <c r="AC90" i="46" s="1"/>
  <c r="B26" i="52"/>
  <c r="AH133" i="49"/>
  <c r="J75" i="51"/>
  <c r="W30" i="47"/>
  <c r="V27" i="47"/>
  <c r="AU27" i="46" s="1"/>
  <c r="B96" i="51"/>
  <c r="O96" i="49"/>
  <c r="AD96" i="49" s="1"/>
  <c r="O86" i="49"/>
  <c r="AD86" i="49" s="1"/>
  <c r="O115" i="49"/>
  <c r="Q115" i="49" s="1"/>
  <c r="O88" i="49"/>
  <c r="AD88" i="49" s="1"/>
  <c r="AT95" i="46"/>
  <c r="AI113" i="46"/>
  <c r="AK95" i="46"/>
  <c r="U110" i="47"/>
  <c r="G258" i="51"/>
  <c r="W97" i="47"/>
  <c r="AH95" i="49"/>
  <c r="W113" i="49"/>
  <c r="Z133" i="49"/>
  <c r="AD40" i="49"/>
  <c r="AP44" i="46"/>
  <c r="AP48" i="46"/>
  <c r="AD48" i="49"/>
  <c r="O53" i="47"/>
  <c r="AD52" i="49"/>
  <c r="F25" i="51"/>
  <c r="B35" i="51"/>
  <c r="F16" i="51"/>
  <c r="AM23" i="46"/>
  <c r="AA23" i="49"/>
  <c r="F24" i="51"/>
  <c r="D16" i="51"/>
  <c r="B33" i="51"/>
  <c r="AA21" i="49"/>
  <c r="AM21" i="46"/>
  <c r="AP40" i="46"/>
  <c r="G16" i="51"/>
  <c r="F26" i="51"/>
  <c r="B36" i="51"/>
  <c r="AM27" i="46"/>
  <c r="AA27" i="49"/>
  <c r="Y6" i="57"/>
  <c r="U43" i="47"/>
  <c r="D17" i="52"/>
  <c r="U45" i="47"/>
  <c r="G168" i="51" s="1"/>
  <c r="W54" i="47"/>
  <c r="Z6" i="57"/>
  <c r="AH53" i="49"/>
  <c r="U49" i="47"/>
  <c r="AT48" i="46" s="1"/>
  <c r="U41" i="47"/>
  <c r="U47" i="47"/>
  <c r="B182" i="51"/>
  <c r="U53" i="47"/>
  <c r="U51" i="47"/>
  <c r="J162" i="51"/>
  <c r="G172" i="51"/>
  <c r="AK42" i="46"/>
  <c r="G21" i="47"/>
  <c r="F21" i="51"/>
  <c r="B32" i="51"/>
  <c r="B16" i="51"/>
  <c r="AA19" i="49"/>
  <c r="AM19" i="46"/>
  <c r="O51" i="47"/>
  <c r="AD50" i="49"/>
  <c r="O47" i="47"/>
  <c r="AP46" i="46"/>
  <c r="AD46" i="49"/>
  <c r="F22" i="51"/>
  <c r="B31" i="51"/>
  <c r="C16" i="51"/>
  <c r="AM17" i="46"/>
  <c r="AA17" i="49"/>
  <c r="H16" i="51"/>
  <c r="AA29" i="49"/>
  <c r="AM29" i="46"/>
  <c r="O43" i="47"/>
  <c r="AD42" i="49"/>
  <c r="F23" i="51"/>
  <c r="B34" i="51"/>
  <c r="E16" i="51"/>
  <c r="AM25" i="46"/>
  <c r="AA25" i="49"/>
  <c r="AT53" i="46"/>
  <c r="AC52" i="46"/>
  <c r="AP52" i="46"/>
  <c r="AP42" i="46"/>
  <c r="AC42" i="46"/>
  <c r="AP50" i="46"/>
  <c r="AC50" i="46"/>
  <c r="W114" i="47"/>
  <c r="E202" i="51"/>
  <c r="AK108" i="46"/>
  <c r="AT108" i="46"/>
  <c r="AK89" i="46"/>
  <c r="AT89" i="46"/>
  <c r="AI110" i="46"/>
  <c r="U116" i="47"/>
  <c r="D258" i="51"/>
  <c r="W89" i="47"/>
  <c r="Z90" i="49"/>
  <c r="AH89" i="49"/>
  <c r="W110" i="49"/>
  <c r="B140" i="50"/>
  <c r="Y109" i="49"/>
  <c r="AH109" i="49"/>
  <c r="AT109" i="46"/>
  <c r="AK109" i="46"/>
  <c r="G202" i="51"/>
  <c r="W115" i="47"/>
  <c r="O22" i="57"/>
  <c r="P23" i="57"/>
  <c r="AK112" i="46"/>
  <c r="AT112" i="46"/>
  <c r="Z92" i="49"/>
  <c r="AL88" i="46"/>
  <c r="AL96" i="46"/>
  <c r="AP98" i="46"/>
  <c r="AD98" i="49"/>
  <c r="G302" i="51"/>
  <c r="G96" i="47"/>
  <c r="G100" i="47"/>
  <c r="AL98" i="46"/>
  <c r="G89" i="50"/>
  <c r="G90" i="47"/>
  <c r="G301" i="51"/>
  <c r="G300" i="51"/>
  <c r="G88" i="47"/>
  <c r="G92" i="47"/>
  <c r="G299" i="51"/>
  <c r="Z94" i="49"/>
  <c r="AL94" i="46"/>
  <c r="G303" i="51"/>
  <c r="G94" i="47"/>
  <c r="H190" i="51"/>
  <c r="G117" i="47"/>
  <c r="AL86" i="46"/>
  <c r="G98" i="47"/>
  <c r="Y75" i="49"/>
  <c r="Q73" i="49"/>
  <c r="AD73" i="49"/>
  <c r="AP75" i="46"/>
  <c r="Y114" i="49"/>
  <c r="AH114" i="49"/>
  <c r="G325" i="51"/>
  <c r="J248" i="51"/>
  <c r="U71" i="47"/>
  <c r="U77" i="47"/>
  <c r="W77" i="47" s="1"/>
  <c r="U73" i="47"/>
  <c r="U65" i="47"/>
  <c r="U75" i="47"/>
  <c r="U67" i="47"/>
  <c r="J315" i="51"/>
  <c r="U69" i="47"/>
  <c r="W78" i="47"/>
  <c r="AC67" i="46"/>
  <c r="AP67" i="46"/>
  <c r="AD67" i="49"/>
  <c r="Q67" i="49"/>
  <c r="AP71" i="46"/>
  <c r="AC71" i="46"/>
  <c r="Q65" i="49"/>
  <c r="AD65" i="49"/>
  <c r="AP65" i="46"/>
  <c r="AC65" i="46"/>
  <c r="AD75" i="49"/>
  <c r="AD63" i="49"/>
  <c r="Q63" i="49"/>
  <c r="W67" i="49"/>
  <c r="AH76" i="49"/>
  <c r="W71" i="49"/>
  <c r="W69" i="49"/>
  <c r="W65" i="49"/>
  <c r="W73" i="49"/>
  <c r="W63" i="49"/>
  <c r="AK114" i="46"/>
  <c r="AT114" i="46"/>
  <c r="AI63" i="46"/>
  <c r="AI71" i="46"/>
  <c r="AT76" i="46"/>
  <c r="AI65" i="46"/>
  <c r="AI73" i="46"/>
  <c r="AI67" i="46"/>
  <c r="AI69" i="46"/>
  <c r="AK76" i="46"/>
  <c r="J258" i="51"/>
  <c r="U88" i="47"/>
  <c r="U94" i="47"/>
  <c r="U117" i="47"/>
  <c r="U96" i="47"/>
  <c r="U98" i="47"/>
  <c r="G268" i="51"/>
  <c r="U90" i="47"/>
  <c r="W101" i="47"/>
  <c r="U92" i="47"/>
  <c r="U100" i="47"/>
  <c r="W100" i="47" s="1"/>
  <c r="Q69" i="49"/>
  <c r="AD69" i="49"/>
  <c r="AP69" i="46"/>
  <c r="AC69" i="46"/>
  <c r="AD71" i="49"/>
  <c r="Q71" i="49"/>
  <c r="AK75" i="46"/>
  <c r="AP73" i="46"/>
  <c r="AC73" i="46"/>
  <c r="AP63" i="46"/>
  <c r="AC63" i="46"/>
  <c r="W86" i="49" l="1"/>
  <c r="Y86" i="49" s="1"/>
  <c r="Q94" i="49"/>
  <c r="AC92" i="46"/>
  <c r="F80" i="51"/>
  <c r="AU25" i="46"/>
  <c r="W29" i="47"/>
  <c r="G83" i="51"/>
  <c r="AH23" i="49"/>
  <c r="B83" i="51"/>
  <c r="AT27" i="46"/>
  <c r="AH27" i="49"/>
  <c r="B85" i="51"/>
  <c r="AH25" i="49"/>
  <c r="G84" i="51"/>
  <c r="B82" i="51"/>
  <c r="B80" i="51"/>
  <c r="AH17" i="49"/>
  <c r="G81" i="51"/>
  <c r="AT29" i="46"/>
  <c r="AT23" i="46"/>
  <c r="B81" i="51"/>
  <c r="AH19" i="49"/>
  <c r="G80" i="51"/>
  <c r="AT19" i="46"/>
  <c r="B84" i="51"/>
  <c r="AH21" i="49"/>
  <c r="G82" i="51"/>
  <c r="AT25" i="46"/>
  <c r="W115" i="49"/>
  <c r="AH115" i="49" s="1"/>
  <c r="G105" i="49"/>
  <c r="K82" i="49"/>
  <c r="O82" i="49" s="1"/>
  <c r="S82" i="49" s="1"/>
  <c r="W82" i="49" s="1"/>
  <c r="AU29" i="46"/>
  <c r="B90" i="51"/>
  <c r="AI29" i="49"/>
  <c r="AI90" i="46"/>
  <c r="AK90" i="46" s="1"/>
  <c r="AI92" i="46"/>
  <c r="AK92" i="46" s="1"/>
  <c r="AC96" i="46"/>
  <c r="AI88" i="46"/>
  <c r="AK88" i="46" s="1"/>
  <c r="AP88" i="46"/>
  <c r="W96" i="49"/>
  <c r="AH96" i="49" s="1"/>
  <c r="W92" i="49"/>
  <c r="AH92" i="49" s="1"/>
  <c r="W90" i="49"/>
  <c r="Y90" i="49" s="1"/>
  <c r="W88" i="49"/>
  <c r="Y88" i="49" s="1"/>
  <c r="W94" i="49"/>
  <c r="AH94" i="49" s="1"/>
  <c r="AH99" i="49"/>
  <c r="AP94" i="46"/>
  <c r="Q92" i="49"/>
  <c r="AK99" i="46"/>
  <c r="AI94" i="46"/>
  <c r="AT94" i="46" s="1"/>
  <c r="W19" i="47"/>
  <c r="AC86" i="46"/>
  <c r="B91" i="51"/>
  <c r="Q90" i="49"/>
  <c r="AU19" i="46"/>
  <c r="F83" i="51"/>
  <c r="AU17" i="46"/>
  <c r="AI23" i="49"/>
  <c r="W23" i="47"/>
  <c r="F81" i="51"/>
  <c r="W17" i="47"/>
  <c r="W21" i="47"/>
  <c r="B92" i="51"/>
  <c r="AU21" i="46"/>
  <c r="F82" i="51"/>
  <c r="AI86" i="46"/>
  <c r="AK86" i="46" s="1"/>
  <c r="B94" i="51"/>
  <c r="W27" i="47"/>
  <c r="Q86" i="49"/>
  <c r="AP90" i="46"/>
  <c r="Q96" i="49"/>
  <c r="AI115" i="46"/>
  <c r="AT115" i="46" s="1"/>
  <c r="AT99" i="46"/>
  <c r="B95" i="51"/>
  <c r="AI27" i="49"/>
  <c r="F85" i="51"/>
  <c r="G85" i="51" s="1"/>
  <c r="AI96" i="46"/>
  <c r="AT96" i="46" s="1"/>
  <c r="W25" i="47"/>
  <c r="B93" i="51"/>
  <c r="F84" i="51"/>
  <c r="Q88" i="49"/>
  <c r="P27" i="57"/>
  <c r="O27" i="57"/>
  <c r="B202" i="51"/>
  <c r="W110" i="47"/>
  <c r="Y113" i="49"/>
  <c r="AH113" i="49"/>
  <c r="AK113" i="46"/>
  <c r="AT113" i="46"/>
  <c r="W51" i="47"/>
  <c r="AT50" i="46"/>
  <c r="AH50" i="49"/>
  <c r="B181" i="51"/>
  <c r="W53" i="47"/>
  <c r="AT52" i="46"/>
  <c r="AH52" i="49"/>
  <c r="W45" i="47"/>
  <c r="AH44" i="49"/>
  <c r="AT44" i="46"/>
  <c r="B178" i="51"/>
  <c r="B180" i="51"/>
  <c r="AT46" i="46"/>
  <c r="G169" i="51"/>
  <c r="AH46" i="49"/>
  <c r="W47" i="47"/>
  <c r="W43" i="47"/>
  <c r="AH42" i="49"/>
  <c r="G167" i="51"/>
  <c r="B177" i="51"/>
  <c r="B176" i="51"/>
  <c r="W41" i="47"/>
  <c r="AT40" i="46"/>
  <c r="AH40" i="49"/>
  <c r="G166" i="51"/>
  <c r="G170" i="51"/>
  <c r="W49" i="47"/>
  <c r="B179" i="51"/>
  <c r="AH48" i="49"/>
  <c r="AT42" i="46"/>
  <c r="O24" i="57"/>
  <c r="F202" i="51"/>
  <c r="W116" i="47"/>
  <c r="P24" i="57"/>
  <c r="AT110" i="46"/>
  <c r="AK110" i="46"/>
  <c r="Y110" i="49"/>
  <c r="AH110" i="49"/>
  <c r="AT98" i="46"/>
  <c r="O28" i="57"/>
  <c r="P28" i="57"/>
  <c r="H202" i="51"/>
  <c r="W117" i="47"/>
  <c r="AT65" i="46"/>
  <c r="AK65" i="46"/>
  <c r="AH67" i="49"/>
  <c r="Y67" i="49"/>
  <c r="W65" i="47"/>
  <c r="G320" i="51"/>
  <c r="G265" i="51"/>
  <c r="W94" i="47"/>
  <c r="W73" i="47"/>
  <c r="W92" i="47"/>
  <c r="G263" i="51"/>
  <c r="G262" i="51"/>
  <c r="W88" i="47"/>
  <c r="AK71" i="46"/>
  <c r="AT71" i="46"/>
  <c r="AH63" i="49"/>
  <c r="Y63" i="49"/>
  <c r="AT75" i="46"/>
  <c r="AK63" i="46"/>
  <c r="AT63" i="46"/>
  <c r="AH73" i="49"/>
  <c r="Y73" i="49"/>
  <c r="G321" i="51"/>
  <c r="W71" i="47"/>
  <c r="W90" i="47"/>
  <c r="G264" i="51"/>
  <c r="AH65" i="49"/>
  <c r="Y65" i="49"/>
  <c r="AH98" i="49"/>
  <c r="G319" i="51"/>
  <c r="W69" i="47"/>
  <c r="AT69" i="46"/>
  <c r="AK69" i="46"/>
  <c r="AH69" i="49"/>
  <c r="Y69" i="49"/>
  <c r="W98" i="47"/>
  <c r="AK67" i="46"/>
  <c r="AT67" i="46"/>
  <c r="AH71" i="49"/>
  <c r="Y71" i="49"/>
  <c r="G322" i="51"/>
  <c r="W67" i="47"/>
  <c r="AH75" i="49"/>
  <c r="W96" i="47"/>
  <c r="G266" i="51"/>
  <c r="AT73" i="46"/>
  <c r="AK73" i="46"/>
  <c r="G324" i="51"/>
  <c r="W75" i="47"/>
  <c r="AH86" i="49" l="1"/>
  <c r="Y115" i="49"/>
  <c r="AH88" i="49"/>
  <c r="AT90" i="46"/>
  <c r="Y96" i="49"/>
  <c r="Y94" i="49"/>
  <c r="Y92" i="49"/>
  <c r="G122" i="49"/>
  <c r="K122" i="49" s="1"/>
  <c r="O122" i="49" s="1"/>
  <c r="S122" i="49" s="1"/>
  <c r="W122" i="49" s="1"/>
  <c r="K105" i="49"/>
  <c r="O105" i="49" s="1"/>
  <c r="S105" i="49" s="1"/>
  <c r="W105" i="49" s="1"/>
  <c r="AT92" i="46"/>
  <c r="AT88" i="46"/>
  <c r="AH90" i="49"/>
  <c r="AK94" i="46"/>
  <c r="AT86" i="46"/>
  <c r="AK115" i="46"/>
  <c r="AK96" i="46"/>
  <c r="L16" i="56" l="1"/>
  <c r="G24" i="56"/>
  <c r="M16" i="56" l="1"/>
  <c r="B48" i="57"/>
  <c r="V22" i="56"/>
  <c r="E28" i="57"/>
  <c r="H24" i="56"/>
  <c r="V18" i="56"/>
  <c r="G18" i="56"/>
  <c r="G20" i="56"/>
  <c r="L20" i="56"/>
  <c r="Q20" i="56"/>
  <c r="G28" i="56"/>
  <c r="L18" i="56"/>
  <c r="Q18" i="56"/>
  <c r="L28" i="56"/>
  <c r="G22" i="56"/>
  <c r="L22" i="56"/>
  <c r="Q24" i="56"/>
  <c r="L26" i="56"/>
  <c r="Q26" i="56"/>
  <c r="V16" i="56"/>
  <c r="V20" i="56"/>
  <c r="V24" i="56"/>
  <c r="Q28" i="56"/>
  <c r="H28" i="56" l="1"/>
  <c r="AE16" i="56"/>
  <c r="B49" i="57"/>
  <c r="Q30" i="56"/>
  <c r="R30" i="56" s="1"/>
  <c r="AF30" i="56" s="1"/>
  <c r="W18" i="56"/>
  <c r="AG18" i="56" s="1"/>
  <c r="AA18" i="56"/>
  <c r="E29" i="57"/>
  <c r="W22" i="56"/>
  <c r="AG22" i="56" s="1"/>
  <c r="Q16" i="56"/>
  <c r="W20" i="56"/>
  <c r="AG20" i="56" s="1"/>
  <c r="AA20" i="56"/>
  <c r="R26" i="56"/>
  <c r="Q27" i="56"/>
  <c r="Q22" i="56"/>
  <c r="M26" i="56"/>
  <c r="F48" i="57"/>
  <c r="C48" i="57"/>
  <c r="M22" i="56"/>
  <c r="AE22" i="56" s="1"/>
  <c r="R20" i="56"/>
  <c r="Q21" i="56"/>
  <c r="AD24" i="56"/>
  <c r="R28" i="56"/>
  <c r="Q29" i="56"/>
  <c r="R24" i="56"/>
  <c r="H22" i="56"/>
  <c r="F28" i="57"/>
  <c r="R18" i="56"/>
  <c r="AF18" i="56" s="1"/>
  <c r="M20" i="56"/>
  <c r="AE20" i="56" s="1"/>
  <c r="E48" i="57"/>
  <c r="M18" i="56"/>
  <c r="D48" i="57"/>
  <c r="H20" i="56"/>
  <c r="AD20" i="56" s="1"/>
  <c r="C28" i="57"/>
  <c r="B28" i="57"/>
  <c r="H18" i="56"/>
  <c r="AD18" i="56" s="1"/>
  <c r="W24" i="56"/>
  <c r="AG24" i="56" s="1"/>
  <c r="W16" i="56"/>
  <c r="M28" i="56"/>
  <c r="AE28" i="56" s="1"/>
  <c r="L24" i="56"/>
  <c r="V26" i="56"/>
  <c r="V30" i="56"/>
  <c r="V23" i="56" s="1"/>
  <c r="V28" i="56"/>
  <c r="Q19" i="56" l="1"/>
  <c r="R29" i="56"/>
  <c r="R27" i="56"/>
  <c r="R21" i="56"/>
  <c r="R19" i="56"/>
  <c r="R25" i="56"/>
  <c r="V25" i="56"/>
  <c r="AF24" i="56"/>
  <c r="Q25" i="56"/>
  <c r="E49" i="57"/>
  <c r="D8" i="57"/>
  <c r="C29" i="57"/>
  <c r="V21" i="56"/>
  <c r="C8" i="57"/>
  <c r="AE26" i="56"/>
  <c r="F49" i="57"/>
  <c r="AA24" i="56"/>
  <c r="M24" i="56"/>
  <c r="AE24" i="56" s="1"/>
  <c r="AF28" i="56"/>
  <c r="C49" i="57"/>
  <c r="R22" i="56"/>
  <c r="R23" i="56" s="1"/>
  <c r="Q23" i="56"/>
  <c r="AB20" i="56"/>
  <c r="W30" i="56"/>
  <c r="W17" i="56" s="1"/>
  <c r="V27" i="56"/>
  <c r="W26" i="56"/>
  <c r="AG16" i="56"/>
  <c r="B29" i="57"/>
  <c r="R16" i="56"/>
  <c r="R17" i="56" s="1"/>
  <c r="Q17" i="56"/>
  <c r="V19" i="56"/>
  <c r="F29" i="57"/>
  <c r="AA28" i="56"/>
  <c r="W28" i="56"/>
  <c r="AG28" i="56" s="1"/>
  <c r="V29" i="56"/>
  <c r="L30" i="56"/>
  <c r="V17" i="56"/>
  <c r="AD22" i="56"/>
  <c r="AB18" i="56"/>
  <c r="C9" i="57" s="1"/>
  <c r="AE18" i="56"/>
  <c r="D49" i="57"/>
  <c r="AF20" i="56"/>
  <c r="AF26" i="56"/>
  <c r="AA22" i="56"/>
  <c r="AD28" i="56"/>
  <c r="G26" i="56"/>
  <c r="AA26" i="56" s="1"/>
  <c r="W19" i="56" l="1"/>
  <c r="AF16" i="56"/>
  <c r="AH18" i="56"/>
  <c r="G8" i="57"/>
  <c r="E8" i="57"/>
  <c r="AF22" i="56"/>
  <c r="AB24" i="56"/>
  <c r="AH24" i="56" s="1"/>
  <c r="G16" i="56"/>
  <c r="L25" i="56"/>
  <c r="J48" i="57"/>
  <c r="E58" i="57"/>
  <c r="M30" i="56"/>
  <c r="AE30" i="56" s="1"/>
  <c r="L17" i="56"/>
  <c r="L27" i="56"/>
  <c r="E57" i="57" s="1"/>
  <c r="L21" i="56"/>
  <c r="E56" i="57" s="1"/>
  <c r="L19" i="56"/>
  <c r="E55" i="57" s="1"/>
  <c r="L23" i="56"/>
  <c r="E54" i="57" s="1"/>
  <c r="L29" i="56"/>
  <c r="F8" i="57"/>
  <c r="AG30" i="56"/>
  <c r="D9" i="57"/>
  <c r="W25" i="56"/>
  <c r="W23" i="56"/>
  <c r="AB28" i="56"/>
  <c r="AH28" i="56" s="1"/>
  <c r="W29" i="56"/>
  <c r="W21" i="56"/>
  <c r="AH20" i="56"/>
  <c r="G28" i="57"/>
  <c r="H26" i="56"/>
  <c r="AB22" i="56"/>
  <c r="AH22" i="56" s="1"/>
  <c r="AG26" i="56"/>
  <c r="W27" i="56"/>
  <c r="G30" i="56"/>
  <c r="G27" i="56" s="1"/>
  <c r="E38" i="57" s="1"/>
  <c r="M25" i="56" l="1"/>
  <c r="E53" i="57"/>
  <c r="L33" i="56"/>
  <c r="G29" i="57"/>
  <c r="AB26" i="56"/>
  <c r="F9" i="57"/>
  <c r="J49" i="57"/>
  <c r="F58" i="57"/>
  <c r="M17" i="56"/>
  <c r="M27" i="56"/>
  <c r="F57" i="57" s="1"/>
  <c r="M19" i="56"/>
  <c r="F55" i="57" s="1"/>
  <c r="M29" i="56"/>
  <c r="M23" i="56"/>
  <c r="F54" i="57" s="1"/>
  <c r="M21" i="56"/>
  <c r="F56" i="57" s="1"/>
  <c r="H30" i="56"/>
  <c r="AB30" i="56" s="1"/>
  <c r="J28" i="57"/>
  <c r="G25" i="56"/>
  <c r="E36" i="57" s="1"/>
  <c r="G29" i="56"/>
  <c r="G23" i="56"/>
  <c r="E37" i="57" s="1"/>
  <c r="E39" i="57"/>
  <c r="G19" i="56"/>
  <c r="E33" i="57" s="1"/>
  <c r="G21" i="56"/>
  <c r="E34" i="57" s="1"/>
  <c r="E9" i="57"/>
  <c r="G36" i="56"/>
  <c r="H16" i="56"/>
  <c r="AD16" i="56" s="1"/>
  <c r="D28" i="57"/>
  <c r="G17" i="56"/>
  <c r="AA16" i="56"/>
  <c r="AD26" i="56"/>
  <c r="AA30" i="56"/>
  <c r="AD30" i="56" l="1"/>
  <c r="F53" i="57"/>
  <c r="M33" i="56"/>
  <c r="AB19" i="56"/>
  <c r="F14" i="57" s="1"/>
  <c r="J9" i="57"/>
  <c r="AB21" i="56"/>
  <c r="F15" i="57" s="1"/>
  <c r="AB23" i="56"/>
  <c r="F16" i="57" s="1"/>
  <c r="AB29" i="56"/>
  <c r="AB25" i="56"/>
  <c r="F17" i="57" s="1"/>
  <c r="AA17" i="56"/>
  <c r="E13" i="57" s="1"/>
  <c r="B8" i="57"/>
  <c r="E35" i="57"/>
  <c r="G33" i="56"/>
  <c r="J29" i="57"/>
  <c r="H25" i="56"/>
  <c r="F36" i="57" s="1"/>
  <c r="H29" i="56"/>
  <c r="F39" i="57"/>
  <c r="H21" i="56"/>
  <c r="F34" i="57" s="1"/>
  <c r="H19" i="56"/>
  <c r="F33" i="57" s="1"/>
  <c r="H23" i="56"/>
  <c r="F37" i="57" s="1"/>
  <c r="E19" i="57"/>
  <c r="J8" i="57"/>
  <c r="AH30" i="56"/>
  <c r="AA19" i="56"/>
  <c r="E14" i="57" s="1"/>
  <c r="AA21" i="56"/>
  <c r="E15" i="57" s="1"/>
  <c r="AA27" i="56"/>
  <c r="E18" i="57" s="1"/>
  <c r="AA29" i="56"/>
  <c r="AA23" i="56"/>
  <c r="E16" i="57" s="1"/>
  <c r="AA25" i="56"/>
  <c r="E17" i="57" s="1"/>
  <c r="D29" i="57"/>
  <c r="H36" i="56"/>
  <c r="H17" i="56"/>
  <c r="AB16" i="56"/>
  <c r="AH26" i="56"/>
  <c r="AB27" i="56"/>
  <c r="F18" i="57" s="1"/>
  <c r="G9" i="57"/>
  <c r="H27" i="56"/>
  <c r="F38" i="57" s="1"/>
  <c r="AH16" i="56" l="1"/>
  <c r="AB17" i="56"/>
  <c r="F13" i="57" s="1"/>
  <c r="B9" i="57"/>
  <c r="F35" i="57"/>
  <c r="H33" i="56"/>
  <c r="F19" i="57"/>
</calcChain>
</file>

<file path=xl/sharedStrings.xml><?xml version="1.0" encoding="utf-8"?>
<sst xmlns="http://schemas.openxmlformats.org/spreadsheetml/2006/main" count="3355" uniqueCount="156">
  <si>
    <t>Production nette</t>
  </si>
  <si>
    <t>AUTO</t>
  </si>
  <si>
    <t>SOFAC</t>
  </si>
  <si>
    <t>WFSLF</t>
  </si>
  <si>
    <t>RCI</t>
  </si>
  <si>
    <t>VIVALIS</t>
  </si>
  <si>
    <t>EQDOM</t>
  </si>
  <si>
    <t>SALAFIN</t>
  </si>
  <si>
    <t>Marché</t>
  </si>
  <si>
    <t>Part de Marché</t>
  </si>
  <si>
    <t>WAFASALAF</t>
  </si>
  <si>
    <t>AXA</t>
  </si>
  <si>
    <t>Autres</t>
  </si>
  <si>
    <t>PP</t>
  </si>
  <si>
    <t>Globale</t>
  </si>
  <si>
    <t>Encours Sain</t>
  </si>
  <si>
    <t>GLOBALE</t>
  </si>
  <si>
    <t>CES/ Encours brut</t>
  </si>
  <si>
    <t>Moyenne</t>
  </si>
  <si>
    <t>CA</t>
  </si>
  <si>
    <t>LOA</t>
  </si>
  <si>
    <t>CES</t>
  </si>
  <si>
    <t>Encours brut</t>
  </si>
  <si>
    <t>WFSLF 2016</t>
  </si>
  <si>
    <t>WFSLF 2017</t>
  </si>
  <si>
    <t>EQDOM 2016</t>
  </si>
  <si>
    <t>EQDOM 2017</t>
  </si>
  <si>
    <t>SOFAC 2016</t>
  </si>
  <si>
    <t>SOFAC 2017</t>
  </si>
  <si>
    <t>VIVALIS 2016</t>
  </si>
  <si>
    <t>VIVALIS 2017</t>
  </si>
  <si>
    <t>SALAFIN 2016</t>
  </si>
  <si>
    <t>SALAFIN 2017</t>
  </si>
  <si>
    <t>RCI 2016</t>
  </si>
  <si>
    <t>RCI 2017</t>
  </si>
  <si>
    <t>Marché 2016</t>
  </si>
  <si>
    <t>Marché 2017</t>
  </si>
  <si>
    <t>Encours Sains marché</t>
  </si>
  <si>
    <t>Banques</t>
  </si>
  <si>
    <t>SCC</t>
  </si>
  <si>
    <t>e</t>
  </si>
  <si>
    <t>Production marché</t>
  </si>
  <si>
    <t>EDM / Revolvig</t>
  </si>
  <si>
    <t>Global</t>
  </si>
  <si>
    <t>Encours sain</t>
  </si>
  <si>
    <t>Fin 03 2022</t>
  </si>
  <si>
    <t>Fin 06 2022</t>
  </si>
  <si>
    <t>Fin 09 2022</t>
  </si>
  <si>
    <t>Fin 12 2022</t>
  </si>
  <si>
    <t>Fin Mars 2022</t>
  </si>
  <si>
    <t>Fin Juin 2022</t>
  </si>
  <si>
    <t>Fin Septembre 2022</t>
  </si>
  <si>
    <t>T3</t>
  </si>
  <si>
    <t>T4</t>
  </si>
  <si>
    <t>T1</t>
  </si>
  <si>
    <t>T2</t>
  </si>
  <si>
    <t>CES/EB</t>
  </si>
  <si>
    <t>Vehicules (en MDH)</t>
  </si>
  <si>
    <t>Prêts personnels (en MDH)</t>
  </si>
  <si>
    <t>Equipement domestique (en MDH)</t>
  </si>
  <si>
    <t>Revolving (en MDH)</t>
  </si>
  <si>
    <t>Global (en MDH)</t>
  </si>
  <si>
    <t>Evolution</t>
  </si>
  <si>
    <t>T3 auto</t>
  </si>
  <si>
    <t>PP T3</t>
  </si>
  <si>
    <t>EDM</t>
  </si>
  <si>
    <t>REV</t>
  </si>
  <si>
    <t>Part de marché</t>
  </si>
  <si>
    <t>Vehicules (en MDH):</t>
  </si>
  <si>
    <t>Créances en souffrances</t>
  </si>
  <si>
    <t>Vehicules</t>
  </si>
  <si>
    <t>Prêts personnels</t>
  </si>
  <si>
    <t>Auto Classiques (En MDH)</t>
  </si>
  <si>
    <t>LOA (en MDH)</t>
  </si>
  <si>
    <t>Fonctionnaires (en MDH)</t>
  </si>
  <si>
    <t>Retraités (en MDH)</t>
  </si>
  <si>
    <t>Conventions (en MDH)</t>
  </si>
  <si>
    <t>Bancaires (en MDH)</t>
  </si>
  <si>
    <t>REVOLVING</t>
  </si>
  <si>
    <t>GLOBAL</t>
  </si>
  <si>
    <t>Encours sains</t>
  </si>
  <si>
    <t>Encours bruts</t>
  </si>
  <si>
    <t>Indicateurs des principaux concurrents par trimestre</t>
  </si>
  <si>
    <t>S2</t>
  </si>
  <si>
    <t>Prêts Personnels (en MDH)</t>
  </si>
  <si>
    <t>Créances en souffrance</t>
  </si>
  <si>
    <t>Encours Bruts</t>
  </si>
  <si>
    <t>Vehicules (en Nbre)</t>
  </si>
  <si>
    <t>Prêts personnels (en Nbre)</t>
  </si>
  <si>
    <t>Equipement domestique (en Nbre)</t>
  </si>
  <si>
    <t>Revolving (en Nbre)</t>
  </si>
  <si>
    <t>Global (en Nbre)</t>
  </si>
  <si>
    <t>Auto Classiques (En Nbre)</t>
  </si>
  <si>
    <t>LOA (En Nbre)</t>
  </si>
  <si>
    <t>Fonctionnaires (En Nbre)</t>
  </si>
  <si>
    <t>Retraités (En Nbre)</t>
  </si>
  <si>
    <t>Conventions (En Nbre)</t>
  </si>
  <si>
    <t>Bancaires (En Nbre)</t>
  </si>
  <si>
    <t>Equipement domestique (En Nbre)</t>
  </si>
  <si>
    <t>Revolving (En Nbre)</t>
  </si>
  <si>
    <t>Global (En Nbre)</t>
  </si>
  <si>
    <t>APSF - Section Crédit à la consommation</t>
  </si>
  <si>
    <t>STATISTIQUES D'ACTIVITE A FIN MARS 2023</t>
  </si>
  <si>
    <t>PRODUCTION NETTE</t>
  </si>
  <si>
    <t xml:space="preserve">Montants en MAD et </t>
  </si>
  <si>
    <t>Montants</t>
  </si>
  <si>
    <t>Dossiers</t>
  </si>
  <si>
    <t>Variations</t>
  </si>
  <si>
    <t xml:space="preserve">Dossiers en nombre                                                                                           </t>
  </si>
  <si>
    <t xml:space="preserve"> </t>
  </si>
  <si>
    <t>MAD</t>
  </si>
  <si>
    <t>%</t>
  </si>
  <si>
    <t>Unités</t>
  </si>
  <si>
    <t>PRÊTS AFFECTÉS  :</t>
  </si>
  <si>
    <t xml:space="preserve">. Véhicules  </t>
  </si>
  <si>
    <t xml:space="preserve">    Crédit classique  </t>
  </si>
  <si>
    <t xml:space="preserve">    LOA </t>
  </si>
  <si>
    <t xml:space="preserve">Prix du véhicule HT </t>
  </si>
  <si>
    <t>Premier Loyer Majoré (PLM) HT</t>
  </si>
  <si>
    <t xml:space="preserve">Dépôt de garantie </t>
  </si>
  <si>
    <t xml:space="preserve"> MOURABAHA </t>
  </si>
  <si>
    <t xml:space="preserve">. Equipement domestique </t>
  </si>
  <si>
    <t xml:space="preserve">. Autres (préciser) </t>
  </si>
  <si>
    <t>Total Prêts affectés (1)</t>
  </si>
  <si>
    <t>PRÊTS NON AFFECTÉS  :</t>
  </si>
  <si>
    <t>. Prêts personnels</t>
  </si>
  <si>
    <t xml:space="preserve">       . CNT </t>
  </si>
  <si>
    <t xml:space="preserve">       . CMR</t>
  </si>
  <si>
    <t xml:space="preserve">       . Conventions privées</t>
  </si>
  <si>
    <t xml:space="preserve">       . OP Bancaire</t>
  </si>
  <si>
    <t>. Revolving</t>
  </si>
  <si>
    <t>Total Prêts non affectés (2)</t>
  </si>
  <si>
    <t>TOTAL = (1)+(2)</t>
  </si>
  <si>
    <t xml:space="preserve">ENCOURS SAIN </t>
  </si>
  <si>
    <t xml:space="preserve">Montants en MAD et dossiers en unités </t>
  </si>
  <si>
    <t>. Véhicules</t>
  </si>
  <si>
    <t xml:space="preserve">    Crédit classique</t>
  </si>
  <si>
    <t xml:space="preserve">       Dont Dépôt de Garantie</t>
  </si>
  <si>
    <t xml:space="preserve">    MOURABAH</t>
  </si>
  <si>
    <t>. Equipement domestique</t>
  </si>
  <si>
    <t>. Autres (préciser)</t>
  </si>
  <si>
    <t xml:space="preserve">       . Conventions</t>
  </si>
  <si>
    <t xml:space="preserve">ENCOURS BRUT </t>
  </si>
  <si>
    <t xml:space="preserve">    MOURABAHA</t>
  </si>
  <si>
    <t xml:space="preserve">       .CMR</t>
  </si>
  <si>
    <t xml:space="preserve">ENCOURS DES CREANCES EN SOUFFRANCE </t>
  </si>
  <si>
    <t>STATISTIQUES D'ACTIVITE A FIN MARS 2026</t>
  </si>
  <si>
    <t>2026</t>
  </si>
  <si>
    <t>2025</t>
  </si>
  <si>
    <t>2024</t>
  </si>
  <si>
    <t>STATISTIQUES D'ACTIVITE A FIN JUIN 2024</t>
  </si>
  <si>
    <t>STATISTIQUES D'ACTIVITE A FIN MARS 2025</t>
  </si>
  <si>
    <t>,</t>
  </si>
  <si>
    <t>MoEtaEts</t>
  </si>
  <si>
    <t>STATISTIQUES D'ACTIVITE A FIN DÉCEMBRE 2024</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</si>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</sst>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 _D_H_-;\-* #,##0.00\ _D_H_-;_-* &quot;-&quot;??\ _D_H_-;_-@_-"/>
    <numFmt numFmtId="165" formatCode="_-* #,##0.00\ _€_-;\-* #,##0.00\ _€_-;_-* &quot;-&quot;??\ _€_-;_-@_-"/>
    <numFmt numFmtId="166" formatCode="_-* #,##0\ _F_-;\-* #,##0\ _F_-;_-* &quot;-&quot;??\ _F_-;_-@_-"/>
    <numFmt numFmtId="167" formatCode="_-* #,##0\ _ _-;\-* #,##0\ _ _-;_-* &quot;-&quot;??\ _ _-;_-@_-"/>
    <numFmt numFmtId="168" formatCode="#,##0_ ;\-#,##0\ "/>
    <numFmt numFmtId="169" formatCode="0.0%"/>
    <numFmt numFmtId="170" formatCode="#,##0,"/>
    <numFmt numFmtId="171" formatCode="#,##0.00000"/>
    <numFmt numFmtId="172" formatCode="&quot;Indicateurs des principaux concurents à fin &quot;[$-40C]mmm\-yyyy;@"/>
    <numFmt numFmtId="173" formatCode="[$-40C]mmm\-yy;@"/>
    <numFmt numFmtId="174" formatCode="#,##0.0&quot; Pts&quot;"/>
    <numFmt numFmtId="175" formatCode="#,##0.0"/>
    <numFmt numFmtId="176" formatCode="&quot;Part de marché &quot;mmm\-yy"/>
    <numFmt numFmtId="177" formatCode="mmm\-yy&quot;*&quot;"/>
    <numFmt numFmtId="178" formatCode="_-* #,##0\ _D_H_-;\-* #,##0\ _D_H_-;_-* &quot;-&quot;??\ _D_H_-;_-@_-"/>
  </numFmts>
  <fonts count="95" x14ac:knownFonts="1">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b/>
      <sz val="9"/>
      <name val="Arial"/>
      <family val="2"/>
    </font>
    <font>
      <sz val="9"/>
      <name val="Arial"/>
      <family val="2"/>
    </font>
    <font>
      <b/>
      <sz val="9"/>
      <color indexed="10"/>
      <name val="Arial"/>
      <family val="2"/>
    </font>
    <font>
      <b/>
      <sz val="9"/>
      <color indexed="10"/>
      <name val="Verdana"/>
      <family val="2"/>
    </font>
    <font>
      <b/>
      <sz val="9"/>
      <name val="Verdana"/>
      <family val="2"/>
    </font>
    <font>
      <sz val="9"/>
      <color indexed="10"/>
      <name val="Verdana"/>
      <family val="2"/>
    </font>
    <font>
      <sz val="9"/>
      <color indexed="10"/>
      <name val="Arial"/>
      <family val="2"/>
    </font>
    <font>
      <sz val="14"/>
      <name val="Arial"/>
      <family val="2"/>
    </font>
    <font>
      <sz val="10"/>
      <name val="Arial"/>
      <family val="2"/>
    </font>
    <font>
      <sz val="10"/>
      <name val="Times New Roman"/>
      <family val="1"/>
    </font>
    <font>
      <sz val="10"/>
      <name val="Arial"/>
      <family val="2"/>
    </font>
    <font>
      <sz val="14"/>
      <color theme="1"/>
      <name val="Calibri"/>
      <family val="2"/>
      <scheme val="minor"/>
    </font>
    <font>
      <sz val="10"/>
      <color rgb="FFFF0000"/>
      <name val="Arial"/>
      <family val="2"/>
    </font>
    <font>
      <b/>
      <u val="double"/>
      <sz val="36"/>
      <color theme="3" tint="0.39994506668294322"/>
      <name val="Times New Roman"/>
      <family val="1"/>
    </font>
    <font>
      <b/>
      <sz val="22"/>
      <color theme="0"/>
      <name val="Times New Roman"/>
      <family val="1"/>
    </font>
    <font>
      <b/>
      <sz val="20"/>
      <color theme="3" tint="0.39997558519241921"/>
      <name val="Times New Roman"/>
      <family val="1"/>
    </font>
    <font>
      <sz val="20"/>
      <name val="Arial"/>
      <family val="2"/>
    </font>
    <font>
      <b/>
      <sz val="16"/>
      <color theme="3" tint="0.39997558519241921"/>
      <name val="Times New Roman"/>
      <family val="1"/>
    </font>
    <font>
      <sz val="14"/>
      <name val="Times New Roman"/>
      <family val="1"/>
    </font>
    <font>
      <sz val="18"/>
      <name val="Times New Roman"/>
      <family val="1"/>
    </font>
    <font>
      <sz val="18"/>
      <name val="Arial"/>
      <family val="2"/>
    </font>
    <font>
      <sz val="18"/>
      <color theme="1"/>
      <name val="Calibri"/>
      <family val="2"/>
      <scheme val="minor"/>
    </font>
    <font>
      <b/>
      <sz val="18"/>
      <color rgb="FF0070C0"/>
      <name val="Times New Roman"/>
      <family val="1"/>
    </font>
    <font>
      <b/>
      <sz val="18"/>
      <color rgb="FF0070C0"/>
      <name val="Calibri"/>
      <family val="2"/>
      <scheme val="minor"/>
    </font>
    <font>
      <b/>
      <sz val="14"/>
      <color rgb="FF0070C0"/>
      <name val="Times New Roman"/>
      <family val="1"/>
    </font>
    <font>
      <b/>
      <sz val="14"/>
      <color rgb="FF0070C0"/>
      <name val="Calibri"/>
      <family val="2"/>
      <scheme val="minor"/>
    </font>
    <font>
      <b/>
      <sz val="20"/>
      <name val="Times New Roman"/>
      <family val="1"/>
    </font>
    <font>
      <b/>
      <sz val="20"/>
      <color theme="1"/>
      <name val="Calibri"/>
      <family val="2"/>
      <scheme val="minor"/>
    </font>
    <font>
      <sz val="16"/>
      <color theme="1"/>
      <name val="Calibri"/>
      <family val="2"/>
      <scheme val="minor"/>
    </font>
    <font>
      <b/>
      <sz val="16"/>
      <color rgb="FF0070C0"/>
      <name val="Calibri"/>
      <family val="2"/>
      <scheme val="minor"/>
    </font>
    <font>
      <b/>
      <sz val="18"/>
      <color rgb="FF0070C0"/>
      <name val="Arial"/>
      <family val="2"/>
    </font>
    <font>
      <sz val="12"/>
      <color indexed="8"/>
      <name val="Calibri"/>
      <family val="2"/>
    </font>
    <font>
      <sz val="20"/>
      <color theme="1"/>
      <name val="Calibri"/>
      <family val="2"/>
      <scheme val="minor"/>
    </font>
    <font>
      <b/>
      <sz val="20"/>
      <color rgb="FF0070C0"/>
      <name val="Times New Roman"/>
      <family val="1"/>
    </font>
    <font>
      <b/>
      <sz val="22"/>
      <color theme="1"/>
      <name val="Calibri"/>
      <family val="2"/>
      <scheme val="minor"/>
    </font>
    <font>
      <sz val="22"/>
      <name val="Arial"/>
      <family val="2"/>
    </font>
    <font>
      <b/>
      <sz val="11"/>
      <color indexed="8"/>
      <name val="Arial"/>
      <family val="2"/>
    </font>
    <font>
      <sz val="9"/>
      <color indexed="8"/>
      <name val="Arial"/>
      <family val="2"/>
    </font>
    <font>
      <b/>
      <sz val="9"/>
      <color indexed="8"/>
      <name val="Arial"/>
      <family val="2"/>
    </font>
    <font>
      <b/>
      <sz val="9"/>
      <color indexed="9"/>
      <name val="Arial"/>
      <family val="2"/>
    </font>
    <font>
      <sz val="9"/>
      <color indexed="8"/>
      <name val="Verdana"/>
      <family val="2"/>
    </font>
    <font>
      <b/>
      <u/>
      <sz val="9"/>
      <color indexed="8"/>
      <name val="Arial"/>
      <family val="2"/>
    </font>
    <font>
      <b/>
      <sz val="9"/>
      <color indexed="11"/>
      <name val="Verdana"/>
      <family val="2"/>
    </font>
    <font>
      <i/>
      <sz val="9"/>
      <color indexed="8"/>
      <name val="Verdana"/>
      <family val="2"/>
    </font>
    <font>
      <b/>
      <sz val="9"/>
      <color indexed="8"/>
      <name val="Verdana"/>
      <family val="2"/>
    </font>
    <font>
      <b/>
      <sz val="9"/>
      <color indexed="11"/>
      <name val="Arial"/>
      <family val="2"/>
    </font>
    <font>
      <sz val="9"/>
      <color indexed="11"/>
      <name val="Verdana"/>
      <family val="2"/>
    </font>
    <font>
      <sz val="9"/>
      <color indexed="8"/>
      <name val="Calibri"/>
      <family val="2"/>
    </font>
    <font>
      <sz val="12"/>
      <name val="Arial"/>
      <family val="2"/>
    </font>
    <font>
      <sz val="11"/>
      <name val="Arial"/>
      <family val="2"/>
    </font>
    <font>
      <b/>
      <sz val="10"/>
      <name val="Arial"/>
      <family val="2"/>
    </font>
    <font>
      <b/>
      <sz val="20"/>
      <name val="Arial"/>
      <family val="2"/>
    </font>
    <font>
      <b/>
      <sz val="14"/>
      <name val="Times New Roman"/>
      <family val="1"/>
    </font>
    <font>
      <b/>
      <sz val="18"/>
      <name val="Times New Roman"/>
      <family val="1"/>
    </font>
    <font>
      <b/>
      <sz val="18"/>
      <name val="Arial"/>
      <family val="2"/>
    </font>
    <font>
      <b/>
      <sz val="18"/>
      <color theme="1"/>
      <name val="Calibri"/>
      <family val="2"/>
      <scheme val="minor"/>
    </font>
    <font>
      <b/>
      <sz val="14"/>
      <name val="Arial"/>
      <family val="2"/>
    </font>
    <font>
      <b/>
      <sz val="14"/>
      <color theme="1"/>
      <name val="Calibri"/>
      <family val="2"/>
      <scheme val="minor"/>
    </font>
    <font>
      <sz val="12"/>
      <color theme="1"/>
      <name val="Calibri"/>
      <family val="2"/>
      <scheme val="minor"/>
    </font>
    <font>
      <b/>
      <sz val="18"/>
      <name val="Calibri"/>
      <family val="2"/>
      <scheme val="minor"/>
    </font>
    <font>
      <b/>
      <sz val="14"/>
      <name val="Calibri"/>
      <family val="2"/>
      <scheme val="minor"/>
    </font>
    <font>
      <b/>
      <sz val="18"/>
      <color theme="1"/>
      <name val="Times New Roman"/>
      <family val="1"/>
    </font>
    <font>
      <b/>
      <sz val="20"/>
      <name val="Calibri"/>
      <family val="2"/>
      <scheme val="minor"/>
    </font>
    <font>
      <sz val="18"/>
      <name val="Calibri"/>
      <family val="2"/>
      <scheme val="minor"/>
    </font>
    <font>
      <sz val="14"/>
      <name val="Calibri"/>
      <family val="2"/>
      <scheme val="minor"/>
    </font>
    <font>
      <sz val="20"/>
      <name val="Calibri"/>
      <family val="2"/>
      <scheme val="minor"/>
    </font>
    <font>
      <sz val="20"/>
      <name val="Times New Roman"/>
      <family val="1"/>
    </font>
    <font>
      <b/>
      <sz val="14"/>
      <color theme="1"/>
      <name val="Times New Roman"/>
      <family val="1"/>
    </font>
    <font>
      <sz val="12"/>
      <color rgb="FFFF0000"/>
      <name val="Arial"/>
      <family val="2"/>
    </font>
    <font>
      <sz val="12"/>
      <color indexed="8"/>
      <name val="Calibri"/>
      <family val="2"/>
    </font>
    <font>
      <sz val="14"/>
      <color rgb="FFFF0000"/>
      <name val="Calibri"/>
      <family val="2"/>
      <scheme val="minor"/>
    </font>
    <font>
      <sz val="12"/>
      <color indexed="8"/>
      <name val="Calibri"/>
      <family val="2"/>
    </font>
    <font>
      <b/>
      <sz val="11"/>
      <name val="Arial"/>
      <family val="2"/>
    </font>
    <font>
      <sz val="9"/>
      <name val="Verdana"/>
      <family val="2"/>
    </font>
    <font>
      <i/>
      <sz val="9"/>
      <name val="Verdana"/>
      <family val="2"/>
    </font>
    <font>
      <sz val="9"/>
      <name val="Calibri"/>
      <family val="2"/>
    </font>
    <font>
      <sz val="10"/>
      <name val="Arial"/>
      <family val="2"/>
    </font>
    <font>
      <sz val="18"/>
      <color rgb="FFFF0000"/>
      <name val="Times New Roman"/>
      <family val="1"/>
    </font>
    <font>
      <sz val="8"/>
      <name val="Arial"/>
      <family val="2"/>
    </font>
    <font>
      <b/>
      <sz val="22"/>
      <color rgb="FFFFC000"/>
      <name val="Times New Roman"/>
      <family val="1"/>
    </font>
    <font>
      <b/>
      <sz val="10"/>
      <color theme="4" tint="-0.499984740745262"/>
      <name val="Arial"/>
      <family val="2"/>
    </font>
    <font>
      <sz val="10"/>
      <name val="Verdana"/>
      <family val="2"/>
    </font>
    <font>
      <b/>
      <sz val="9"/>
      <color indexed="12"/>
      <name val="Verdana"/>
      <family val="2"/>
    </font>
    <font>
      <b/>
      <sz val="9"/>
      <color indexed="12"/>
      <name val="Arial"/>
      <family val="2"/>
    </font>
    <font>
      <sz val="9"/>
      <color theme="1"/>
      <name val="Calibri"/>
      <family val="2"/>
      <scheme val="minor"/>
    </font>
    <font>
      <b/>
      <u/>
      <sz val="9"/>
      <name val="Arial"/>
      <family val="2"/>
    </font>
    <font>
      <sz val="9"/>
      <color indexed="8"/>
      <name val="Arial"/>
    </font>
    <font>
      <b/>
      <sz val="9"/>
      <color indexed="9"/>
      <name val="Arial"/>
    </font>
    <font>
      <sz val="9"/>
      <color indexed="8"/>
      <name val="Calibri"/>
    </font>
  </fonts>
  <fills count="5">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rgb="FFFFFF00"/>
        <bgColor indexed="64"/>
      </patternFill>
    </fill>
  </fills>
  <borders count="91">
    <border>
      <left/>
      <right/>
      <top/>
      <bottom/>
      <diagonal/>
    </border>
    <border>
      <left/>
      <right/>
      <top style="medium">
        <color indexed="64"/>
      </top>
      <bottom style="medium">
        <color indexed="64"/>
      </bottom>
      <diagonal/>
    </border>
    <border>
      <left/>
      <right style="thin">
        <color indexed="64"/>
      </right>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right style="medium">
        <color indexed="8"/>
      </right>
      <top style="medium">
        <color indexed="8"/>
      </top>
      <bottom/>
      <diagonal/>
    </border>
    <border>
      <left style="medium">
        <color indexed="8"/>
      </left>
      <right/>
      <top style="medium">
        <color indexed="8"/>
      </top>
      <bottom/>
      <diagonal/>
    </border>
    <border>
      <left style="medium">
        <color indexed="8"/>
      </left>
      <right/>
      <top style="medium">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medium">
        <color indexed="8"/>
      </bottom>
      <diagonal/>
    </border>
    <border>
      <left/>
      <right style="medium">
        <color indexed="8"/>
      </right>
      <top/>
      <bottom/>
      <diagonal/>
    </border>
    <border>
      <left/>
      <right/>
      <top style="medium">
        <color indexed="8"/>
      </top>
      <bottom/>
      <diagonal/>
    </border>
    <border>
      <left style="medium">
        <color indexed="8"/>
      </left>
      <right/>
      <top/>
      <bottom/>
      <diagonal/>
    </border>
    <border>
      <left/>
      <right/>
      <top/>
      <bottom style="medium">
        <color indexed="8"/>
      </bottom>
      <diagonal/>
    </border>
    <border>
      <left style="medium">
        <color indexed="8"/>
      </left>
      <right/>
      <top/>
      <bottom style="medium">
        <color indexed="8"/>
      </bottom>
      <diagonal/>
    </border>
    <border>
      <left style="thin">
        <color indexed="64"/>
      </left>
      <right style="thin">
        <color indexed="64"/>
      </right>
      <top/>
      <bottom/>
      <diagonal/>
    </border>
    <border>
      <left style="thin">
        <color indexed="64"/>
      </left>
      <right/>
      <top/>
      <bottom/>
      <diagonal/>
    </border>
    <border>
      <left style="medium">
        <color indexed="8"/>
      </left>
      <right/>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indexed="8"/>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rgb="FF000000"/>
      </right>
      <top style="medium">
        <color auto="1"/>
      </top>
      <bottom/>
      <diagonal/>
    </border>
    <border>
      <left style="medium">
        <color rgb="FF000000"/>
      </left>
      <right style="medium">
        <color auto="1"/>
      </right>
      <top style="medium">
        <color auto="1"/>
      </top>
      <bottom/>
      <diagonal/>
    </border>
    <border>
      <left style="medium">
        <color auto="1"/>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medium">
        <color auto="1"/>
      </right>
      <top/>
      <bottom style="medium">
        <color auto="1"/>
      </bottom>
      <diagonal/>
    </border>
    <border>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style="medium">
        <color auto="1"/>
      </top>
      <bottom style="thin">
        <color auto="1"/>
      </bottom>
      <diagonal/>
    </border>
    <border>
      <left/>
      <right style="medium">
        <color indexed="8"/>
      </right>
      <top/>
      <bottom style="thin">
        <color indexed="8"/>
      </bottom>
      <diagonal/>
    </border>
    <border>
      <left style="medium">
        <color indexed="8"/>
      </left>
      <right style="medium">
        <color indexed="8"/>
      </right>
      <top/>
      <bottom style="thin">
        <color indexed="8"/>
      </bottom>
      <diagonal/>
    </border>
    <border>
      <left/>
      <right/>
      <top/>
      <bottom style="thin">
        <color indexed="64"/>
      </bottom>
      <diagonal/>
    </border>
    <border>
      <left/>
      <right style="medium">
        <color indexed="8"/>
      </right>
      <top/>
      <bottom style="thin">
        <color indexed="64"/>
      </bottom>
      <diagonal/>
    </border>
    <border>
      <left style="medium">
        <color indexed="8"/>
      </left>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8"/>
      </left>
      <right style="medium">
        <color indexed="8"/>
      </right>
      <top style="thin">
        <color indexed="8"/>
      </top>
      <bottom/>
      <diagonal/>
    </border>
    <border>
      <left/>
      <right style="medium">
        <color indexed="8"/>
      </right>
      <top style="thin">
        <color indexed="8"/>
      </top>
      <bottom style="thin">
        <color indexed="8"/>
      </bottom>
      <diagonal/>
    </border>
    <border>
      <left style="medium">
        <color indexed="8"/>
      </left>
      <right/>
      <top style="thin">
        <color indexed="8"/>
      </top>
      <bottom/>
      <diagonal/>
    </border>
    <border>
      <left style="medium">
        <color indexed="8"/>
      </left>
      <right style="medium">
        <color indexed="8"/>
      </right>
      <top style="thin">
        <color indexed="8"/>
      </top>
      <bottom style="medium">
        <color indexed="8"/>
      </bottom>
      <diagonal/>
    </border>
    <border>
      <left/>
      <right style="medium">
        <color indexed="8"/>
      </right>
      <top style="thin">
        <color indexed="8"/>
      </top>
      <bottom style="medium">
        <color indexed="8"/>
      </bottom>
      <diagonal/>
    </border>
    <border>
      <left style="medium">
        <color indexed="64"/>
      </left>
      <right style="medium">
        <color indexed="64"/>
      </right>
      <top style="thin">
        <color indexed="64"/>
      </top>
      <bottom style="thin">
        <color indexed="8"/>
      </bottom>
      <diagonal/>
    </border>
    <border>
      <left/>
      <right style="medium">
        <color indexed="8"/>
      </right>
      <top style="thin">
        <color indexed="8"/>
      </top>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64"/>
      </bottom>
      <diagonal/>
    </border>
    <border>
      <left style="medium">
        <color indexed="8"/>
      </left>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thin">
        <color indexed="8"/>
      </top>
      <bottom style="thin">
        <color indexed="8"/>
      </bottom>
      <diagonal/>
    </border>
    <border>
      <left/>
      <right style="medium">
        <color indexed="8"/>
      </right>
      <top style="thin">
        <color indexed="8"/>
      </top>
      <bottom style="medium">
        <color indexed="8"/>
      </bottom>
      <diagonal/>
    </border>
    <border>
      <left/>
      <right style="medium">
        <color indexed="8"/>
      </right>
      <top style="thin">
        <color indexed="8"/>
      </top>
      <bottom/>
      <diagonal/>
    </border>
    <border>
      <left/>
      <right/>
      <top style="thin">
        <color indexed="8"/>
      </top>
      <bottom style="thin">
        <color indexed="8"/>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top/>
      <bottom style="thin">
        <color auto="1"/>
      </bottom>
      <diagonal/>
    </border>
    <border>
      <left style="medium">
        <color indexed="8"/>
      </left>
      <right/>
      <top/>
      <bottom style="thin">
        <color indexed="8"/>
      </bottom>
      <diagonal/>
    </border>
    <border>
      <left style="medium">
        <color indexed="8"/>
      </left>
      <right style="medium">
        <color indexed="8"/>
      </right>
      <top/>
      <bottom style="thin">
        <color indexed="8"/>
      </bottom>
      <diagonal/>
    </border>
    <border>
      <left/>
      <right style="medium">
        <color indexed="8"/>
      </right>
      <top/>
      <bottom style="thin">
        <color indexed="8"/>
      </bottom>
      <diagonal/>
    </border>
    <border>
      <left style="medium">
        <color auto="1"/>
      </left>
      <right/>
      <top style="thin">
        <color auto="1"/>
      </top>
      <bottom style="medium">
        <color auto="1"/>
      </bottom>
      <diagonal/>
    </border>
    <border>
      <left/>
      <right style="medium">
        <color auto="1"/>
      </right>
      <top style="thin">
        <color auto="1"/>
      </top>
      <bottom style="thin">
        <color auto="1"/>
      </bottom>
      <diagonal/>
    </border>
    <border>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style="medium">
        <color auto="1"/>
      </bottom>
      <diagonal/>
    </border>
    <border>
      <left/>
      <right/>
      <top/>
      <bottom style="thin">
        <color indexed="64"/>
      </bottom>
      <diagonal/>
    </border>
    <border>
      <left/>
      <right style="medium">
        <color indexed="8"/>
      </right>
      <top/>
      <bottom style="thin">
        <color indexed="64"/>
      </bottom>
      <diagonal/>
    </border>
  </borders>
  <cellStyleXfs count="32">
    <xf numFmtId="0" fontId="0" fillId="0" borderId="0"/>
    <xf numFmtId="165" fontId="5" fillId="0" borderId="0" applyFont="0" applyFill="0" applyBorder="0" applyAlignment="0" applyProtection="0"/>
    <xf numFmtId="165" fontId="4" fillId="0" borderId="0" applyFont="0" applyFill="0" applyBorder="0" applyAlignment="0" applyProtection="0"/>
    <xf numFmtId="165" fontId="16" fillId="0" borderId="0" applyFont="0" applyFill="0" applyBorder="0" applyAlignment="0" applyProtection="0"/>
    <xf numFmtId="0" fontId="4" fillId="0" borderId="0" applyFont="0" applyFill="0" applyBorder="0" applyAlignment="0" applyProtection="0"/>
    <xf numFmtId="165" fontId="5" fillId="0" borderId="0" applyFont="0" applyFill="0" applyBorder="0" applyAlignment="0" applyProtection="0"/>
    <xf numFmtId="165" fontId="4" fillId="0" borderId="0" applyFont="0" applyFill="0" applyBorder="0" applyAlignment="0" applyProtection="0"/>
    <xf numFmtId="0" fontId="5" fillId="0" borderId="0"/>
    <xf numFmtId="0" fontId="4" fillId="0" borderId="0"/>
    <xf numFmtId="0" fontId="15" fillId="0" borderId="0"/>
    <xf numFmtId="0" fontId="4" fillId="0" borderId="0"/>
    <xf numFmtId="9" fontId="3"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0" fontId="3" fillId="0" borderId="0"/>
    <xf numFmtId="9" fontId="3" fillId="0" borderId="0" applyFont="0" applyFill="0" applyBorder="0" applyAlignment="0" applyProtection="0"/>
    <xf numFmtId="165" fontId="3" fillId="0" borderId="0" applyFont="0" applyFill="0" applyBorder="0" applyAlignment="0" applyProtection="0"/>
    <xf numFmtId="0" fontId="37" fillId="0" borderId="0" applyFill="0" applyProtection="0"/>
    <xf numFmtId="0" fontId="2" fillId="0" borderId="0"/>
    <xf numFmtId="165" fontId="3" fillId="0" borderId="0" applyFont="0" applyFill="0" applyBorder="0" applyAlignment="0" applyProtection="0"/>
    <xf numFmtId="0"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 fillId="0" borderId="0"/>
    <xf numFmtId="9" fontId="3" fillId="0" borderId="0" applyFont="0" applyFill="0" applyBorder="0" applyAlignment="0" applyProtection="0"/>
    <xf numFmtId="0" fontId="1" fillId="0" borderId="0"/>
    <xf numFmtId="0" fontId="75" fillId="0" borderId="0" applyFill="0" applyProtection="0"/>
    <xf numFmtId="0" fontId="77" fillId="0" borderId="0" applyFill="0" applyProtection="0"/>
    <xf numFmtId="164" fontId="82" fillId="0" borderId="0" applyFont="0" applyFill="0" applyBorder="0" applyAlignment="0" applyProtection="0"/>
    <xf numFmtId="0" fontId="87" fillId="0" borderId="0"/>
    <xf numFmtId="0" fontId="87" fillId="0" borderId="0"/>
  </cellStyleXfs>
  <cellXfs count="854">
    <xf numFmtId="0" fontId="0" fillId="0" borderId="0" xfId="0"/>
    <xf numFmtId="172" fontId="19" fillId="2" borderId="0" xfId="15" applyNumberFormat="1" applyFont="1" applyFill="1" applyAlignment="1">
      <alignment horizontal="centerContinuous" vertical="center"/>
    </xf>
    <xf numFmtId="0" fontId="3" fillId="0" borderId="0" xfId="15"/>
    <xf numFmtId="0" fontId="22" fillId="0" borderId="0" xfId="15" applyFont="1"/>
    <xf numFmtId="173" fontId="3" fillId="2" borderId="0" xfId="15" applyNumberFormat="1" applyFill="1" applyAlignment="1">
      <alignment horizontal="center"/>
    </xf>
    <xf numFmtId="173" fontId="24" fillId="2" borderId="0" xfId="15" applyNumberFormat="1" applyFont="1" applyFill="1" applyAlignment="1">
      <alignment horizontal="center" vertical="center"/>
    </xf>
    <xf numFmtId="173" fontId="25" fillId="2" borderId="0" xfId="15" applyNumberFormat="1" applyFont="1" applyFill="1" applyAlignment="1">
      <alignment horizontal="left" indent="1"/>
    </xf>
    <xf numFmtId="173" fontId="26" fillId="2" borderId="0" xfId="15" applyNumberFormat="1" applyFont="1" applyFill="1"/>
    <xf numFmtId="170" fontId="27" fillId="2" borderId="0" xfId="15" applyNumberFormat="1" applyFont="1" applyFill="1"/>
    <xf numFmtId="169" fontId="27" fillId="2" borderId="0" xfId="15" applyNumberFormat="1" applyFont="1" applyFill="1"/>
    <xf numFmtId="0" fontId="26" fillId="0" borderId="0" xfId="15" applyFont="1"/>
    <xf numFmtId="173" fontId="24" fillId="2" borderId="0" xfId="15" applyNumberFormat="1" applyFont="1" applyFill="1" applyAlignment="1">
      <alignment horizontal="left" indent="3"/>
    </xf>
    <xf numFmtId="173" fontId="13" fillId="2" borderId="0" xfId="15" applyNumberFormat="1" applyFont="1" applyFill="1"/>
    <xf numFmtId="10" fontId="17" fillId="2" borderId="0" xfId="16" applyNumberFormat="1" applyFont="1" applyFill="1" applyBorder="1"/>
    <xf numFmtId="174" fontId="17" fillId="2" borderId="0" xfId="16" applyNumberFormat="1" applyFont="1" applyFill="1" applyBorder="1"/>
    <xf numFmtId="0" fontId="13" fillId="0" borderId="0" xfId="15" applyFont="1"/>
    <xf numFmtId="173" fontId="28" fillId="2" borderId="0" xfId="15" applyNumberFormat="1" applyFont="1" applyFill="1" applyAlignment="1">
      <alignment horizontal="left" indent="1"/>
    </xf>
    <xf numFmtId="170" fontId="28" fillId="2" borderId="0" xfId="17" applyNumberFormat="1" applyFont="1" applyFill="1" applyBorder="1" applyAlignment="1">
      <alignment horizontal="right"/>
    </xf>
    <xf numFmtId="169" fontId="28" fillId="2" borderId="0" xfId="17" applyNumberFormat="1" applyFont="1" applyFill="1" applyBorder="1" applyAlignment="1">
      <alignment horizontal="right"/>
    </xf>
    <xf numFmtId="173" fontId="30" fillId="2" borderId="0" xfId="15" applyNumberFormat="1" applyFont="1" applyFill="1" applyAlignment="1">
      <alignment horizontal="left" indent="3"/>
    </xf>
    <xf numFmtId="173" fontId="31" fillId="2" borderId="0" xfId="15" applyNumberFormat="1" applyFont="1" applyFill="1"/>
    <xf numFmtId="10" fontId="31" fillId="2" borderId="0" xfId="16" applyNumberFormat="1" applyFont="1" applyFill="1" applyBorder="1"/>
    <xf numFmtId="174" fontId="31" fillId="2" borderId="0" xfId="16" applyNumberFormat="1" applyFont="1" applyFill="1" applyBorder="1"/>
    <xf numFmtId="173" fontId="32" fillId="2" borderId="1" xfId="15" applyNumberFormat="1" applyFont="1" applyFill="1" applyBorder="1"/>
    <xf numFmtId="170" fontId="33" fillId="2" borderId="1" xfId="15" applyNumberFormat="1" applyFont="1" applyFill="1" applyBorder="1"/>
    <xf numFmtId="169" fontId="33" fillId="2" borderId="1" xfId="15" applyNumberFormat="1" applyFont="1" applyFill="1" applyBorder="1"/>
    <xf numFmtId="170" fontId="3" fillId="0" borderId="0" xfId="15" applyNumberFormat="1"/>
    <xf numFmtId="10" fontId="0" fillId="0" borderId="0" xfId="16" applyNumberFormat="1" applyFont="1"/>
    <xf numFmtId="10" fontId="3" fillId="0" borderId="0" xfId="15" applyNumberFormat="1"/>
    <xf numFmtId="3" fontId="3" fillId="0" borderId="0" xfId="15" applyNumberFormat="1"/>
    <xf numFmtId="174" fontId="27" fillId="2" borderId="0" xfId="15" applyNumberFormat="1" applyFont="1" applyFill="1"/>
    <xf numFmtId="169" fontId="28" fillId="2" borderId="0" xfId="16" applyNumberFormat="1" applyFont="1" applyFill="1" applyBorder="1" applyAlignment="1">
      <alignment horizontal="right"/>
    </xf>
    <xf numFmtId="174" fontId="28" fillId="2" borderId="0" xfId="17" applyNumberFormat="1" applyFont="1" applyFill="1" applyBorder="1" applyAlignment="1">
      <alignment horizontal="right"/>
    </xf>
    <xf numFmtId="169" fontId="33" fillId="2" borderId="1" xfId="16" applyNumberFormat="1" applyFont="1" applyFill="1" applyBorder="1"/>
    <xf numFmtId="174" fontId="33" fillId="2" borderId="1" xfId="15" applyNumberFormat="1" applyFont="1" applyFill="1" applyBorder="1"/>
    <xf numFmtId="3" fontId="18" fillId="0" borderId="0" xfId="15" applyNumberFormat="1" applyFont="1"/>
    <xf numFmtId="3" fontId="18" fillId="0" borderId="0" xfId="15" applyNumberFormat="1" applyFont="1" applyAlignment="1">
      <alignment horizontal="centerContinuous"/>
    </xf>
    <xf numFmtId="173" fontId="29" fillId="2" borderId="0" xfId="15" applyNumberFormat="1" applyFont="1" applyFill="1"/>
    <xf numFmtId="173" fontId="33" fillId="2" borderId="1" xfId="15" applyNumberFormat="1" applyFont="1" applyFill="1" applyBorder="1"/>
    <xf numFmtId="10" fontId="27" fillId="2" borderId="0" xfId="11" applyNumberFormat="1" applyFont="1" applyFill="1" applyBorder="1"/>
    <xf numFmtId="174" fontId="34" fillId="2" borderId="0" xfId="16" applyNumberFormat="1" applyFont="1" applyFill="1" applyBorder="1"/>
    <xf numFmtId="10" fontId="29" fillId="2" borderId="0" xfId="11" applyNumberFormat="1" applyFont="1" applyFill="1" applyBorder="1"/>
    <xf numFmtId="174" fontId="35" fillId="2" borderId="0" xfId="16" applyNumberFormat="1" applyFont="1" applyFill="1" applyBorder="1"/>
    <xf numFmtId="0" fontId="36" fillId="0" borderId="0" xfId="15" applyFont="1"/>
    <xf numFmtId="170" fontId="29" fillId="2" borderId="0" xfId="15" applyNumberFormat="1" applyFont="1" applyFill="1"/>
    <xf numFmtId="169" fontId="29" fillId="2" borderId="0" xfId="15" applyNumberFormat="1" applyFont="1" applyFill="1"/>
    <xf numFmtId="10" fontId="33" fillId="2" borderId="1" xfId="11" applyNumberFormat="1" applyFont="1" applyFill="1" applyBorder="1"/>
    <xf numFmtId="174" fontId="33" fillId="2" borderId="1" xfId="16" applyNumberFormat="1" applyFont="1" applyFill="1" applyBorder="1"/>
    <xf numFmtId="170" fontId="38" fillId="2" borderId="0" xfId="15" applyNumberFormat="1" applyFont="1" applyFill="1"/>
    <xf numFmtId="169" fontId="38" fillId="2" borderId="0" xfId="15" applyNumberFormat="1" applyFont="1" applyFill="1"/>
    <xf numFmtId="170" fontId="39" fillId="2" borderId="0" xfId="17" applyNumberFormat="1" applyFont="1" applyFill="1" applyBorder="1" applyAlignment="1">
      <alignment horizontal="right"/>
    </xf>
    <xf numFmtId="169" fontId="39" fillId="2" borderId="0" xfId="17" applyNumberFormat="1" applyFont="1" applyFill="1" applyBorder="1" applyAlignment="1">
      <alignment horizontal="right"/>
    </xf>
    <xf numFmtId="173" fontId="40" fillId="2" borderId="1" xfId="15" applyNumberFormat="1" applyFont="1" applyFill="1" applyBorder="1"/>
    <xf numFmtId="170" fontId="40" fillId="2" borderId="1" xfId="15" applyNumberFormat="1" applyFont="1" applyFill="1" applyBorder="1"/>
    <xf numFmtId="169" fontId="40" fillId="2" borderId="1" xfId="15" applyNumberFormat="1" applyFont="1" applyFill="1" applyBorder="1"/>
    <xf numFmtId="0" fontId="41" fillId="0" borderId="0" xfId="15" applyFont="1"/>
    <xf numFmtId="0" fontId="3" fillId="0" borderId="0" xfId="15" applyAlignment="1">
      <alignment vertical="center"/>
    </xf>
    <xf numFmtId="170" fontId="3" fillId="0" borderId="0" xfId="15" applyNumberFormat="1" applyAlignment="1">
      <alignment vertical="center"/>
    </xf>
    <xf numFmtId="169" fontId="3" fillId="0" borderId="0" xfId="15" applyNumberFormat="1" applyAlignment="1">
      <alignment vertical="center"/>
    </xf>
    <xf numFmtId="173" fontId="33" fillId="2" borderId="1" xfId="15" applyNumberFormat="1" applyFont="1" applyFill="1" applyBorder="1" applyAlignment="1">
      <alignment vertical="center"/>
    </xf>
    <xf numFmtId="170" fontId="33" fillId="2" borderId="1" xfId="15" applyNumberFormat="1" applyFont="1" applyFill="1" applyBorder="1" applyAlignment="1">
      <alignment vertical="center"/>
    </xf>
    <xf numFmtId="169" fontId="33" fillId="2" borderId="1" xfId="15" applyNumberFormat="1" applyFont="1" applyFill="1" applyBorder="1" applyAlignment="1">
      <alignment vertical="center"/>
    </xf>
    <xf numFmtId="10" fontId="0" fillId="0" borderId="0" xfId="16" applyNumberFormat="1" applyFont="1" applyAlignment="1">
      <alignment vertical="center"/>
    </xf>
    <xf numFmtId="10" fontId="3" fillId="0" borderId="0" xfId="15" applyNumberFormat="1" applyAlignment="1">
      <alignment vertical="center"/>
    </xf>
    <xf numFmtId="3" fontId="3" fillId="0" borderId="0" xfId="15" applyNumberFormat="1" applyAlignment="1">
      <alignment vertical="center"/>
    </xf>
    <xf numFmtId="0" fontId="42" fillId="0" borderId="0" xfId="0" applyFont="1" applyProtection="1">
      <protection locked="0"/>
    </xf>
    <xf numFmtId="0" fontId="43" fillId="0" borderId="0" xfId="0" applyFont="1" applyProtection="1">
      <protection locked="0"/>
    </xf>
    <xf numFmtId="0" fontId="6" fillId="0" borderId="0" xfId="0" applyFont="1" applyAlignment="1" applyProtection="1">
      <alignment vertical="center"/>
      <protection locked="0"/>
    </xf>
    <xf numFmtId="3" fontId="46" fillId="0" borderId="0" xfId="0" applyNumberFormat="1" applyFont="1" applyAlignment="1" applyProtection="1">
      <alignment vertical="center"/>
      <protection locked="0"/>
    </xf>
    <xf numFmtId="0" fontId="46" fillId="0" borderId="3" xfId="0" applyFont="1" applyBorder="1" applyAlignment="1" applyProtection="1">
      <alignment horizontal="left" vertical="center"/>
      <protection locked="0"/>
    </xf>
    <xf numFmtId="0" fontId="46" fillId="0" borderId="4" xfId="0" applyFont="1" applyBorder="1" applyAlignment="1" applyProtection="1">
      <alignment horizontal="left" vertical="center"/>
      <protection locked="0"/>
    </xf>
    <xf numFmtId="0" fontId="44" fillId="0" borderId="5" xfId="0" applyFont="1" applyBorder="1" applyAlignment="1" applyProtection="1">
      <alignment horizontal="center" vertical="center"/>
      <protection locked="0"/>
    </xf>
    <xf numFmtId="0" fontId="44" fillId="0" borderId="13" xfId="0" applyFont="1" applyBorder="1" applyAlignment="1" applyProtection="1">
      <alignment vertical="center"/>
      <protection locked="0"/>
    </xf>
    <xf numFmtId="3" fontId="9" fillId="0" borderId="12" xfId="0" applyNumberFormat="1" applyFont="1" applyBorder="1" applyAlignment="1" applyProtection="1">
      <alignment horizontal="center" vertical="center"/>
      <protection locked="0"/>
    </xf>
    <xf numFmtId="3" fontId="9" fillId="0" borderId="14" xfId="0" applyNumberFormat="1" applyFont="1" applyBorder="1" applyAlignment="1" applyProtection="1">
      <alignment horizontal="center" vertical="center"/>
      <protection locked="0"/>
    </xf>
    <xf numFmtId="3" fontId="43" fillId="0" borderId="14" xfId="0" applyNumberFormat="1" applyFont="1" applyBorder="1" applyAlignment="1" applyProtection="1">
      <alignment horizontal="center" vertical="center"/>
      <protection locked="0"/>
    </xf>
    <xf numFmtId="3" fontId="48" fillId="0" borderId="14" xfId="0" applyNumberFormat="1" applyFont="1" applyBorder="1" applyAlignment="1" applyProtection="1">
      <alignment horizontal="center" vertical="center"/>
      <protection locked="0"/>
    </xf>
    <xf numFmtId="3" fontId="48" fillId="0" borderId="6" xfId="0" applyNumberFormat="1" applyFont="1" applyBorder="1" applyAlignment="1" applyProtection="1">
      <alignment horizontal="center" vertical="center"/>
      <protection locked="0"/>
    </xf>
    <xf numFmtId="3" fontId="44" fillId="0" borderId="17" xfId="0" applyNumberFormat="1" applyFont="1" applyBorder="1" applyAlignment="1">
      <alignment horizontal="center" vertical="center"/>
    </xf>
    <xf numFmtId="3" fontId="44" fillId="0" borderId="9" xfId="0" applyNumberFormat="1" applyFont="1" applyBorder="1" applyAlignment="1">
      <alignment horizontal="center" vertical="center"/>
    </xf>
    <xf numFmtId="0" fontId="50" fillId="0" borderId="3" xfId="0" applyFont="1" applyBorder="1" applyAlignment="1" applyProtection="1">
      <alignment vertical="center"/>
      <protection locked="0"/>
    </xf>
    <xf numFmtId="3" fontId="44" fillId="0" borderId="11" xfId="0" applyNumberFormat="1" applyFont="1" applyBorder="1" applyAlignment="1">
      <alignment horizontal="center" vertical="center"/>
    </xf>
    <xf numFmtId="3" fontId="44" fillId="0" borderId="3" xfId="0" applyNumberFormat="1" applyFont="1" applyBorder="1" applyAlignment="1">
      <alignment horizontal="center" vertical="center"/>
    </xf>
    <xf numFmtId="2" fontId="44" fillId="0" borderId="3" xfId="0" applyNumberFormat="1" applyFont="1" applyBorder="1" applyAlignment="1">
      <alignment horizontal="center" vertical="center"/>
    </xf>
    <xf numFmtId="0" fontId="46" fillId="0" borderId="12" xfId="0" applyFont="1" applyBorder="1" applyAlignment="1" applyProtection="1">
      <alignment vertical="center"/>
      <protection locked="0"/>
    </xf>
    <xf numFmtId="3" fontId="8" fillId="0" borderId="14" xfId="0" applyNumberFormat="1" applyFont="1" applyBorder="1" applyAlignment="1" applyProtection="1">
      <alignment horizontal="center" vertical="center"/>
      <protection locked="0"/>
    </xf>
    <xf numFmtId="3" fontId="51" fillId="0" borderId="14" xfId="0" applyNumberFormat="1" applyFont="1" applyBorder="1" applyAlignment="1">
      <alignment horizontal="center" vertical="center"/>
    </xf>
    <xf numFmtId="3" fontId="51" fillId="0" borderId="6" xfId="0" applyNumberFormat="1" applyFont="1" applyBorder="1" applyAlignment="1">
      <alignment horizontal="center" vertical="center"/>
    </xf>
    <xf numFmtId="0" fontId="46" fillId="0" borderId="7" xfId="0" applyFont="1" applyBorder="1" applyAlignment="1" applyProtection="1">
      <alignment vertical="center"/>
      <protection locked="0"/>
    </xf>
    <xf numFmtId="0" fontId="50" fillId="0" borderId="5" xfId="0" applyFont="1" applyBorder="1" applyAlignment="1" applyProtection="1">
      <alignment vertical="center"/>
      <protection locked="0"/>
    </xf>
    <xf numFmtId="3" fontId="44" fillId="0" borderId="12" xfId="0" applyNumberFormat="1" applyFont="1" applyBorder="1" applyAlignment="1">
      <alignment horizontal="center" vertical="center"/>
    </xf>
    <xf numFmtId="3" fontId="44" fillId="0" borderId="5" xfId="0" applyNumberFormat="1" applyFont="1" applyBorder="1" applyAlignment="1">
      <alignment horizontal="center" vertical="center"/>
    </xf>
    <xf numFmtId="2" fontId="44" fillId="0" borderId="5" xfId="0" applyNumberFormat="1" applyFont="1" applyBorder="1" applyAlignment="1">
      <alignment horizontal="center" vertical="center"/>
    </xf>
    <xf numFmtId="0" fontId="44" fillId="0" borderId="7" xfId="0" applyFont="1" applyBorder="1" applyAlignment="1" applyProtection="1">
      <alignment horizontal="right" vertical="center"/>
      <protection locked="0"/>
    </xf>
    <xf numFmtId="168" fontId="11" fillId="0" borderId="0" xfId="0" applyNumberFormat="1" applyFont="1" applyAlignment="1" applyProtection="1">
      <alignment horizontal="right" vertical="center" indent="1"/>
      <protection locked="0"/>
    </xf>
    <xf numFmtId="168" fontId="52" fillId="0" borderId="0" xfId="0" applyNumberFormat="1" applyFont="1" applyAlignment="1" applyProtection="1">
      <alignment horizontal="right" vertical="center" indent="1"/>
      <protection locked="0"/>
    </xf>
    <xf numFmtId="166" fontId="9" fillId="0" borderId="0" xfId="0" applyNumberFormat="1" applyFont="1" applyAlignment="1" applyProtection="1">
      <alignment horizontal="right" vertical="center" indent="1"/>
      <protection locked="0"/>
    </xf>
    <xf numFmtId="166" fontId="11" fillId="0" borderId="0" xfId="0" applyNumberFormat="1" applyFont="1" applyAlignment="1" applyProtection="1">
      <alignment vertical="center"/>
      <protection locked="0"/>
    </xf>
    <xf numFmtId="0" fontId="10" fillId="0" borderId="0" xfId="0" applyFont="1" applyAlignment="1" applyProtection="1">
      <alignment horizontal="left" vertical="center"/>
      <protection locked="0"/>
    </xf>
    <xf numFmtId="3" fontId="46" fillId="0" borderId="0" xfId="0" applyNumberFormat="1" applyFont="1" applyAlignment="1" applyProtection="1">
      <alignment horizontal="center" vertical="center"/>
      <protection locked="0"/>
    </xf>
    <xf numFmtId="0" fontId="44" fillId="0" borderId="17" xfId="0" applyFont="1" applyBorder="1" applyAlignment="1" applyProtection="1">
      <alignment horizontal="center" vertical="center"/>
      <protection locked="0"/>
    </xf>
    <xf numFmtId="0" fontId="44" fillId="0" borderId="17" xfId="0" applyFont="1" applyBorder="1" applyAlignment="1" applyProtection="1">
      <alignment vertical="center"/>
      <protection locked="0"/>
    </xf>
    <xf numFmtId="0" fontId="43" fillId="0" borderId="4" xfId="0" applyFont="1" applyBorder="1" applyAlignment="1" applyProtection="1">
      <alignment vertical="center"/>
      <protection locked="0"/>
    </xf>
    <xf numFmtId="3" fontId="44" fillId="0" borderId="8" xfId="0" applyNumberFormat="1" applyFont="1" applyBorder="1" applyAlignment="1">
      <alignment horizontal="center" vertical="center"/>
    </xf>
    <xf numFmtId="3" fontId="44" fillId="0" borderId="7" xfId="0" applyNumberFormat="1" applyFont="1" applyBorder="1" applyAlignment="1">
      <alignment horizontal="center" vertical="center"/>
    </xf>
    <xf numFmtId="2" fontId="44" fillId="0" borderId="7" xfId="0" applyNumberFormat="1" applyFont="1" applyBorder="1" applyAlignment="1">
      <alignment horizontal="center" vertical="center"/>
    </xf>
    <xf numFmtId="0" fontId="44" fillId="0" borderId="5" xfId="0" applyFont="1" applyBorder="1" applyAlignment="1" applyProtection="1">
      <alignment horizontal="right" vertical="center"/>
      <protection locked="0"/>
    </xf>
    <xf numFmtId="3" fontId="8" fillId="0" borderId="11" xfId="0" applyNumberFormat="1" applyFont="1" applyBorder="1" applyAlignment="1" applyProtection="1">
      <alignment vertical="center"/>
      <protection locked="0"/>
    </xf>
    <xf numFmtId="3" fontId="8" fillId="0" borderId="16" xfId="0" applyNumberFormat="1" applyFont="1" applyBorder="1" applyAlignment="1" applyProtection="1">
      <alignment vertical="center"/>
      <protection locked="0"/>
    </xf>
    <xf numFmtId="167" fontId="44" fillId="0" borderId="16" xfId="0" applyNumberFormat="1" applyFont="1" applyBorder="1" applyAlignment="1" applyProtection="1">
      <alignment horizontal="center" vertical="center"/>
      <protection locked="0"/>
    </xf>
    <xf numFmtId="3" fontId="8" fillId="0" borderId="16" xfId="0" applyNumberFormat="1" applyFont="1" applyBorder="1" applyAlignment="1">
      <alignment vertical="center"/>
    </xf>
    <xf numFmtId="2" fontId="8" fillId="0" borderId="16" xfId="0" applyNumberFormat="1" applyFont="1" applyBorder="1" applyAlignment="1">
      <alignment vertical="center"/>
    </xf>
    <xf numFmtId="167" fontId="44" fillId="0" borderId="16" xfId="0" applyNumberFormat="1" applyFont="1" applyBorder="1" applyAlignment="1">
      <alignment horizontal="center" vertical="center"/>
    </xf>
    <xf numFmtId="2" fontId="8" fillId="0" borderId="10" xfId="0" applyNumberFormat="1" applyFont="1" applyBorder="1" applyAlignment="1">
      <alignment vertical="center"/>
    </xf>
    <xf numFmtId="3" fontId="8" fillId="0" borderId="19" xfId="0" applyNumberFormat="1" applyFont="1" applyBorder="1" applyAlignment="1" applyProtection="1">
      <alignment vertical="center"/>
      <protection locked="0"/>
    </xf>
    <xf numFmtId="3" fontId="8" fillId="0" borderId="18" xfId="0" applyNumberFormat="1" applyFont="1" applyBorder="1" applyAlignment="1" applyProtection="1">
      <alignment vertical="center"/>
      <protection locked="0"/>
    </xf>
    <xf numFmtId="3" fontId="8" fillId="0" borderId="18" xfId="0" applyNumberFormat="1" applyFont="1" applyBorder="1" applyAlignment="1">
      <alignment vertical="center"/>
    </xf>
    <xf numFmtId="2" fontId="8" fillId="0" borderId="18" xfId="0" applyNumberFormat="1" applyFont="1" applyBorder="1" applyAlignment="1">
      <alignment vertical="center"/>
    </xf>
    <xf numFmtId="2" fontId="8" fillId="0" borderId="8" xfId="0" applyNumberFormat="1" applyFont="1" applyBorder="1" applyAlignment="1">
      <alignment vertical="center"/>
    </xf>
    <xf numFmtId="0" fontId="46" fillId="0" borderId="4" xfId="0" applyFont="1" applyBorder="1" applyAlignment="1" applyProtection="1">
      <alignment vertical="center"/>
      <protection locked="0"/>
    </xf>
    <xf numFmtId="0" fontId="46" fillId="0" borderId="4" xfId="0" applyFont="1" applyBorder="1" applyAlignment="1" applyProtection="1">
      <alignment horizontal="left" vertical="center" wrapText="1"/>
      <protection locked="0"/>
    </xf>
    <xf numFmtId="3" fontId="8" fillId="0" borderId="12" xfId="0" applyNumberFormat="1" applyFont="1" applyBorder="1" applyAlignment="1" applyProtection="1">
      <alignment vertical="center"/>
      <protection locked="0"/>
    </xf>
    <xf numFmtId="3" fontId="8" fillId="0" borderId="14" xfId="0" applyNumberFormat="1" applyFont="1" applyBorder="1" applyAlignment="1" applyProtection="1">
      <alignment vertical="center"/>
      <protection locked="0"/>
    </xf>
    <xf numFmtId="3" fontId="8" fillId="0" borderId="14" xfId="0" applyNumberFormat="1" applyFont="1" applyBorder="1" applyAlignment="1">
      <alignment vertical="center"/>
    </xf>
    <xf numFmtId="2" fontId="8" fillId="0" borderId="14" xfId="0" applyNumberFormat="1" applyFont="1" applyBorder="1" applyAlignment="1">
      <alignment vertical="center"/>
    </xf>
    <xf numFmtId="2" fontId="8" fillId="0" borderId="6" xfId="0" applyNumberFormat="1" applyFont="1" applyBorder="1" applyAlignment="1">
      <alignment vertical="center"/>
    </xf>
    <xf numFmtId="0" fontId="46" fillId="0" borderId="0" xfId="0" applyFont="1" applyAlignment="1" applyProtection="1">
      <alignment vertical="center"/>
      <protection locked="0"/>
    </xf>
    <xf numFmtId="166" fontId="46" fillId="0" borderId="0" xfId="0" applyNumberFormat="1" applyFont="1" applyAlignment="1" applyProtection="1">
      <alignment vertical="center"/>
      <protection locked="0"/>
    </xf>
    <xf numFmtId="0" fontId="10" fillId="0" borderId="0" xfId="0" applyFont="1" applyAlignment="1" applyProtection="1">
      <alignment horizontal="left"/>
      <protection locked="0"/>
    </xf>
    <xf numFmtId="0" fontId="46" fillId="0" borderId="0" xfId="0" applyFont="1" applyProtection="1">
      <protection locked="0"/>
    </xf>
    <xf numFmtId="0" fontId="44" fillId="0" borderId="4" xfId="0" applyFont="1" applyBorder="1" applyAlignment="1" applyProtection="1">
      <alignment horizontal="center"/>
      <protection locked="0"/>
    </xf>
    <xf numFmtId="0" fontId="44" fillId="0" borderId="4" xfId="0" applyFont="1" applyBorder="1" applyProtection="1">
      <protection locked="0"/>
    </xf>
    <xf numFmtId="0" fontId="43" fillId="0" borderId="4" xfId="0" applyFont="1" applyBorder="1" applyProtection="1">
      <protection locked="0"/>
    </xf>
    <xf numFmtId="3" fontId="44" fillId="0" borderId="6" xfId="0" applyNumberFormat="1" applyFont="1" applyBorder="1" applyAlignment="1">
      <alignment horizontal="center" vertical="center"/>
    </xf>
    <xf numFmtId="0" fontId="44" fillId="0" borderId="5" xfId="0" applyFont="1" applyBorder="1" applyAlignment="1" applyProtection="1">
      <alignment horizontal="right"/>
      <protection locked="0"/>
    </xf>
    <xf numFmtId="3" fontId="44" fillId="0" borderId="14" xfId="0" applyNumberFormat="1" applyFont="1" applyBorder="1" applyAlignment="1">
      <alignment horizontal="center" vertical="center"/>
    </xf>
    <xf numFmtId="0" fontId="44" fillId="0" borderId="4" xfId="0" applyFont="1" applyBorder="1" applyAlignment="1" applyProtection="1">
      <alignment horizontal="right"/>
      <protection locked="0"/>
    </xf>
    <xf numFmtId="3" fontId="8" fillId="0" borderId="10" xfId="0" applyNumberFormat="1" applyFont="1" applyBorder="1" applyAlignment="1">
      <alignment vertical="center"/>
    </xf>
    <xf numFmtId="3" fontId="8" fillId="0" borderId="8" xfId="0" applyNumberFormat="1" applyFont="1" applyBorder="1" applyAlignment="1">
      <alignment vertical="center"/>
    </xf>
    <xf numFmtId="3" fontId="44" fillId="0" borderId="8" xfId="0" applyNumberFormat="1" applyFont="1" applyBorder="1" applyAlignment="1" applyProtection="1">
      <alignment horizontal="center" vertical="center"/>
      <protection locked="0"/>
    </xf>
    <xf numFmtId="3" fontId="44" fillId="0" borderId="7" xfId="0" applyNumberFormat="1" applyFont="1" applyBorder="1" applyAlignment="1" applyProtection="1">
      <alignment horizontal="center" vertical="center"/>
      <protection locked="0"/>
    </xf>
    <xf numFmtId="0" fontId="53" fillId="0" borderId="0" xfId="0" applyFont="1" applyProtection="1">
      <protection locked="0"/>
    </xf>
    <xf numFmtId="0" fontId="44" fillId="0" borderId="17" xfId="0" applyFont="1" applyBorder="1" applyAlignment="1" applyProtection="1">
      <alignment horizontal="right"/>
      <protection locked="0"/>
    </xf>
    <xf numFmtId="0" fontId="44" fillId="0" borderId="17" xfId="0" applyFont="1" applyBorder="1" applyProtection="1">
      <protection locked="0"/>
    </xf>
    <xf numFmtId="0" fontId="42" fillId="0" borderId="0" xfId="19" applyFont="1" applyProtection="1">
      <protection locked="0"/>
    </xf>
    <xf numFmtId="0" fontId="43" fillId="0" borderId="0" xfId="19" applyFont="1" applyProtection="1">
      <protection locked="0"/>
    </xf>
    <xf numFmtId="0" fontId="2" fillId="0" borderId="0" xfId="19"/>
    <xf numFmtId="0" fontId="6" fillId="0" borderId="0" xfId="19" applyFont="1" applyAlignment="1" applyProtection="1">
      <alignment vertical="center"/>
      <protection locked="0"/>
    </xf>
    <xf numFmtId="3" fontId="46" fillId="0" borderId="0" xfId="19" applyNumberFormat="1" applyFont="1" applyAlignment="1" applyProtection="1">
      <alignment vertical="center"/>
      <protection locked="0"/>
    </xf>
    <xf numFmtId="0" fontId="46" fillId="0" borderId="3" xfId="19" applyFont="1" applyBorder="1" applyAlignment="1" applyProtection="1">
      <alignment horizontal="left" vertical="center"/>
      <protection locked="0"/>
    </xf>
    <xf numFmtId="0" fontId="46" fillId="0" borderId="4" xfId="19" applyFont="1" applyBorder="1" applyAlignment="1" applyProtection="1">
      <alignment horizontal="left" vertical="center"/>
      <protection locked="0"/>
    </xf>
    <xf numFmtId="0" fontId="44" fillId="0" borderId="13" xfId="19" applyFont="1" applyBorder="1" applyAlignment="1" applyProtection="1">
      <alignment vertical="center"/>
      <protection locked="0"/>
    </xf>
    <xf numFmtId="3" fontId="9" fillId="0" borderId="12" xfId="19" applyNumberFormat="1" applyFont="1" applyBorder="1" applyAlignment="1" applyProtection="1">
      <alignment horizontal="center" vertical="center"/>
      <protection locked="0"/>
    </xf>
    <xf numFmtId="3" fontId="9" fillId="0" borderId="14" xfId="19" applyNumberFormat="1" applyFont="1" applyBorder="1" applyAlignment="1" applyProtection="1">
      <alignment horizontal="center" vertical="center"/>
      <protection locked="0"/>
    </xf>
    <xf numFmtId="3" fontId="43" fillId="0" borderId="14" xfId="19" applyNumberFormat="1" applyFont="1" applyBorder="1" applyAlignment="1" applyProtection="1">
      <alignment horizontal="center" vertical="center"/>
      <protection locked="0"/>
    </xf>
    <xf numFmtId="3" fontId="48" fillId="0" borderId="14" xfId="19" applyNumberFormat="1" applyFont="1" applyBorder="1" applyAlignment="1" applyProtection="1">
      <alignment horizontal="center" vertical="center"/>
      <protection locked="0"/>
    </xf>
    <xf numFmtId="3" fontId="48" fillId="0" borderId="6" xfId="19" applyNumberFormat="1" applyFont="1" applyBorder="1" applyAlignment="1" applyProtection="1">
      <alignment horizontal="center" vertical="center"/>
      <protection locked="0"/>
    </xf>
    <xf numFmtId="3" fontId="44" fillId="0" borderId="17" xfId="19" applyNumberFormat="1" applyFont="1" applyBorder="1" applyAlignment="1">
      <alignment horizontal="center" vertical="center"/>
    </xf>
    <xf numFmtId="3" fontId="44" fillId="0" borderId="9" xfId="19" applyNumberFormat="1" applyFont="1" applyBorder="1" applyAlignment="1">
      <alignment horizontal="center" vertical="center"/>
    </xf>
    <xf numFmtId="0" fontId="50" fillId="0" borderId="3" xfId="19" applyFont="1" applyBorder="1" applyAlignment="1" applyProtection="1">
      <alignment vertical="center"/>
      <protection locked="0"/>
    </xf>
    <xf numFmtId="3" fontId="44" fillId="0" borderId="11" xfId="19" applyNumberFormat="1" applyFont="1" applyBorder="1" applyAlignment="1">
      <alignment horizontal="center" vertical="center"/>
    </xf>
    <xf numFmtId="3" fontId="44" fillId="0" borderId="3" xfId="19" applyNumberFormat="1" applyFont="1" applyBorder="1" applyAlignment="1">
      <alignment horizontal="center" vertical="center"/>
    </xf>
    <xf numFmtId="2" fontId="44" fillId="0" borderId="3" xfId="19" applyNumberFormat="1" applyFont="1" applyBorder="1" applyAlignment="1">
      <alignment horizontal="center" vertical="center"/>
    </xf>
    <xf numFmtId="0" fontId="46" fillId="0" borderId="12" xfId="19" applyFont="1" applyBorder="1" applyAlignment="1" applyProtection="1">
      <alignment vertical="center"/>
      <protection locked="0"/>
    </xf>
    <xf numFmtId="3" fontId="8" fillId="0" borderId="14" xfId="19" applyNumberFormat="1" applyFont="1" applyBorder="1" applyAlignment="1" applyProtection="1">
      <alignment horizontal="center" vertical="center"/>
      <protection locked="0"/>
    </xf>
    <xf numFmtId="3" fontId="51" fillId="0" borderId="14" xfId="19" applyNumberFormat="1" applyFont="1" applyBorder="1" applyAlignment="1">
      <alignment horizontal="center" vertical="center"/>
    </xf>
    <xf numFmtId="3" fontId="51" fillId="0" borderId="6" xfId="19" applyNumberFormat="1" applyFont="1" applyBorder="1" applyAlignment="1">
      <alignment horizontal="center" vertical="center"/>
    </xf>
    <xf numFmtId="0" fontId="46" fillId="0" borderId="7" xfId="19" applyFont="1" applyBorder="1" applyAlignment="1" applyProtection="1">
      <alignment vertical="center"/>
      <protection locked="0"/>
    </xf>
    <xf numFmtId="0" fontId="50" fillId="0" borderId="5" xfId="19" applyFont="1" applyBorder="1" applyAlignment="1" applyProtection="1">
      <alignment vertical="center"/>
      <protection locked="0"/>
    </xf>
    <xf numFmtId="3" fontId="44" fillId="0" borderId="5" xfId="19" applyNumberFormat="1" applyFont="1" applyBorder="1" applyAlignment="1">
      <alignment horizontal="center" vertical="center"/>
    </xf>
    <xf numFmtId="2" fontId="44" fillId="0" borderId="5" xfId="19" applyNumberFormat="1" applyFont="1" applyBorder="1" applyAlignment="1">
      <alignment horizontal="center" vertical="center"/>
    </xf>
    <xf numFmtId="0" fontId="44" fillId="0" borderId="7" xfId="19" applyFont="1" applyBorder="1" applyAlignment="1" applyProtection="1">
      <alignment horizontal="right" vertical="center"/>
      <protection locked="0"/>
    </xf>
    <xf numFmtId="168" fontId="11" fillId="0" borderId="0" xfId="19" applyNumberFormat="1" applyFont="1" applyAlignment="1" applyProtection="1">
      <alignment horizontal="right" vertical="center" indent="1"/>
      <protection locked="0"/>
    </xf>
    <xf numFmtId="168" fontId="52" fillId="0" borderId="0" xfId="19" applyNumberFormat="1" applyFont="1" applyAlignment="1" applyProtection="1">
      <alignment horizontal="right" vertical="center" indent="1"/>
      <protection locked="0"/>
    </xf>
    <xf numFmtId="166" fontId="9" fillId="0" borderId="0" xfId="19" applyNumberFormat="1" applyFont="1" applyAlignment="1" applyProtection="1">
      <alignment horizontal="right" vertical="center" indent="1"/>
      <protection locked="0"/>
    </xf>
    <xf numFmtId="166" fontId="11" fillId="0" borderId="0" xfId="19" applyNumberFormat="1" applyFont="1" applyAlignment="1" applyProtection="1">
      <alignment vertical="center"/>
      <protection locked="0"/>
    </xf>
    <xf numFmtId="0" fontId="10" fillId="0" borderId="0" xfId="19" applyFont="1" applyAlignment="1" applyProtection="1">
      <alignment horizontal="left" vertical="center"/>
      <protection locked="0"/>
    </xf>
    <xf numFmtId="3" fontId="46" fillId="0" borderId="0" xfId="19" applyNumberFormat="1" applyFont="1" applyAlignment="1" applyProtection="1">
      <alignment horizontal="center" vertical="center"/>
      <protection locked="0"/>
    </xf>
    <xf numFmtId="0" fontId="44" fillId="0" borderId="17" xfId="19" applyFont="1" applyBorder="1" applyAlignment="1" applyProtection="1">
      <alignment horizontal="center" vertical="center"/>
      <protection locked="0"/>
    </xf>
    <xf numFmtId="0" fontId="44" fillId="0" borderId="17" xfId="19" applyFont="1" applyBorder="1" applyAlignment="1" applyProtection="1">
      <alignment vertical="center"/>
      <protection locked="0"/>
    </xf>
    <xf numFmtId="0" fontId="43" fillId="0" borderId="4" xfId="19" applyFont="1" applyBorder="1" applyAlignment="1" applyProtection="1">
      <alignment vertical="center"/>
      <protection locked="0"/>
    </xf>
    <xf numFmtId="3" fontId="44" fillId="0" borderId="7" xfId="19" applyNumberFormat="1" applyFont="1" applyBorder="1" applyAlignment="1">
      <alignment horizontal="center" vertical="center"/>
    </xf>
    <xf numFmtId="2" fontId="44" fillId="0" borderId="7" xfId="19" applyNumberFormat="1" applyFont="1" applyBorder="1" applyAlignment="1">
      <alignment horizontal="center" vertical="center"/>
    </xf>
    <xf numFmtId="0" fontId="44" fillId="0" borderId="5" xfId="19" applyFont="1" applyBorder="1" applyAlignment="1" applyProtection="1">
      <alignment horizontal="right" vertical="center"/>
      <protection locked="0"/>
    </xf>
    <xf numFmtId="3" fontId="8" fillId="0" borderId="11" xfId="19" applyNumberFormat="1" applyFont="1" applyBorder="1" applyAlignment="1" applyProtection="1">
      <alignment vertical="center"/>
      <protection locked="0"/>
    </xf>
    <xf numFmtId="3" fontId="8" fillId="0" borderId="16" xfId="19" applyNumberFormat="1" applyFont="1" applyBorder="1" applyAlignment="1" applyProtection="1">
      <alignment vertical="center"/>
      <protection locked="0"/>
    </xf>
    <xf numFmtId="167" fontId="44" fillId="0" borderId="16" xfId="19" applyNumberFormat="1" applyFont="1" applyBorder="1" applyAlignment="1" applyProtection="1">
      <alignment horizontal="center" vertical="center"/>
      <protection locked="0"/>
    </xf>
    <xf numFmtId="3" fontId="8" fillId="0" borderId="16" xfId="19" applyNumberFormat="1" applyFont="1" applyBorder="1" applyAlignment="1">
      <alignment vertical="center"/>
    </xf>
    <xf numFmtId="2" fontId="8" fillId="0" borderId="16" xfId="19" applyNumberFormat="1" applyFont="1" applyBorder="1" applyAlignment="1">
      <alignment vertical="center"/>
    </xf>
    <xf numFmtId="167" fontId="44" fillId="0" borderId="16" xfId="19" applyNumberFormat="1" applyFont="1" applyBorder="1" applyAlignment="1">
      <alignment horizontal="center" vertical="center"/>
    </xf>
    <xf numFmtId="2" fontId="8" fillId="0" borderId="10" xfId="19" applyNumberFormat="1" applyFont="1" applyBorder="1" applyAlignment="1">
      <alignment vertical="center"/>
    </xf>
    <xf numFmtId="3" fontId="8" fillId="0" borderId="19" xfId="19" applyNumberFormat="1" applyFont="1" applyBorder="1" applyAlignment="1" applyProtection="1">
      <alignment vertical="center"/>
      <protection locked="0"/>
    </xf>
    <xf numFmtId="3" fontId="8" fillId="0" borderId="18" xfId="19" applyNumberFormat="1" applyFont="1" applyBorder="1" applyAlignment="1" applyProtection="1">
      <alignment vertical="center"/>
      <protection locked="0"/>
    </xf>
    <xf numFmtId="3" fontId="8" fillId="0" borderId="18" xfId="19" applyNumberFormat="1" applyFont="1" applyBorder="1" applyAlignment="1">
      <alignment vertical="center"/>
    </xf>
    <xf numFmtId="2" fontId="8" fillId="0" borderId="18" xfId="19" applyNumberFormat="1" applyFont="1" applyBorder="1" applyAlignment="1">
      <alignment vertical="center"/>
    </xf>
    <xf numFmtId="2" fontId="8" fillId="0" borderId="8" xfId="19" applyNumberFormat="1" applyFont="1" applyBorder="1" applyAlignment="1">
      <alignment vertical="center"/>
    </xf>
    <xf numFmtId="0" fontId="46" fillId="0" borderId="4" xfId="19" applyFont="1" applyBorder="1" applyAlignment="1" applyProtection="1">
      <alignment vertical="center"/>
      <protection locked="0"/>
    </xf>
    <xf numFmtId="0" fontId="46" fillId="0" borderId="4" xfId="19" applyFont="1" applyBorder="1" applyAlignment="1" applyProtection="1">
      <alignment horizontal="left" vertical="center" wrapText="1"/>
      <protection locked="0"/>
    </xf>
    <xf numFmtId="3" fontId="8" fillId="0" borderId="12" xfId="19" applyNumberFormat="1" applyFont="1" applyBorder="1" applyAlignment="1" applyProtection="1">
      <alignment vertical="center"/>
      <protection locked="0"/>
    </xf>
    <xf numFmtId="3" fontId="8" fillId="0" borderId="14" xfId="19" applyNumberFormat="1" applyFont="1" applyBorder="1" applyAlignment="1" applyProtection="1">
      <alignment vertical="center"/>
      <protection locked="0"/>
    </xf>
    <xf numFmtId="3" fontId="8" fillId="0" borderId="14" xfId="19" applyNumberFormat="1" applyFont="1" applyBorder="1" applyAlignment="1">
      <alignment vertical="center"/>
    </xf>
    <xf numFmtId="2" fontId="8" fillId="0" borderId="14" xfId="19" applyNumberFormat="1" applyFont="1" applyBorder="1" applyAlignment="1">
      <alignment vertical="center"/>
    </xf>
    <xf numFmtId="2" fontId="8" fillId="0" borderId="6" xfId="19" applyNumberFormat="1" applyFont="1" applyBorder="1" applyAlignment="1">
      <alignment vertical="center"/>
    </xf>
    <xf numFmtId="0" fontId="46" fillId="0" borderId="0" xfId="19" applyFont="1" applyAlignment="1" applyProtection="1">
      <alignment vertical="center"/>
      <protection locked="0"/>
    </xf>
    <xf numFmtId="166" fontId="46" fillId="0" borderId="0" xfId="19" applyNumberFormat="1" applyFont="1" applyAlignment="1" applyProtection="1">
      <alignment vertical="center"/>
      <protection locked="0"/>
    </xf>
    <xf numFmtId="0" fontId="10" fillId="0" borderId="0" xfId="19" applyFont="1" applyAlignment="1" applyProtection="1">
      <alignment horizontal="left"/>
      <protection locked="0"/>
    </xf>
    <xf numFmtId="0" fontId="46" fillId="0" borderId="0" xfId="19" applyFont="1" applyProtection="1">
      <protection locked="0"/>
    </xf>
    <xf numFmtId="0" fontId="44" fillId="0" borderId="4" xfId="19" applyFont="1" applyBorder="1" applyAlignment="1" applyProtection="1">
      <alignment horizontal="center"/>
      <protection locked="0"/>
    </xf>
    <xf numFmtId="0" fontId="44" fillId="0" borderId="4" xfId="19" applyFont="1" applyBorder="1" applyProtection="1">
      <protection locked="0"/>
    </xf>
    <xf numFmtId="0" fontId="43" fillId="0" borderId="4" xfId="19" applyFont="1" applyBorder="1" applyProtection="1">
      <protection locked="0"/>
    </xf>
    <xf numFmtId="0" fontId="44" fillId="0" borderId="5" xfId="19" applyFont="1" applyBorder="1" applyAlignment="1" applyProtection="1">
      <alignment horizontal="right"/>
      <protection locked="0"/>
    </xf>
    <xf numFmtId="0" fontId="44" fillId="0" borderId="4" xfId="19" applyFont="1" applyBorder="1" applyAlignment="1" applyProtection="1">
      <alignment horizontal="right"/>
      <protection locked="0"/>
    </xf>
    <xf numFmtId="3" fontId="8" fillId="0" borderId="10" xfId="19" applyNumberFormat="1" applyFont="1" applyBorder="1" applyAlignment="1">
      <alignment vertical="center"/>
    </xf>
    <xf numFmtId="3" fontId="8" fillId="0" borderId="8" xfId="19" applyNumberFormat="1" applyFont="1" applyBorder="1" applyAlignment="1">
      <alignment vertical="center"/>
    </xf>
    <xf numFmtId="0" fontId="53" fillId="0" borderId="0" xfId="19" applyFont="1" applyProtection="1">
      <protection locked="0"/>
    </xf>
    <xf numFmtId="0" fontId="44" fillId="0" borderId="17" xfId="19" applyFont="1" applyBorder="1" applyAlignment="1" applyProtection="1">
      <alignment horizontal="right"/>
      <protection locked="0"/>
    </xf>
    <xf numFmtId="0" fontId="44" fillId="0" borderId="17" xfId="19" applyFont="1" applyBorder="1" applyProtection="1">
      <protection locked="0"/>
    </xf>
    <xf numFmtId="171" fontId="54" fillId="2" borderId="0" xfId="15" applyNumberFormat="1" applyFont="1" applyFill="1" applyAlignment="1">
      <alignment horizontal="right"/>
    </xf>
    <xf numFmtId="170" fontId="40" fillId="0" borderId="1" xfId="15" applyNumberFormat="1" applyFont="1" applyBorder="1"/>
    <xf numFmtId="3" fontId="2" fillId="0" borderId="0" xfId="19" applyNumberFormat="1"/>
    <xf numFmtId="10" fontId="2" fillId="0" borderId="0" xfId="19" applyNumberFormat="1"/>
    <xf numFmtId="0" fontId="55" fillId="0" borderId="0" xfId="15" applyFont="1" applyAlignment="1">
      <alignment vertical="center"/>
    </xf>
    <xf numFmtId="170" fontId="27" fillId="0" borderId="0" xfId="15" applyNumberFormat="1" applyFont="1"/>
    <xf numFmtId="173" fontId="28" fillId="0" borderId="0" xfId="15" applyNumberFormat="1" applyFont="1" applyAlignment="1">
      <alignment horizontal="left" vertical="center"/>
    </xf>
    <xf numFmtId="173" fontId="29" fillId="0" borderId="0" xfId="15" applyNumberFormat="1" applyFont="1" applyAlignment="1">
      <alignment vertical="center"/>
    </xf>
    <xf numFmtId="170" fontId="28" fillId="0" borderId="0" xfId="17" applyNumberFormat="1" applyFont="1" applyFill="1" applyBorder="1" applyAlignment="1">
      <alignment horizontal="right" vertical="center"/>
    </xf>
    <xf numFmtId="169" fontId="28" fillId="0" borderId="0" xfId="17" applyNumberFormat="1" applyFont="1" applyFill="1" applyBorder="1" applyAlignment="1">
      <alignment horizontal="right" vertical="center"/>
    </xf>
    <xf numFmtId="173" fontId="30" fillId="0" borderId="0" xfId="15" applyNumberFormat="1" applyFont="1" applyAlignment="1">
      <alignment horizontal="left" vertical="center"/>
    </xf>
    <xf numFmtId="173" fontId="31" fillId="0" borderId="0" xfId="15" applyNumberFormat="1" applyFont="1" applyAlignment="1">
      <alignment vertical="center"/>
    </xf>
    <xf numFmtId="10" fontId="31" fillId="0" borderId="0" xfId="16" applyNumberFormat="1" applyFont="1" applyFill="1" applyBorder="1" applyAlignment="1">
      <alignment vertical="center"/>
    </xf>
    <xf numFmtId="174" fontId="31" fillId="0" borderId="0" xfId="16" applyNumberFormat="1" applyFont="1" applyFill="1" applyBorder="1" applyAlignment="1">
      <alignment vertical="center"/>
    </xf>
    <xf numFmtId="173" fontId="32" fillId="0" borderId="1" xfId="15" applyNumberFormat="1" applyFont="1" applyBorder="1" applyAlignment="1">
      <alignment vertical="center"/>
    </xf>
    <xf numFmtId="173" fontId="33" fillId="0" borderId="1" xfId="15" applyNumberFormat="1" applyFont="1" applyBorder="1" applyAlignment="1">
      <alignment vertical="center"/>
    </xf>
    <xf numFmtId="170" fontId="33" fillId="0" borderId="1" xfId="15" applyNumberFormat="1" applyFont="1" applyBorder="1" applyAlignment="1">
      <alignment vertical="center"/>
    </xf>
    <xf numFmtId="169" fontId="33" fillId="0" borderId="1" xfId="15" applyNumberFormat="1" applyFont="1" applyBorder="1" applyAlignment="1">
      <alignment vertical="center"/>
    </xf>
    <xf numFmtId="170" fontId="33" fillId="0" borderId="1" xfId="15" applyNumberFormat="1" applyFont="1" applyBorder="1"/>
    <xf numFmtId="169" fontId="33" fillId="0" borderId="1" xfId="16" applyNumberFormat="1" applyFont="1" applyFill="1" applyBorder="1" applyAlignment="1">
      <alignment vertical="center"/>
    </xf>
    <xf numFmtId="174" fontId="33" fillId="0" borderId="1" xfId="15" applyNumberFormat="1" applyFont="1" applyBorder="1" applyAlignment="1">
      <alignment vertical="center"/>
    </xf>
    <xf numFmtId="0" fontId="56" fillId="0" borderId="0" xfId="15" applyFont="1" applyAlignment="1">
      <alignment vertical="center"/>
    </xf>
    <xf numFmtId="0" fontId="57" fillId="0" borderId="0" xfId="15" applyFont="1" applyAlignment="1">
      <alignment vertical="center"/>
    </xf>
    <xf numFmtId="173" fontId="56" fillId="0" borderId="0" xfId="15" applyNumberFormat="1" applyFont="1" applyAlignment="1">
      <alignment horizontal="center" vertical="center"/>
    </xf>
    <xf numFmtId="173" fontId="58" fillId="0" borderId="0" xfId="15" applyNumberFormat="1" applyFont="1" applyAlignment="1">
      <alignment horizontal="center" vertical="center"/>
    </xf>
    <xf numFmtId="173" fontId="58" fillId="0" borderId="2" xfId="15" applyNumberFormat="1" applyFont="1" applyBorder="1" applyAlignment="1">
      <alignment horizontal="center" vertical="center"/>
    </xf>
    <xf numFmtId="173" fontId="59" fillId="0" borderId="0" xfId="15" applyNumberFormat="1" applyFont="1" applyAlignment="1">
      <alignment horizontal="left" vertical="center"/>
    </xf>
    <xf numFmtId="173" fontId="60" fillId="0" borderId="0" xfId="15" applyNumberFormat="1" applyFont="1" applyAlignment="1">
      <alignment vertical="center"/>
    </xf>
    <xf numFmtId="170" fontId="61" fillId="0" borderId="0" xfId="15" applyNumberFormat="1" applyFont="1" applyAlignment="1">
      <alignment vertical="center"/>
    </xf>
    <xf numFmtId="169" fontId="61" fillId="0" borderId="0" xfId="15" applyNumberFormat="1" applyFont="1" applyAlignment="1">
      <alignment vertical="center"/>
    </xf>
    <xf numFmtId="0" fontId="60" fillId="0" borderId="0" xfId="15" applyFont="1" applyAlignment="1">
      <alignment vertical="center"/>
    </xf>
    <xf numFmtId="173" fontId="58" fillId="0" borderId="0" xfId="15" applyNumberFormat="1" applyFont="1" applyAlignment="1">
      <alignment horizontal="left" vertical="center"/>
    </xf>
    <xf numFmtId="173" fontId="62" fillId="0" borderId="0" xfId="15" applyNumberFormat="1" applyFont="1" applyAlignment="1">
      <alignment vertical="center"/>
    </xf>
    <xf numFmtId="10" fontId="63" fillId="0" borderId="0" xfId="16" applyNumberFormat="1" applyFont="1" applyFill="1" applyBorder="1" applyAlignment="1">
      <alignment vertical="center"/>
    </xf>
    <xf numFmtId="174" fontId="63" fillId="0" borderId="0" xfId="16" applyNumberFormat="1" applyFont="1" applyFill="1" applyBorder="1" applyAlignment="1">
      <alignment vertical="center"/>
    </xf>
    <xf numFmtId="0" fontId="62" fillId="0" borderId="0" xfId="15" applyFont="1" applyAlignment="1">
      <alignment vertical="center"/>
    </xf>
    <xf numFmtId="173" fontId="56" fillId="2" borderId="0" xfId="15" applyNumberFormat="1" applyFont="1" applyFill="1" applyAlignment="1">
      <alignment horizontal="center" vertical="center"/>
    </xf>
    <xf numFmtId="173" fontId="58" fillId="2" borderId="0" xfId="15" applyNumberFormat="1" applyFont="1" applyFill="1" applyAlignment="1">
      <alignment horizontal="center" vertical="center"/>
    </xf>
    <xf numFmtId="173" fontId="58" fillId="2" borderId="2" xfId="15" applyNumberFormat="1" applyFont="1" applyFill="1" applyBorder="1" applyAlignment="1">
      <alignment horizontal="center" vertical="center"/>
    </xf>
    <xf numFmtId="173" fontId="60" fillId="2" borderId="0" xfId="15" applyNumberFormat="1" applyFont="1" applyFill="1" applyAlignment="1">
      <alignment vertical="center"/>
    </xf>
    <xf numFmtId="170" fontId="61" fillId="2" borderId="0" xfId="15" applyNumberFormat="1" applyFont="1" applyFill="1" applyAlignment="1">
      <alignment vertical="center"/>
    </xf>
    <xf numFmtId="169" fontId="61" fillId="2" borderId="0" xfId="15" applyNumberFormat="1" applyFont="1" applyFill="1" applyAlignment="1">
      <alignment vertical="center"/>
    </xf>
    <xf numFmtId="173" fontId="62" fillId="2" borderId="0" xfId="15" applyNumberFormat="1" applyFont="1" applyFill="1" applyAlignment="1">
      <alignment vertical="center"/>
    </xf>
    <xf numFmtId="10" fontId="63" fillId="2" borderId="0" xfId="16" applyNumberFormat="1" applyFont="1" applyFill="1" applyBorder="1" applyAlignment="1">
      <alignment vertical="center"/>
    </xf>
    <xf numFmtId="174" fontId="63" fillId="2" borderId="0" xfId="16" applyNumberFormat="1" applyFont="1" applyFill="1" applyBorder="1" applyAlignment="1">
      <alignment vertical="center"/>
    </xf>
    <xf numFmtId="174" fontId="61" fillId="0" borderId="0" xfId="15" applyNumberFormat="1" applyFont="1" applyAlignment="1">
      <alignment vertical="center"/>
    </xf>
    <xf numFmtId="175" fontId="3" fillId="0" borderId="0" xfId="11" applyNumberFormat="1" applyFont="1" applyBorder="1" applyAlignment="1">
      <alignment vertical="center"/>
    </xf>
    <xf numFmtId="0" fontId="54" fillId="0" borderId="0" xfId="0" applyFont="1"/>
    <xf numFmtId="17" fontId="54" fillId="0" borderId="0" xfId="0" applyNumberFormat="1" applyFont="1"/>
    <xf numFmtId="170" fontId="64" fillId="0" borderId="0" xfId="15" applyNumberFormat="1" applyFont="1" applyAlignment="1">
      <alignment vertical="center"/>
    </xf>
    <xf numFmtId="169" fontId="64" fillId="0" borderId="0" xfId="11" applyNumberFormat="1" applyFont="1" applyFill="1" applyBorder="1" applyAlignment="1">
      <alignment vertical="center"/>
    </xf>
    <xf numFmtId="10" fontId="54" fillId="0" borderId="0" xfId="0" applyNumberFormat="1" applyFont="1"/>
    <xf numFmtId="9" fontId="54" fillId="0" borderId="0" xfId="11" applyFont="1"/>
    <xf numFmtId="169" fontId="54" fillId="0" borderId="0" xfId="0" applyNumberFormat="1" applyFont="1"/>
    <xf numFmtId="169" fontId="54" fillId="0" borderId="0" xfId="11" applyNumberFormat="1" applyFont="1"/>
    <xf numFmtId="10" fontId="54" fillId="0" borderId="0" xfId="11" applyNumberFormat="1" applyFont="1"/>
    <xf numFmtId="9" fontId="64" fillId="0" borderId="0" xfId="11" applyFont="1" applyFill="1" applyBorder="1" applyAlignment="1">
      <alignment vertical="center"/>
    </xf>
    <xf numFmtId="0" fontId="54" fillId="0" borderId="0" xfId="0" applyFont="1" applyAlignment="1">
      <alignment horizontal="center"/>
    </xf>
    <xf numFmtId="3" fontId="8" fillId="0" borderId="16" xfId="0" applyNumberFormat="1" applyFont="1" applyBorder="1" applyAlignment="1" applyProtection="1">
      <alignment horizontal="center" vertical="center"/>
      <protection locked="0"/>
    </xf>
    <xf numFmtId="0" fontId="54" fillId="4" borderId="0" xfId="0" applyFont="1" applyFill="1"/>
    <xf numFmtId="170" fontId="54" fillId="0" borderId="0" xfId="0" applyNumberFormat="1" applyFont="1"/>
    <xf numFmtId="173" fontId="65" fillId="0" borderId="0" xfId="15" applyNumberFormat="1" applyFont="1" applyAlignment="1">
      <alignment vertical="center"/>
    </xf>
    <xf numFmtId="170" fontId="59" fillId="0" borderId="0" xfId="17" applyNumberFormat="1" applyFont="1" applyFill="1" applyBorder="1" applyAlignment="1">
      <alignment horizontal="right" vertical="center"/>
    </xf>
    <xf numFmtId="169" fontId="59" fillId="0" borderId="0" xfId="17" applyNumberFormat="1" applyFont="1" applyFill="1" applyBorder="1" applyAlignment="1">
      <alignment horizontal="right" vertical="center"/>
    </xf>
    <xf numFmtId="173" fontId="66" fillId="0" borderId="0" xfId="15" applyNumberFormat="1" applyFont="1" applyAlignment="1">
      <alignment vertical="center"/>
    </xf>
    <xf numFmtId="10" fontId="66" fillId="0" borderId="0" xfId="16" applyNumberFormat="1" applyFont="1" applyFill="1" applyBorder="1" applyAlignment="1">
      <alignment vertical="center"/>
    </xf>
    <xf numFmtId="174" fontId="66" fillId="0" borderId="0" xfId="16" applyNumberFormat="1" applyFont="1" applyFill="1" applyBorder="1" applyAlignment="1">
      <alignment vertical="center"/>
    </xf>
    <xf numFmtId="173" fontId="65" fillId="2" borderId="0" xfId="15" applyNumberFormat="1" applyFont="1" applyFill="1" applyAlignment="1">
      <alignment vertical="center"/>
    </xf>
    <xf numFmtId="170" fontId="59" fillId="2" borderId="0" xfId="17" applyNumberFormat="1" applyFont="1" applyFill="1" applyBorder="1" applyAlignment="1">
      <alignment horizontal="right" vertical="center"/>
    </xf>
    <xf numFmtId="169" fontId="59" fillId="2" borderId="0" xfId="17" applyNumberFormat="1" applyFont="1" applyFill="1" applyBorder="1" applyAlignment="1">
      <alignment horizontal="right" vertical="center"/>
    </xf>
    <xf numFmtId="173" fontId="66" fillId="2" borderId="0" xfId="15" applyNumberFormat="1" applyFont="1" applyFill="1" applyAlignment="1">
      <alignment vertical="center"/>
    </xf>
    <xf numFmtId="10" fontId="66" fillId="2" borderId="0" xfId="16" applyNumberFormat="1" applyFont="1" applyFill="1" applyBorder="1" applyAlignment="1">
      <alignment vertical="center"/>
    </xf>
    <xf numFmtId="174" fontId="66" fillId="2" borderId="0" xfId="16" applyNumberFormat="1" applyFont="1" applyFill="1" applyBorder="1" applyAlignment="1">
      <alignment vertical="center"/>
    </xf>
    <xf numFmtId="169" fontId="67" fillId="0" borderId="0" xfId="15" applyNumberFormat="1" applyFont="1" applyAlignment="1">
      <alignment vertical="center"/>
    </xf>
    <xf numFmtId="0" fontId="59" fillId="0" borderId="0" xfId="15" applyFont="1" applyAlignment="1">
      <alignment vertical="center"/>
    </xf>
    <xf numFmtId="0" fontId="65" fillId="0" borderId="0" xfId="15" applyFont="1" applyAlignment="1">
      <alignment vertical="center"/>
    </xf>
    <xf numFmtId="169" fontId="29" fillId="0" borderId="0" xfId="16" applyNumberFormat="1" applyFont="1" applyFill="1" applyBorder="1" applyAlignment="1">
      <alignment horizontal="right" vertical="center"/>
    </xf>
    <xf numFmtId="174" fontId="29" fillId="0" borderId="0" xfId="17" applyNumberFormat="1" applyFont="1" applyFill="1" applyBorder="1" applyAlignment="1">
      <alignment horizontal="right" vertical="center"/>
    </xf>
    <xf numFmtId="0" fontId="68" fillId="0" borderId="0" xfId="15" applyFont="1" applyAlignment="1">
      <alignment vertical="center"/>
    </xf>
    <xf numFmtId="173" fontId="69" fillId="2" borderId="0" xfId="15" applyNumberFormat="1" applyFont="1" applyFill="1"/>
    <xf numFmtId="170" fontId="25" fillId="2" borderId="0" xfId="17" applyNumberFormat="1" applyFont="1" applyFill="1" applyBorder="1" applyAlignment="1">
      <alignment horizontal="right"/>
    </xf>
    <xf numFmtId="169" fontId="25" fillId="2" borderId="0" xfId="17" applyNumberFormat="1" applyFont="1" applyFill="1" applyBorder="1" applyAlignment="1">
      <alignment horizontal="right"/>
    </xf>
    <xf numFmtId="173" fontId="70" fillId="2" borderId="0" xfId="15" applyNumberFormat="1" applyFont="1" applyFill="1"/>
    <xf numFmtId="10" fontId="70" fillId="2" borderId="0" xfId="16" applyNumberFormat="1" applyFont="1" applyFill="1" applyBorder="1"/>
    <xf numFmtId="174" fontId="70" fillId="2" borderId="0" xfId="16" applyNumberFormat="1" applyFont="1" applyFill="1" applyBorder="1"/>
    <xf numFmtId="169" fontId="25" fillId="2" borderId="0" xfId="16" applyNumberFormat="1" applyFont="1" applyFill="1" applyBorder="1" applyAlignment="1">
      <alignment horizontal="right"/>
    </xf>
    <xf numFmtId="174" fontId="25" fillId="2" borderId="0" xfId="17" applyNumberFormat="1" applyFont="1" applyFill="1" applyBorder="1" applyAlignment="1">
      <alignment horizontal="right"/>
    </xf>
    <xf numFmtId="0" fontId="69" fillId="0" borderId="0" xfId="15" applyFont="1"/>
    <xf numFmtId="169" fontId="69" fillId="2" borderId="0" xfId="16" applyNumberFormat="1" applyFont="1" applyFill="1" applyBorder="1" applyAlignment="1">
      <alignment horizontal="right"/>
    </xf>
    <xf numFmtId="174" fontId="69" fillId="2" borderId="0" xfId="17" applyNumberFormat="1" applyFont="1" applyFill="1" applyBorder="1" applyAlignment="1">
      <alignment horizontal="right"/>
    </xf>
    <xf numFmtId="169" fontId="29" fillId="2" borderId="0" xfId="16" applyNumberFormat="1" applyFont="1" applyFill="1" applyBorder="1" applyAlignment="1">
      <alignment horizontal="right"/>
    </xf>
    <xf numFmtId="174" fontId="29" fillId="2" borderId="0" xfId="17" applyNumberFormat="1" applyFont="1" applyFill="1" applyBorder="1" applyAlignment="1">
      <alignment horizontal="right"/>
    </xf>
    <xf numFmtId="0" fontId="71" fillId="0" borderId="0" xfId="15" applyFont="1"/>
    <xf numFmtId="170" fontId="72" fillId="2" borderId="0" xfId="17" applyNumberFormat="1" applyFont="1" applyFill="1" applyBorder="1" applyAlignment="1">
      <alignment horizontal="right"/>
    </xf>
    <xf numFmtId="169" fontId="72" fillId="2" borderId="0" xfId="17" applyNumberFormat="1" applyFont="1" applyFill="1" applyBorder="1" applyAlignment="1">
      <alignment horizontal="right"/>
    </xf>
    <xf numFmtId="173" fontId="59" fillId="0" borderId="0" xfId="15" applyNumberFormat="1" applyFont="1" applyAlignment="1">
      <alignment vertical="center"/>
    </xf>
    <xf numFmtId="170" fontId="67" fillId="0" borderId="0" xfId="15" applyNumberFormat="1" applyFont="1" applyAlignment="1">
      <alignment vertical="center"/>
    </xf>
    <xf numFmtId="170" fontId="25" fillId="0" borderId="0" xfId="15" applyNumberFormat="1" applyFont="1" applyAlignment="1">
      <alignment vertical="center"/>
    </xf>
    <xf numFmtId="0" fontId="25" fillId="0" borderId="0" xfId="15" applyFont="1" applyAlignment="1">
      <alignment vertical="center"/>
    </xf>
    <xf numFmtId="173" fontId="58" fillId="0" borderId="0" xfId="15" applyNumberFormat="1" applyFont="1" applyAlignment="1">
      <alignment vertical="center"/>
    </xf>
    <xf numFmtId="10" fontId="73" fillId="0" borderId="0" xfId="16" applyNumberFormat="1" applyFont="1" applyFill="1" applyBorder="1" applyAlignment="1">
      <alignment vertical="center"/>
    </xf>
    <xf numFmtId="174" fontId="73" fillId="0" borderId="0" xfId="16" applyNumberFormat="1" applyFont="1" applyFill="1" applyBorder="1" applyAlignment="1">
      <alignment vertical="center"/>
    </xf>
    <xf numFmtId="0" fontId="58" fillId="0" borderId="0" xfId="15" applyFont="1" applyAlignment="1">
      <alignment vertical="center"/>
    </xf>
    <xf numFmtId="0" fontId="24" fillId="0" borderId="0" xfId="15" applyFont="1" applyAlignment="1">
      <alignment vertical="center"/>
    </xf>
    <xf numFmtId="170" fontId="24" fillId="0" borderId="0" xfId="15" applyNumberFormat="1" applyFont="1" applyAlignment="1">
      <alignment vertical="center"/>
    </xf>
    <xf numFmtId="0" fontId="74" fillId="0" borderId="0" xfId="0" applyFont="1"/>
    <xf numFmtId="0" fontId="74" fillId="4" borderId="0" xfId="0" applyFont="1" applyFill="1"/>
    <xf numFmtId="0" fontId="44" fillId="0" borderId="12" xfId="0" applyFont="1" applyBorder="1" applyAlignment="1" applyProtection="1">
      <alignment horizontal="center" vertical="center"/>
      <protection locked="0"/>
    </xf>
    <xf numFmtId="9" fontId="25" fillId="0" borderId="0" xfId="11" applyFont="1" applyAlignment="1">
      <alignment vertical="center"/>
    </xf>
    <xf numFmtId="176" fontId="54" fillId="0" borderId="0" xfId="0" applyNumberFormat="1" applyFont="1"/>
    <xf numFmtId="0" fontId="76" fillId="0" borderId="0" xfId="0" applyFont="1"/>
    <xf numFmtId="0" fontId="13" fillId="0" borderId="0" xfId="0" applyFont="1"/>
    <xf numFmtId="168" fontId="13" fillId="0" borderId="0" xfId="0" applyNumberFormat="1" applyFont="1"/>
    <xf numFmtId="170" fontId="13" fillId="0" borderId="0" xfId="0" applyNumberFormat="1" applyFont="1"/>
    <xf numFmtId="17" fontId="13" fillId="0" borderId="0" xfId="0" applyNumberFormat="1" applyFont="1"/>
    <xf numFmtId="9" fontId="3" fillId="0" borderId="0" xfId="15" applyNumberFormat="1" applyAlignment="1">
      <alignment vertical="center"/>
    </xf>
    <xf numFmtId="177" fontId="13" fillId="0" borderId="0" xfId="0" applyNumberFormat="1" applyFont="1"/>
    <xf numFmtId="3" fontId="67" fillId="0" borderId="0" xfId="15" applyNumberFormat="1" applyFont="1" applyAlignment="1">
      <alignment vertical="center"/>
    </xf>
    <xf numFmtId="3" fontId="28" fillId="0" borderId="0" xfId="17" applyNumberFormat="1" applyFont="1" applyFill="1" applyBorder="1" applyAlignment="1">
      <alignment horizontal="right" vertical="center"/>
    </xf>
    <xf numFmtId="3" fontId="59" fillId="0" borderId="0" xfId="17" applyNumberFormat="1" applyFont="1" applyFill="1" applyBorder="1" applyAlignment="1">
      <alignment horizontal="right" vertical="center"/>
    </xf>
    <xf numFmtId="3" fontId="61" fillId="0" borderId="0" xfId="15" applyNumberFormat="1" applyFont="1" applyAlignment="1">
      <alignment vertical="center"/>
    </xf>
    <xf numFmtId="3" fontId="33" fillId="0" borderId="1" xfId="15" applyNumberFormat="1" applyFont="1" applyBorder="1" applyAlignment="1">
      <alignment vertical="center"/>
    </xf>
    <xf numFmtId="3" fontId="33" fillId="0" borderId="1" xfId="15" applyNumberFormat="1" applyFont="1" applyBorder="1"/>
    <xf numFmtId="3" fontId="27" fillId="2" borderId="0" xfId="15" applyNumberFormat="1" applyFont="1" applyFill="1"/>
    <xf numFmtId="3" fontId="28" fillId="2" borderId="0" xfId="17" applyNumberFormat="1" applyFont="1" applyFill="1" applyBorder="1" applyAlignment="1">
      <alignment horizontal="right"/>
    </xf>
    <xf numFmtId="3" fontId="25" fillId="2" borderId="0" xfId="17" applyNumberFormat="1" applyFont="1" applyFill="1" applyBorder="1" applyAlignment="1">
      <alignment horizontal="right"/>
    </xf>
    <xf numFmtId="3" fontId="33" fillId="2" borderId="1" xfId="15" applyNumberFormat="1" applyFont="1" applyFill="1" applyBorder="1"/>
    <xf numFmtId="9" fontId="0" fillId="0" borderId="0" xfId="11" applyFont="1" applyFill="1" applyBorder="1" applyProtection="1"/>
    <xf numFmtId="9" fontId="43" fillId="0" borderId="0" xfId="11" applyFont="1" applyFill="1" applyBorder="1" applyAlignment="1" applyProtection="1">
      <alignment horizontal="center" vertical="center"/>
    </xf>
    <xf numFmtId="0" fontId="81" fillId="0" borderId="0" xfId="0" applyFont="1" applyProtection="1">
      <protection locked="0"/>
    </xf>
    <xf numFmtId="0" fontId="3" fillId="0" borderId="0" xfId="0" applyFont="1"/>
    <xf numFmtId="3" fontId="25" fillId="0" borderId="0" xfId="15" applyNumberFormat="1" applyFont="1" applyAlignment="1">
      <alignment vertical="center"/>
    </xf>
    <xf numFmtId="0" fontId="3" fillId="0" borderId="0" xfId="15" applyAlignment="1">
      <alignment horizontal="center" vertical="center"/>
    </xf>
    <xf numFmtId="10" fontId="25" fillId="0" borderId="0" xfId="11" applyNumberFormat="1" applyFont="1" applyAlignment="1">
      <alignment vertical="center"/>
    </xf>
    <xf numFmtId="4" fontId="18" fillId="0" borderId="0" xfId="15" applyNumberFormat="1" applyFont="1"/>
    <xf numFmtId="4" fontId="25" fillId="0" borderId="0" xfId="15" applyNumberFormat="1" applyFont="1" applyAlignment="1">
      <alignment vertical="center"/>
    </xf>
    <xf numFmtId="169" fontId="53" fillId="0" borderId="0" xfId="11" applyNumberFormat="1" applyFont="1" applyFill="1" applyProtection="1">
      <protection locked="0"/>
    </xf>
    <xf numFmtId="0" fontId="13" fillId="0" borderId="0" xfId="15" applyFont="1" applyAlignment="1">
      <alignment vertical="center"/>
    </xf>
    <xf numFmtId="0" fontId="26" fillId="0" borderId="0" xfId="15" applyFont="1" applyAlignment="1">
      <alignment vertical="center"/>
    </xf>
    <xf numFmtId="9" fontId="0" fillId="0" borderId="0" xfId="11" applyFont="1" applyFill="1" applyProtection="1"/>
    <xf numFmtId="164" fontId="0" fillId="0" borderId="0" xfId="29" applyFont="1" applyFill="1" applyProtection="1"/>
    <xf numFmtId="164" fontId="0" fillId="0" borderId="0" xfId="29" applyFont="1" applyFill="1" applyBorder="1" applyProtection="1"/>
    <xf numFmtId="164" fontId="44" fillId="0" borderId="0" xfId="29" applyFont="1" applyFill="1" applyBorder="1" applyAlignment="1" applyProtection="1">
      <alignment horizontal="center" vertical="center"/>
    </xf>
    <xf numFmtId="164" fontId="43" fillId="0" borderId="0" xfId="29" applyFont="1" applyFill="1" applyBorder="1" applyAlignment="1" applyProtection="1">
      <alignment horizontal="center" vertical="center"/>
      <protection locked="0"/>
    </xf>
    <xf numFmtId="164" fontId="8" fillId="0" borderId="0" xfId="29" applyFont="1" applyFill="1" applyBorder="1" applyAlignment="1" applyProtection="1">
      <alignment vertical="center"/>
      <protection locked="0"/>
    </xf>
    <xf numFmtId="164" fontId="43" fillId="0" borderId="0" xfId="29" applyFont="1" applyFill="1" applyBorder="1" applyAlignment="1" applyProtection="1">
      <alignment vertical="center"/>
      <protection locked="0"/>
    </xf>
    <xf numFmtId="0" fontId="19" fillId="2" borderId="0" xfId="15" applyFont="1" applyFill="1" applyAlignment="1">
      <alignment horizontal="centerContinuous" vertical="center"/>
    </xf>
    <xf numFmtId="0" fontId="78" fillId="0" borderId="0" xfId="0" applyFont="1" applyProtection="1">
      <protection locked="0"/>
    </xf>
    <xf numFmtId="0" fontId="7" fillId="0" borderId="0" xfId="0" applyFont="1" applyProtection="1">
      <protection locked="0"/>
    </xf>
    <xf numFmtId="0" fontId="79" fillId="0" borderId="3" xfId="0" applyFont="1" applyBorder="1" applyAlignment="1" applyProtection="1">
      <alignment horizontal="left" vertical="center"/>
      <protection locked="0"/>
    </xf>
    <xf numFmtId="0" fontId="79" fillId="0" borderId="4" xfId="0" applyFont="1" applyBorder="1" applyAlignment="1" applyProtection="1">
      <alignment horizontal="left" vertical="center"/>
      <protection locked="0"/>
    </xf>
    <xf numFmtId="0" fontId="6" fillId="0" borderId="13" xfId="0" applyFont="1" applyBorder="1" applyAlignment="1" applyProtection="1">
      <alignment vertical="center"/>
      <protection locked="0"/>
    </xf>
    <xf numFmtId="0" fontId="10" fillId="0" borderId="3" xfId="0" applyFont="1" applyBorder="1" applyAlignment="1" applyProtection="1">
      <alignment vertical="center"/>
      <protection locked="0"/>
    </xf>
    <xf numFmtId="0" fontId="79" fillId="0" borderId="12" xfId="0" applyFont="1" applyBorder="1" applyAlignment="1" applyProtection="1">
      <alignment vertical="center"/>
      <protection locked="0"/>
    </xf>
    <xf numFmtId="0" fontId="79" fillId="0" borderId="7" xfId="0" applyFont="1" applyBorder="1" applyAlignment="1" applyProtection="1">
      <alignment vertical="center"/>
      <protection locked="0"/>
    </xf>
    <xf numFmtId="0" fontId="10" fillId="0" borderId="5" xfId="0" applyFont="1" applyBorder="1" applyAlignment="1" applyProtection="1">
      <alignment vertical="center"/>
      <protection locked="0"/>
    </xf>
    <xf numFmtId="0" fontId="6" fillId="0" borderId="7" xfId="0" applyFont="1" applyBorder="1" applyAlignment="1" applyProtection="1">
      <alignment horizontal="right" vertical="center"/>
      <protection locked="0"/>
    </xf>
    <xf numFmtId="168" fontId="79" fillId="0" borderId="0" xfId="0" applyNumberFormat="1" applyFont="1" applyAlignment="1" applyProtection="1">
      <alignment horizontal="right" vertical="center" indent="1"/>
      <protection locked="0"/>
    </xf>
    <xf numFmtId="3" fontId="79" fillId="0" borderId="0" xfId="0" applyNumberFormat="1" applyFont="1" applyAlignment="1" applyProtection="1">
      <alignment vertical="center"/>
      <protection locked="0"/>
    </xf>
    <xf numFmtId="0" fontId="6" fillId="0" borderId="17" xfId="0" applyFont="1" applyBorder="1" applyAlignment="1" applyProtection="1">
      <alignment horizontal="center" vertical="center"/>
      <protection locked="0"/>
    </xf>
    <xf numFmtId="0" fontId="6" fillId="0" borderId="17" xfId="0" applyFont="1" applyBorder="1" applyAlignment="1" applyProtection="1">
      <alignment vertical="center"/>
      <protection locked="0"/>
    </xf>
    <xf numFmtId="0" fontId="7" fillId="0" borderId="4" xfId="0" applyFont="1" applyBorder="1" applyAlignment="1" applyProtection="1">
      <alignment vertical="center"/>
      <protection locked="0"/>
    </xf>
    <xf numFmtId="0" fontId="6" fillId="0" borderId="5" xfId="0" applyFont="1" applyBorder="1" applyAlignment="1" applyProtection="1">
      <alignment horizontal="right" vertical="center"/>
      <protection locked="0"/>
    </xf>
    <xf numFmtId="0" fontId="79" fillId="0" borderId="4" xfId="0" applyFont="1" applyBorder="1" applyAlignment="1" applyProtection="1">
      <alignment vertical="center"/>
      <protection locked="0"/>
    </xf>
    <xf numFmtId="0" fontId="79" fillId="0" borderId="4" xfId="0" applyFont="1" applyBorder="1" applyAlignment="1" applyProtection="1">
      <alignment horizontal="left" vertical="center" wrapText="1"/>
      <protection locked="0"/>
    </xf>
    <xf numFmtId="0" fontId="79" fillId="0" borderId="0" xfId="0" applyFont="1" applyAlignment="1" applyProtection="1">
      <alignment vertical="center"/>
      <protection locked="0"/>
    </xf>
    <xf numFmtId="0" fontId="6" fillId="0" borderId="4" xfId="0" applyFont="1" applyBorder="1" applyAlignment="1" applyProtection="1">
      <alignment horizontal="center"/>
      <protection locked="0"/>
    </xf>
    <xf numFmtId="0" fontId="6" fillId="0" borderId="4" xfId="0" applyFont="1" applyBorder="1" applyProtection="1">
      <protection locked="0"/>
    </xf>
    <xf numFmtId="0" fontId="7" fillId="0" borderId="4" xfId="0" applyFont="1" applyBorder="1" applyProtection="1">
      <protection locked="0"/>
    </xf>
    <xf numFmtId="0" fontId="6" fillId="0" borderId="5" xfId="0" applyFont="1" applyBorder="1" applyAlignment="1" applyProtection="1">
      <alignment horizontal="right"/>
      <protection locked="0"/>
    </xf>
    <xf numFmtId="0" fontId="6" fillId="0" borderId="4" xfId="0" applyFont="1" applyBorder="1" applyAlignment="1" applyProtection="1">
      <alignment horizontal="right"/>
      <protection locked="0"/>
    </xf>
    <xf numFmtId="0" fontId="6" fillId="0" borderId="17" xfId="0" applyFont="1" applyBorder="1" applyAlignment="1" applyProtection="1">
      <alignment horizontal="right"/>
      <protection locked="0"/>
    </xf>
    <xf numFmtId="0" fontId="6" fillId="0" borderId="17" xfId="0" applyFont="1" applyBorder="1" applyProtection="1">
      <protection locked="0"/>
    </xf>
    <xf numFmtId="170" fontId="59" fillId="0" borderId="0" xfId="15" applyNumberFormat="1" applyFont="1" applyAlignment="1">
      <alignment vertical="center"/>
    </xf>
    <xf numFmtId="3" fontId="83" fillId="0" borderId="0" xfId="15" applyNumberFormat="1" applyFont="1" applyAlignment="1">
      <alignment vertical="center"/>
    </xf>
    <xf numFmtId="170" fontId="33" fillId="0" borderId="0" xfId="15" applyNumberFormat="1" applyFont="1" applyAlignment="1">
      <alignment vertical="center"/>
    </xf>
    <xf numFmtId="169" fontId="33" fillId="0" borderId="0" xfId="15" applyNumberFormat="1" applyFont="1" applyAlignment="1">
      <alignment vertical="center"/>
    </xf>
    <xf numFmtId="17" fontId="3" fillId="0" borderId="0" xfId="15" applyNumberFormat="1" applyAlignment="1">
      <alignment vertical="center"/>
    </xf>
    <xf numFmtId="169" fontId="3" fillId="0" borderId="0" xfId="11" applyNumberFormat="1" applyBorder="1" applyAlignment="1">
      <alignment vertical="center"/>
    </xf>
    <xf numFmtId="173" fontId="56" fillId="0" borderId="0" xfId="15" applyNumberFormat="1" applyFont="1" applyAlignment="1">
      <alignment vertical="center"/>
    </xf>
    <xf numFmtId="173" fontId="20" fillId="3" borderId="0" xfId="15" applyNumberFormat="1" applyFont="1" applyFill="1" applyAlignment="1" applyProtection="1">
      <alignment horizontal="center" vertical="center" wrapText="1"/>
      <protection locked="0" hidden="1"/>
    </xf>
    <xf numFmtId="173" fontId="23" fillId="0" borderId="0" xfId="15" applyNumberFormat="1" applyFont="1" applyAlignment="1">
      <alignment horizontal="center" vertical="center"/>
    </xf>
    <xf numFmtId="0" fontId="44" fillId="0" borderId="11" xfId="0" applyFont="1" applyBorder="1" applyAlignment="1" applyProtection="1">
      <alignment horizontal="center" vertical="center"/>
      <protection locked="0"/>
    </xf>
    <xf numFmtId="0" fontId="44" fillId="0" borderId="3" xfId="0" applyFont="1" applyBorder="1" applyAlignment="1" applyProtection="1">
      <alignment horizontal="center" vertical="center"/>
      <protection locked="0"/>
    </xf>
    <xf numFmtId="178" fontId="0" fillId="0" borderId="0" xfId="29" applyNumberFormat="1" applyFont="1" applyFill="1" applyProtection="1"/>
    <xf numFmtId="0" fontId="57" fillId="0" borderId="20" xfId="15" applyFont="1" applyBorder="1" applyAlignment="1">
      <alignment vertical="center"/>
    </xf>
    <xf numFmtId="0" fontId="3" fillId="0" borderId="21" xfId="15" applyBorder="1" applyAlignment="1">
      <alignment vertical="center"/>
    </xf>
    <xf numFmtId="0" fontId="86" fillId="0" borderId="0" xfId="0" applyFont="1" applyAlignment="1" applyProtection="1">
      <alignment vertical="center"/>
      <protection locked="0"/>
    </xf>
    <xf numFmtId="3" fontId="9" fillId="0" borderId="19" xfId="0" applyNumberFormat="1" applyFont="1" applyBorder="1" applyAlignment="1" applyProtection="1">
      <alignment horizontal="center" vertical="center"/>
      <protection locked="0"/>
    </xf>
    <xf numFmtId="3" fontId="9" fillId="0" borderId="18" xfId="0" applyNumberFormat="1" applyFont="1" applyBorder="1" applyAlignment="1" applyProtection="1">
      <alignment horizontal="center" vertical="center"/>
      <protection locked="0"/>
    </xf>
    <xf numFmtId="3" fontId="43" fillId="0" borderId="18" xfId="0" applyNumberFormat="1" applyFont="1" applyBorder="1" applyAlignment="1" applyProtection="1">
      <alignment horizontal="center" vertical="center"/>
      <protection locked="0"/>
    </xf>
    <xf numFmtId="2" fontId="0" fillId="0" borderId="0" xfId="0" applyNumberFormat="1"/>
    <xf numFmtId="3" fontId="43" fillId="0" borderId="23" xfId="0" applyNumberFormat="1" applyFont="1" applyBorder="1" applyAlignment="1" applyProtection="1">
      <alignment horizontal="center" vertical="center"/>
      <protection locked="0"/>
    </xf>
    <xf numFmtId="0" fontId="6" fillId="0" borderId="24" xfId="30" applyFont="1" applyBorder="1" applyAlignment="1" applyProtection="1">
      <alignment vertical="center" wrapText="1"/>
      <protection locked="0"/>
    </xf>
    <xf numFmtId="0" fontId="6" fillId="0" borderId="25" xfId="30" applyFont="1" applyBorder="1" applyAlignment="1" applyProtection="1">
      <alignment vertical="center"/>
      <protection locked="0"/>
    </xf>
    <xf numFmtId="0" fontId="6" fillId="0" borderId="26" xfId="30" applyFont="1" applyBorder="1" applyAlignment="1" applyProtection="1">
      <alignment vertical="center"/>
      <protection hidden="1"/>
    </xf>
    <xf numFmtId="0" fontId="6" fillId="0" borderId="25" xfId="31" applyFont="1" applyBorder="1" applyAlignment="1" applyProtection="1">
      <alignment vertical="center"/>
      <protection locked="0"/>
    </xf>
    <xf numFmtId="0" fontId="6" fillId="0" borderId="27" xfId="31" applyFont="1" applyBorder="1" applyAlignment="1" applyProtection="1">
      <alignment vertical="center"/>
      <protection locked="0"/>
    </xf>
    <xf numFmtId="0" fontId="6" fillId="0" borderId="26" xfId="31" applyFont="1" applyBorder="1" applyAlignment="1" applyProtection="1">
      <alignment vertical="center"/>
      <protection locked="0"/>
    </xf>
    <xf numFmtId="0" fontId="6" fillId="0" borderId="28" xfId="30" applyFont="1" applyBorder="1" applyAlignment="1" applyProtection="1">
      <alignment vertical="center" wrapText="1"/>
      <protection locked="0"/>
    </xf>
    <xf numFmtId="0" fontId="6" fillId="0" borderId="25" xfId="31" applyFont="1" applyBorder="1" applyAlignment="1" applyProtection="1">
      <alignment horizontal="center" vertical="center"/>
      <protection locked="0"/>
    </xf>
    <xf numFmtId="0" fontId="6" fillId="0" borderId="25" xfId="31" applyFont="1" applyBorder="1" applyAlignment="1" applyProtection="1">
      <alignment horizontal="center" vertical="center"/>
      <protection hidden="1"/>
    </xf>
    <xf numFmtId="0" fontId="6" fillId="0" borderId="29" xfId="30" applyFont="1" applyBorder="1" applyAlignment="1" applyProtection="1">
      <alignment horizontal="center" vertical="center"/>
      <protection locked="0"/>
    </xf>
    <xf numFmtId="0" fontId="6" fillId="0" borderId="30" xfId="0" applyFont="1" applyBorder="1" applyAlignment="1" applyProtection="1">
      <alignment vertical="center" wrapText="1"/>
      <protection locked="0"/>
    </xf>
    <xf numFmtId="0" fontId="6" fillId="0" borderId="31" xfId="0" applyFont="1" applyBorder="1" applyAlignment="1" applyProtection="1">
      <alignment vertical="center" wrapText="1"/>
      <protection hidden="1"/>
    </xf>
    <xf numFmtId="0" fontId="6" fillId="0" borderId="31" xfId="0" applyFont="1" applyBorder="1" applyAlignment="1" applyProtection="1">
      <alignment vertical="center" wrapText="1"/>
      <protection locked="0"/>
    </xf>
    <xf numFmtId="0" fontId="6" fillId="0" borderId="32" xfId="0" applyFont="1" applyBorder="1" applyAlignment="1" applyProtection="1">
      <alignment vertical="center" wrapText="1"/>
      <protection hidden="1"/>
    </xf>
    <xf numFmtId="0" fontId="6" fillId="0" borderId="33" xfId="24" applyFont="1" applyBorder="1" applyAlignment="1" applyProtection="1">
      <alignment vertical="center" wrapText="1"/>
      <protection locked="0"/>
    </xf>
    <xf numFmtId="0" fontId="6" fillId="0" borderId="24" xfId="24" applyFont="1" applyBorder="1" applyAlignment="1" applyProtection="1">
      <alignment vertical="center" wrapText="1"/>
      <protection locked="0"/>
    </xf>
    <xf numFmtId="0" fontId="6" fillId="0" borderId="29" xfId="30" applyFont="1" applyBorder="1" applyAlignment="1" applyProtection="1">
      <alignment vertical="center"/>
      <protection locked="0"/>
    </xf>
    <xf numFmtId="0" fontId="6" fillId="0" borderId="34" xfId="0" applyFont="1" applyBorder="1" applyAlignment="1" applyProtection="1">
      <alignment vertical="center" wrapText="1"/>
      <protection locked="0"/>
    </xf>
    <xf numFmtId="0" fontId="6" fillId="0" borderId="35" xfId="0" applyFont="1" applyBorder="1" applyAlignment="1" applyProtection="1">
      <alignment vertical="center" wrapText="1"/>
      <protection hidden="1"/>
    </xf>
    <xf numFmtId="0" fontId="6" fillId="0" borderId="35" xfId="0" applyFont="1" applyBorder="1" applyAlignment="1" applyProtection="1">
      <alignment vertical="center" wrapText="1"/>
      <protection locked="0"/>
    </xf>
    <xf numFmtId="0" fontId="6" fillId="0" borderId="36" xfId="0" applyFont="1" applyBorder="1" applyAlignment="1" applyProtection="1">
      <alignment vertical="center" wrapText="1"/>
      <protection hidden="1"/>
    </xf>
    <xf numFmtId="0" fontId="6" fillId="0" borderId="37" xfId="24" applyFont="1" applyBorder="1" applyAlignment="1" applyProtection="1">
      <alignment vertical="center" wrapText="1"/>
      <protection locked="0"/>
    </xf>
    <xf numFmtId="0" fontId="6" fillId="0" borderId="38" xfId="24" applyFont="1" applyBorder="1" applyAlignment="1" applyProtection="1">
      <alignment vertical="center" wrapText="1"/>
      <protection locked="0"/>
    </xf>
    <xf numFmtId="0" fontId="7" fillId="0" borderId="39" xfId="30" applyFont="1" applyBorder="1" applyAlignment="1" applyProtection="1">
      <alignment vertical="center"/>
      <protection locked="0"/>
    </xf>
    <xf numFmtId="3" fontId="6" fillId="0" borderId="40" xfId="23" applyNumberFormat="1" applyFont="1" applyFill="1" applyBorder="1" applyAlignment="1" applyProtection="1">
      <alignment horizontal="center" vertical="center"/>
      <protection locked="0"/>
    </xf>
    <xf numFmtId="3" fontId="6" fillId="0" borderId="38" xfId="23" applyNumberFormat="1" applyFont="1" applyFill="1" applyBorder="1" applyAlignment="1" applyProtection="1">
      <alignment horizontal="center" vertical="center"/>
      <protection locked="0"/>
    </xf>
    <xf numFmtId="2" fontId="6" fillId="0" borderId="38" xfId="23" applyNumberFormat="1" applyFont="1" applyFill="1" applyBorder="1" applyAlignment="1" applyProtection="1">
      <alignment horizontal="center" vertical="center"/>
      <protection locked="0"/>
    </xf>
    <xf numFmtId="3" fontId="7" fillId="0" borderId="41" xfId="23" applyNumberFormat="1" applyFont="1" applyFill="1" applyBorder="1" applyAlignment="1" applyProtection="1">
      <alignment horizontal="center" vertical="center"/>
      <protection locked="0"/>
    </xf>
    <xf numFmtId="0" fontId="6" fillId="0" borderId="42" xfId="30" applyFont="1" applyBorder="1" applyAlignment="1" applyProtection="1">
      <alignment horizontal="right" vertical="center"/>
      <protection locked="0"/>
    </xf>
    <xf numFmtId="3" fontId="6" fillId="0" borderId="25" xfId="23" applyNumberFormat="1" applyFont="1" applyFill="1" applyBorder="1" applyAlignment="1" applyProtection="1">
      <alignment horizontal="center" vertical="center"/>
      <protection locked="0"/>
    </xf>
    <xf numFmtId="3" fontId="6" fillId="0" borderId="42" xfId="23" applyNumberFormat="1" applyFont="1" applyFill="1" applyBorder="1" applyAlignment="1" applyProtection="1">
      <alignment horizontal="center" vertical="center"/>
      <protection locked="0"/>
    </xf>
    <xf numFmtId="2" fontId="6" fillId="0" borderId="42" xfId="23" applyNumberFormat="1" applyFont="1" applyFill="1" applyBorder="1" applyAlignment="1" applyProtection="1">
      <alignment horizontal="center" vertical="center"/>
      <protection locked="0"/>
    </xf>
    <xf numFmtId="3" fontId="8" fillId="0" borderId="43" xfId="23" applyNumberFormat="1" applyFont="1" applyFill="1" applyBorder="1" applyAlignment="1" applyProtection="1">
      <alignment vertical="center"/>
      <protection locked="0"/>
    </xf>
    <xf numFmtId="3" fontId="8" fillId="0" borderId="44" xfId="23" applyNumberFormat="1" applyFont="1" applyFill="1" applyBorder="1" applyAlignment="1" applyProtection="1">
      <alignment vertical="center"/>
      <protection hidden="1"/>
    </xf>
    <xf numFmtId="3" fontId="8" fillId="0" borderId="44" xfId="23" applyNumberFormat="1" applyFont="1" applyFill="1" applyBorder="1" applyAlignment="1" applyProtection="1">
      <alignment vertical="center"/>
      <protection locked="0"/>
    </xf>
    <xf numFmtId="2" fontId="8" fillId="0" borderId="44" xfId="23" applyNumberFormat="1" applyFont="1" applyFill="1" applyBorder="1" applyAlignment="1" applyProtection="1">
      <alignment vertical="center"/>
      <protection locked="0"/>
    </xf>
    <xf numFmtId="2" fontId="8" fillId="0" borderId="40" xfId="23" applyNumberFormat="1" applyFont="1" applyFill="1" applyBorder="1" applyAlignment="1" applyProtection="1">
      <alignment vertical="center"/>
      <protection locked="0"/>
    </xf>
    <xf numFmtId="0" fontId="79" fillId="0" borderId="39" xfId="30" applyFont="1" applyBorder="1" applyAlignment="1" applyProtection="1">
      <alignment vertical="center"/>
      <protection locked="0"/>
    </xf>
    <xf numFmtId="0" fontId="79" fillId="0" borderId="39" xfId="30" applyFont="1" applyBorder="1" applyAlignment="1" applyProtection="1">
      <alignment horizontal="left" vertical="center" wrapText="1"/>
      <protection locked="0"/>
    </xf>
    <xf numFmtId="2" fontId="7" fillId="0" borderId="41" xfId="23" applyNumberFormat="1" applyFont="1" applyFill="1" applyBorder="1" applyAlignment="1" applyProtection="1">
      <alignment horizontal="center" vertical="center"/>
      <protection locked="0"/>
    </xf>
    <xf numFmtId="3" fontId="8" fillId="0" borderId="25" xfId="23" applyNumberFormat="1" applyFont="1" applyFill="1" applyBorder="1" applyAlignment="1" applyProtection="1">
      <alignment vertical="center"/>
      <protection locked="0"/>
    </xf>
    <xf numFmtId="3" fontId="8" fillId="0" borderId="27" xfId="23" applyNumberFormat="1" applyFont="1" applyFill="1" applyBorder="1" applyAlignment="1" applyProtection="1">
      <alignment vertical="center"/>
      <protection hidden="1"/>
    </xf>
    <xf numFmtId="3" fontId="8" fillId="0" borderId="27" xfId="23" applyNumberFormat="1" applyFont="1" applyFill="1" applyBorder="1" applyAlignment="1" applyProtection="1">
      <alignment vertical="center"/>
      <protection locked="0"/>
    </xf>
    <xf numFmtId="2" fontId="8" fillId="0" borderId="27" xfId="23" applyNumberFormat="1" applyFont="1" applyFill="1" applyBorder="1" applyAlignment="1" applyProtection="1">
      <alignment vertical="center"/>
      <protection locked="0"/>
    </xf>
    <xf numFmtId="2" fontId="8" fillId="0" borderId="26" xfId="23" applyNumberFormat="1" applyFont="1" applyFill="1" applyBorder="1" applyAlignment="1" applyProtection="1">
      <alignment vertical="center"/>
      <protection locked="0"/>
    </xf>
    <xf numFmtId="168" fontId="11" fillId="0" borderId="0" xfId="30" applyNumberFormat="1" applyFont="1" applyAlignment="1" applyProtection="1">
      <alignment horizontal="right" vertical="center" indent="1"/>
      <protection locked="0"/>
    </xf>
    <xf numFmtId="0" fontId="79" fillId="0" borderId="0" xfId="30" applyFont="1" applyAlignment="1" applyProtection="1">
      <alignment vertical="center"/>
      <protection locked="0"/>
    </xf>
    <xf numFmtId="166" fontId="79" fillId="0" borderId="0" xfId="30" applyNumberFormat="1" applyFont="1" applyAlignment="1" applyProtection="1">
      <alignment vertical="center"/>
      <protection locked="0"/>
    </xf>
    <xf numFmtId="0" fontId="79" fillId="0" borderId="0" xfId="30" applyFont="1" applyAlignment="1" applyProtection="1">
      <alignment vertical="center"/>
      <protection hidden="1"/>
    </xf>
    <xf numFmtId="0" fontId="88" fillId="0" borderId="0" xfId="30" applyFont="1" applyAlignment="1" applyProtection="1">
      <alignment horizontal="left"/>
      <protection locked="0"/>
    </xf>
    <xf numFmtId="0" fontId="89" fillId="0" borderId="44" xfId="30" applyFont="1" applyBorder="1" applyAlignment="1" applyProtection="1">
      <alignment vertical="center"/>
      <protection locked="0"/>
    </xf>
    <xf numFmtId="0" fontId="89" fillId="0" borderId="44" xfId="30" applyFont="1" applyBorder="1" applyAlignment="1" applyProtection="1">
      <alignment vertical="center"/>
      <protection hidden="1"/>
    </xf>
    <xf numFmtId="0" fontId="79" fillId="0" borderId="0" xfId="30" applyFont="1" applyProtection="1">
      <protection locked="0"/>
    </xf>
    <xf numFmtId="0" fontId="79" fillId="0" borderId="0" xfId="30" applyFont="1" applyProtection="1">
      <protection hidden="1"/>
    </xf>
    <xf numFmtId="0" fontId="6" fillId="0" borderId="24" xfId="30" applyFont="1" applyBorder="1" applyAlignment="1" applyProtection="1">
      <alignment wrapText="1"/>
      <protection locked="0"/>
    </xf>
    <xf numFmtId="0" fontId="6" fillId="0" borderId="25" xfId="30" applyFont="1" applyBorder="1" applyProtection="1">
      <protection locked="0"/>
    </xf>
    <xf numFmtId="0" fontId="6" fillId="0" borderId="26" xfId="30" applyFont="1" applyBorder="1" applyProtection="1">
      <protection hidden="1"/>
    </xf>
    <xf numFmtId="0" fontId="6" fillId="0" borderId="28" xfId="30" applyFont="1" applyBorder="1" applyAlignment="1" applyProtection="1">
      <alignment wrapText="1"/>
      <protection locked="0"/>
    </xf>
    <xf numFmtId="0" fontId="6" fillId="0" borderId="39" xfId="30" applyFont="1" applyBorder="1" applyAlignment="1" applyProtection="1">
      <alignment horizontal="center"/>
      <protection locked="0"/>
    </xf>
    <xf numFmtId="166" fontId="12" fillId="0" borderId="30" xfId="30" applyNumberFormat="1" applyFont="1" applyBorder="1" applyAlignment="1" applyProtection="1">
      <alignment vertical="center"/>
      <protection locked="0"/>
    </xf>
    <xf numFmtId="166" fontId="12" fillId="0" borderId="31" xfId="30" applyNumberFormat="1" applyFont="1" applyBorder="1" applyAlignment="1" applyProtection="1">
      <alignment vertical="center"/>
      <protection hidden="1"/>
    </xf>
    <xf numFmtId="166" fontId="12" fillId="0" borderId="31" xfId="30" applyNumberFormat="1" applyFont="1" applyBorder="1" applyAlignment="1" applyProtection="1">
      <alignment vertical="center"/>
      <protection locked="0"/>
    </xf>
    <xf numFmtId="166" fontId="12" fillId="0" borderId="45" xfId="30" applyNumberFormat="1" applyFont="1" applyBorder="1" applyAlignment="1" applyProtection="1">
      <alignment vertical="center"/>
      <protection hidden="1"/>
    </xf>
    <xf numFmtId="0" fontId="6" fillId="0" borderId="39" xfId="30" applyFont="1" applyBorder="1" applyProtection="1">
      <protection locked="0"/>
    </xf>
    <xf numFmtId="166" fontId="12" fillId="0" borderId="43" xfId="30" applyNumberFormat="1" applyFont="1" applyBorder="1" applyAlignment="1" applyProtection="1">
      <alignment vertical="center"/>
      <protection locked="0"/>
    </xf>
    <xf numFmtId="166" fontId="12" fillId="0" borderId="44" xfId="30" applyNumberFormat="1" applyFont="1" applyBorder="1" applyAlignment="1" applyProtection="1">
      <alignment vertical="center"/>
      <protection hidden="1"/>
    </xf>
    <xf numFmtId="166" fontId="12" fillId="0" borderId="44" xfId="30" applyNumberFormat="1" applyFont="1" applyBorder="1" applyAlignment="1" applyProtection="1">
      <alignment vertical="center"/>
      <protection locked="0"/>
    </xf>
    <xf numFmtId="166" fontId="12" fillId="0" borderId="40" xfId="30" applyNumberFormat="1" applyFont="1" applyBorder="1" applyAlignment="1" applyProtection="1">
      <alignment vertical="center"/>
      <protection hidden="1"/>
    </xf>
    <xf numFmtId="0" fontId="7" fillId="0" borderId="39" xfId="30" applyFont="1" applyBorder="1" applyProtection="1">
      <protection locked="0"/>
    </xf>
    <xf numFmtId="3" fontId="6" fillId="0" borderId="26" xfId="23" applyNumberFormat="1" applyFont="1" applyFill="1" applyBorder="1" applyAlignment="1" applyProtection="1">
      <alignment horizontal="center" vertical="center"/>
      <protection locked="0"/>
    </xf>
    <xf numFmtId="0" fontId="6" fillId="0" borderId="42" xfId="30" applyFont="1" applyBorder="1" applyAlignment="1" applyProtection="1">
      <alignment horizontal="right"/>
      <protection locked="0"/>
    </xf>
    <xf numFmtId="3" fontId="6" fillId="0" borderId="27" xfId="23" applyNumberFormat="1" applyFont="1" applyFill="1" applyBorder="1" applyAlignment="1" applyProtection="1">
      <alignment horizontal="center" vertical="center"/>
      <protection locked="0"/>
    </xf>
    <xf numFmtId="3" fontId="6" fillId="0" borderId="24" xfId="23" applyNumberFormat="1" applyFont="1" applyFill="1" applyBorder="1" applyAlignment="1" applyProtection="1">
      <alignment horizontal="center" vertical="center"/>
      <protection locked="0"/>
    </xf>
    <xf numFmtId="2" fontId="6" fillId="0" borderId="24" xfId="23" applyNumberFormat="1" applyFont="1" applyFill="1" applyBorder="1" applyAlignment="1" applyProtection="1">
      <alignment horizontal="center" vertical="center"/>
      <protection locked="0"/>
    </xf>
    <xf numFmtId="0" fontId="6" fillId="0" borderId="39" xfId="30" applyFont="1" applyBorder="1" applyAlignment="1" applyProtection="1">
      <alignment horizontal="right"/>
      <protection locked="0"/>
    </xf>
    <xf numFmtId="3" fontId="8" fillId="0" borderId="30" xfId="23" applyNumberFormat="1" applyFont="1" applyFill="1" applyBorder="1" applyAlignment="1" applyProtection="1">
      <alignment vertical="center"/>
      <protection locked="0"/>
    </xf>
    <xf numFmtId="3" fontId="8" fillId="0" borderId="31" xfId="23" applyNumberFormat="1" applyFont="1" applyFill="1" applyBorder="1" applyAlignment="1" applyProtection="1">
      <alignment vertical="center"/>
      <protection hidden="1"/>
    </xf>
    <xf numFmtId="3" fontId="8" fillId="0" borderId="31" xfId="23" applyNumberFormat="1" applyFont="1" applyFill="1" applyBorder="1" applyAlignment="1" applyProtection="1">
      <alignment vertical="center"/>
      <protection locked="0"/>
    </xf>
    <xf numFmtId="3" fontId="8" fillId="0" borderId="45" xfId="23" applyNumberFormat="1" applyFont="1" applyFill="1" applyBorder="1" applyAlignment="1" applyProtection="1">
      <alignment vertical="center"/>
      <protection locked="0"/>
    </xf>
    <xf numFmtId="3" fontId="8" fillId="0" borderId="40" xfId="23" applyNumberFormat="1" applyFont="1" applyFill="1" applyBorder="1" applyAlignment="1" applyProtection="1">
      <alignment vertical="center"/>
      <protection locked="0"/>
    </xf>
    <xf numFmtId="3" fontId="7" fillId="0" borderId="41" xfId="23" applyNumberFormat="1" applyFont="1" applyFill="1" applyBorder="1" applyAlignment="1" applyProtection="1">
      <alignment horizontal="center" vertical="center"/>
      <protection hidden="1"/>
    </xf>
    <xf numFmtId="166" fontId="11" fillId="0" borderId="0" xfId="30" applyNumberFormat="1" applyFont="1" applyAlignment="1" applyProtection="1">
      <alignment vertical="center"/>
      <protection locked="0"/>
    </xf>
    <xf numFmtId="166" fontId="11" fillId="0" borderId="0" xfId="30" applyNumberFormat="1" applyFont="1" applyAlignment="1" applyProtection="1">
      <alignment vertical="center"/>
      <protection hidden="1"/>
    </xf>
    <xf numFmtId="0" fontId="90" fillId="0" borderId="0" xfId="0" applyFont="1" applyProtection="1">
      <protection locked="0"/>
    </xf>
    <xf numFmtId="3" fontId="6" fillId="0" borderId="30" xfId="23" applyNumberFormat="1" applyFont="1" applyFill="1" applyBorder="1" applyAlignment="1" applyProtection="1">
      <alignment horizontal="center" vertical="center"/>
      <protection locked="0"/>
    </xf>
    <xf numFmtId="0" fontId="6" fillId="0" borderId="29" xfId="30" applyFont="1" applyBorder="1" applyAlignment="1" applyProtection="1">
      <alignment horizontal="right"/>
      <protection locked="0"/>
    </xf>
    <xf numFmtId="167" fontId="6" fillId="0" borderId="31" xfId="23" applyNumberFormat="1" applyFont="1" applyFill="1" applyBorder="1" applyAlignment="1" applyProtection="1">
      <alignment horizontal="center" vertical="center"/>
      <protection locked="0"/>
    </xf>
    <xf numFmtId="2" fontId="8" fillId="0" borderId="31" xfId="23" applyNumberFormat="1" applyFont="1" applyFill="1" applyBorder="1" applyAlignment="1" applyProtection="1">
      <alignment vertical="center"/>
      <protection locked="0"/>
    </xf>
    <xf numFmtId="2" fontId="8" fillId="0" borderId="45" xfId="23" applyNumberFormat="1" applyFont="1" applyFill="1" applyBorder="1" applyAlignment="1" applyProtection="1">
      <alignment vertical="center"/>
      <protection locked="0"/>
    </xf>
    <xf numFmtId="0" fontId="6" fillId="0" borderId="29" xfId="30" applyFont="1" applyBorder="1" applyProtection="1">
      <protection locked="0"/>
    </xf>
    <xf numFmtId="0" fontId="79" fillId="0" borderId="24" xfId="31" applyFont="1" applyBorder="1" applyAlignment="1" applyProtection="1">
      <alignment horizontal="left" vertical="center"/>
      <protection locked="0"/>
    </xf>
    <xf numFmtId="0" fontId="6" fillId="0" borderId="26" xfId="31" applyFont="1" applyBorder="1" applyAlignment="1" applyProtection="1">
      <alignment vertical="center"/>
      <protection hidden="1"/>
    </xf>
    <xf numFmtId="0" fontId="91" fillId="0" borderId="25" xfId="31" applyFont="1" applyBorder="1" applyAlignment="1" applyProtection="1">
      <alignment vertical="center"/>
      <protection locked="0"/>
    </xf>
    <xf numFmtId="0" fontId="91" fillId="0" borderId="26" xfId="31" applyFont="1" applyBorder="1" applyAlignment="1" applyProtection="1">
      <alignment vertical="center"/>
      <protection hidden="1"/>
    </xf>
    <xf numFmtId="0" fontId="79" fillId="0" borderId="39" xfId="31" applyFont="1" applyBorder="1" applyAlignment="1" applyProtection="1">
      <alignment horizontal="left" vertical="center"/>
      <protection locked="0"/>
    </xf>
    <xf numFmtId="0" fontId="79" fillId="0" borderId="24" xfId="31" applyFont="1" applyBorder="1" applyAlignment="1" applyProtection="1">
      <alignment vertical="center"/>
      <protection locked="0"/>
    </xf>
    <xf numFmtId="0" fontId="6" fillId="0" borderId="30" xfId="31" applyFont="1" applyBorder="1" applyAlignment="1" applyProtection="1">
      <alignment vertical="center" wrapText="1"/>
      <protection locked="0"/>
    </xf>
    <xf numFmtId="0" fontId="6" fillId="0" borderId="31" xfId="31" applyFont="1" applyBorder="1" applyAlignment="1" applyProtection="1">
      <alignment vertical="center" wrapText="1"/>
      <protection hidden="1"/>
    </xf>
    <xf numFmtId="0" fontId="6" fillId="0" borderId="31" xfId="31" applyFont="1" applyBorder="1" applyAlignment="1" applyProtection="1">
      <alignment vertical="center" wrapText="1"/>
      <protection locked="0"/>
    </xf>
    <xf numFmtId="0" fontId="6" fillId="0" borderId="45" xfId="31" applyFont="1" applyBorder="1" applyAlignment="1" applyProtection="1">
      <alignment vertical="center" wrapText="1"/>
      <protection hidden="1"/>
    </xf>
    <xf numFmtId="0" fontId="79" fillId="0" borderId="38" xfId="31" applyFont="1" applyBorder="1" applyAlignment="1" applyProtection="1">
      <alignment vertical="center"/>
      <protection locked="0"/>
    </xf>
    <xf numFmtId="0" fontId="6" fillId="0" borderId="43" xfId="31" applyFont="1" applyBorder="1" applyAlignment="1" applyProtection="1">
      <alignment vertical="center" wrapText="1"/>
      <protection locked="0"/>
    </xf>
    <xf numFmtId="0" fontId="6" fillId="0" borderId="44" xfId="31" applyFont="1" applyBorder="1" applyAlignment="1" applyProtection="1">
      <alignment vertical="center" wrapText="1"/>
      <protection hidden="1"/>
    </xf>
    <xf numFmtId="0" fontId="6" fillId="0" borderId="44" xfId="31" applyFont="1" applyBorder="1" applyAlignment="1" applyProtection="1">
      <alignment vertical="center" wrapText="1"/>
      <protection locked="0"/>
    </xf>
    <xf numFmtId="0" fontId="6" fillId="0" borderId="40" xfId="31" applyFont="1" applyBorder="1" applyAlignment="1" applyProtection="1">
      <alignment vertical="center" wrapText="1"/>
      <protection hidden="1"/>
    </xf>
    <xf numFmtId="0" fontId="6" fillId="0" borderId="46" xfId="31" applyFont="1" applyBorder="1" applyAlignment="1" applyProtection="1">
      <alignment vertical="center"/>
      <protection locked="0"/>
    </xf>
    <xf numFmtId="3" fontId="9" fillId="0" borderId="25" xfId="31" applyNumberFormat="1" applyFont="1" applyBorder="1" applyAlignment="1" applyProtection="1">
      <alignment horizontal="center" vertical="center"/>
      <protection locked="0"/>
    </xf>
    <xf numFmtId="3" fontId="9" fillId="0" borderId="27" xfId="31" applyNumberFormat="1" applyFont="1" applyBorder="1" applyAlignment="1" applyProtection="1">
      <alignment horizontal="center" vertical="center"/>
      <protection hidden="1"/>
    </xf>
    <xf numFmtId="3" fontId="9" fillId="0" borderId="27" xfId="31" applyNumberFormat="1" applyFont="1" applyBorder="1" applyAlignment="1" applyProtection="1">
      <alignment horizontal="center" vertical="center"/>
      <protection locked="0"/>
    </xf>
    <xf numFmtId="3" fontId="7" fillId="0" borderId="27" xfId="23" applyNumberFormat="1" applyFont="1" applyFill="1" applyBorder="1" applyAlignment="1" applyProtection="1">
      <alignment horizontal="center" vertical="center"/>
      <protection hidden="1"/>
    </xf>
    <xf numFmtId="3" fontId="48" fillId="0" borderId="27" xfId="0" applyNumberFormat="1" applyFont="1" applyBorder="1" applyAlignment="1" applyProtection="1">
      <alignment horizontal="center" vertical="center"/>
      <protection locked="0"/>
    </xf>
    <xf numFmtId="3" fontId="48" fillId="0" borderId="26" xfId="0" applyNumberFormat="1" applyFont="1" applyBorder="1" applyAlignment="1" applyProtection="1">
      <alignment horizontal="center" vertical="center"/>
      <protection locked="0"/>
    </xf>
    <xf numFmtId="3" fontId="6" fillId="0" borderId="29" xfId="23" applyNumberFormat="1" applyFont="1" applyFill="1" applyBorder="1" applyAlignment="1" applyProtection="1">
      <alignment horizontal="center" vertical="center"/>
      <protection locked="0"/>
    </xf>
    <xf numFmtId="0" fontId="10" fillId="0" borderId="24" xfId="31" applyFont="1" applyBorder="1" applyAlignment="1" applyProtection="1">
      <alignment vertical="center"/>
      <protection locked="0"/>
    </xf>
    <xf numFmtId="3" fontId="44" fillId="0" borderId="11" xfId="0" applyNumberFormat="1" applyFont="1" applyBorder="1" applyAlignment="1" applyProtection="1">
      <alignment horizontal="center" vertical="center"/>
      <protection locked="0"/>
    </xf>
    <xf numFmtId="2" fontId="44" fillId="0" borderId="24" xfId="0" applyNumberFormat="1" applyFont="1" applyBorder="1" applyAlignment="1" applyProtection="1">
      <alignment horizontal="center" vertical="center"/>
      <protection locked="0"/>
    </xf>
    <xf numFmtId="0" fontId="79" fillId="0" borderId="25" xfId="31" applyFont="1" applyBorder="1" applyAlignment="1" applyProtection="1">
      <alignment vertical="center"/>
      <protection locked="0"/>
    </xf>
    <xf numFmtId="3" fontId="8" fillId="0" borderId="27" xfId="23" applyNumberFormat="1" applyFont="1" applyFill="1" applyBorder="1" applyAlignment="1" applyProtection="1">
      <alignment horizontal="center" vertical="center"/>
      <protection locked="0"/>
    </xf>
    <xf numFmtId="3" fontId="8" fillId="0" borderId="27" xfId="23" applyNumberFormat="1" applyFont="1" applyFill="1" applyBorder="1" applyAlignment="1" applyProtection="1">
      <alignment horizontal="center" vertical="center"/>
      <protection hidden="1"/>
    </xf>
    <xf numFmtId="3" fontId="51" fillId="0" borderId="27" xfId="0" applyNumberFormat="1" applyFont="1" applyBorder="1" applyAlignment="1" applyProtection="1">
      <alignment horizontal="center" vertical="center"/>
      <protection locked="0"/>
    </xf>
    <xf numFmtId="3" fontId="51" fillId="0" borderId="26" xfId="0" applyNumberFormat="1" applyFont="1" applyBorder="1" applyAlignment="1" applyProtection="1">
      <alignment horizontal="center" vertical="center"/>
      <protection locked="0"/>
    </xf>
    <xf numFmtId="0" fontId="10" fillId="0" borderId="42" xfId="31" applyFont="1" applyBorder="1" applyAlignment="1" applyProtection="1">
      <alignment vertical="center"/>
      <protection locked="0"/>
    </xf>
    <xf numFmtId="3" fontId="44" fillId="0" borderId="42" xfId="0" applyNumberFormat="1" applyFont="1" applyBorder="1" applyAlignment="1" applyProtection="1">
      <alignment horizontal="center" vertical="center"/>
      <protection locked="0"/>
    </xf>
    <xf numFmtId="2" fontId="44" fillId="0" borderId="42" xfId="0" applyNumberFormat="1" applyFont="1" applyBorder="1" applyAlignment="1" applyProtection="1">
      <alignment horizontal="center" vertical="center"/>
      <protection locked="0"/>
    </xf>
    <xf numFmtId="0" fontId="6" fillId="0" borderId="38" xfId="31" applyFont="1" applyBorder="1" applyAlignment="1" applyProtection="1">
      <alignment horizontal="right" vertical="center"/>
      <protection locked="0"/>
    </xf>
    <xf numFmtId="10" fontId="61" fillId="0" borderId="0" xfId="15" applyNumberFormat="1" applyFont="1" applyAlignment="1">
      <alignment vertical="center"/>
    </xf>
    <xf numFmtId="3" fontId="92" fillId="0" borderId="18" xfId="0" applyNumberFormat="1" applyFont="1" applyBorder="1" applyAlignment="1" applyProtection="1">
      <alignment horizontal="center" vertical="center"/>
      <protection locked="0"/>
    </xf>
    <xf numFmtId="3" fontId="92" fillId="0" borderId="23" xfId="0" applyNumberFormat="1" applyFont="1" applyBorder="1" applyAlignment="1" applyProtection="1">
      <alignment horizontal="center" vertical="center"/>
      <protection locked="0"/>
    </xf>
    <xf numFmtId="0" fontId="92" fillId="0" borderId="0" xfId="0" applyFont="1" applyProtection="1">
      <protection locked="0"/>
    </xf>
    <xf numFmtId="0" fontId="92" fillId="0" borderId="4" xfId="0" applyFont="1" applyBorder="1" applyAlignment="1" applyProtection="1">
      <alignment vertical="center"/>
      <protection locked="0"/>
    </xf>
    <xf numFmtId="0" fontId="92" fillId="0" borderId="4" xfId="0" applyFont="1" applyBorder="1" applyProtection="1">
      <protection locked="0"/>
    </xf>
    <xf numFmtId="0" fontId="94" fillId="0" borderId="0" xfId="0" applyFont="1" applyProtection="1">
      <protection locked="0"/>
    </xf>
    <xf numFmtId="3" fontId="92" fillId="0" borderId="47" xfId="0" applyNumberFormat="1" applyFont="1" applyBorder="1" applyAlignment="1" applyProtection="1">
      <alignment horizontal="center" vertical="center"/>
      <protection locked="0"/>
    </xf>
    <xf numFmtId="3" fontId="92" fillId="0" borderId="48" xfId="0" applyNumberFormat="1" applyFont="1" applyBorder="1" applyAlignment="1" applyProtection="1">
      <alignment horizontal="center" vertical="center"/>
      <protection locked="0"/>
    </xf>
    <xf numFmtId="3" fontId="92" fillId="0" borderId="47" xfId="0" applyNumberFormat="1" applyFont="1" applyBorder="1" applyAlignment="1">
      <alignment horizontal="center" vertical="center"/>
    </xf>
    <xf numFmtId="2" fontId="92" fillId="0" borderId="47" xfId="0" applyNumberFormat="1" applyFont="1" applyBorder="1" applyAlignment="1">
      <alignment horizontal="center" vertical="center"/>
    </xf>
    <xf numFmtId="3" fontId="92" fillId="0" borderId="51" xfId="0" applyNumberFormat="1" applyFont="1" applyBorder="1" applyAlignment="1" applyProtection="1">
      <alignment horizontal="center" vertical="center"/>
      <protection locked="0"/>
    </xf>
    <xf numFmtId="0" fontId="44" fillId="0" borderId="48" xfId="0" applyFont="1" applyBorder="1" applyAlignment="1" applyProtection="1">
      <alignment vertical="center"/>
      <protection locked="0"/>
    </xf>
    <xf numFmtId="3" fontId="47" fillId="0" borderId="51" xfId="0" applyNumberFormat="1" applyFont="1" applyBorder="1" applyAlignment="1" applyProtection="1">
      <alignment horizontal="center" vertical="center"/>
      <protection locked="0"/>
    </xf>
    <xf numFmtId="3" fontId="47" fillId="0" borderId="48" xfId="0" applyNumberFormat="1" applyFont="1" applyBorder="1" applyAlignment="1" applyProtection="1">
      <alignment horizontal="center" vertical="center"/>
      <protection locked="0"/>
    </xf>
    <xf numFmtId="3" fontId="44" fillId="0" borderId="51" xfId="0" applyNumberFormat="1" applyFont="1" applyBorder="1" applyAlignment="1">
      <alignment horizontal="center" vertical="center"/>
    </xf>
    <xf numFmtId="3" fontId="44" fillId="0" borderId="48" xfId="0" applyNumberFormat="1" applyFont="1" applyBorder="1" applyAlignment="1">
      <alignment horizontal="center" vertical="center"/>
    </xf>
    <xf numFmtId="3" fontId="44" fillId="0" borderId="47" xfId="0" applyNumberFormat="1" applyFont="1" applyBorder="1" applyAlignment="1">
      <alignment horizontal="center" vertical="center"/>
    </xf>
    <xf numFmtId="173" fontId="23" fillId="0" borderId="49" xfId="15" applyNumberFormat="1" applyFont="1" applyBorder="1" applyAlignment="1">
      <alignment horizontal="center" vertical="center"/>
    </xf>
    <xf numFmtId="173" fontId="21" fillId="0" borderId="52" xfId="15" applyNumberFormat="1" applyFont="1" applyBorder="1" applyAlignment="1">
      <alignment horizontal="center" vertical="center" wrapText="1"/>
    </xf>
    <xf numFmtId="173" fontId="21" fillId="0" borderId="53" xfId="15" applyNumberFormat="1" applyFont="1" applyBorder="1" applyAlignment="1">
      <alignment horizontal="center" vertical="center" wrapText="1"/>
    </xf>
    <xf numFmtId="0" fontId="21" fillId="0" borderId="54" xfId="15" applyFont="1" applyBorder="1" applyAlignment="1">
      <alignment horizontal="center" vertical="center" wrapText="1"/>
    </xf>
    <xf numFmtId="173" fontId="56" fillId="0" borderId="55" xfId="15" applyNumberFormat="1" applyFont="1" applyBorder="1" applyAlignment="1">
      <alignment vertical="center"/>
    </xf>
    <xf numFmtId="173" fontId="21" fillId="2" borderId="53" xfId="15" applyNumberFormat="1" applyFont="1" applyFill="1" applyBorder="1" applyAlignment="1">
      <alignment horizontal="center" vertical="center" wrapText="1"/>
    </xf>
    <xf numFmtId="173" fontId="21" fillId="2" borderId="52" xfId="15" applyNumberFormat="1" applyFont="1" applyFill="1" applyBorder="1" applyAlignment="1">
      <alignment horizontal="center" vertical="center" wrapText="1"/>
    </xf>
    <xf numFmtId="0" fontId="21" fillId="2" borderId="54" xfId="15" applyFont="1" applyFill="1" applyBorder="1" applyAlignment="1">
      <alignment horizontal="center" vertical="center" wrapText="1"/>
    </xf>
    <xf numFmtId="173" fontId="56" fillId="2" borderId="55" xfId="15" applyNumberFormat="1" applyFont="1" applyFill="1" applyBorder="1" applyAlignment="1">
      <alignment vertical="center"/>
    </xf>
    <xf numFmtId="173" fontId="23" fillId="2" borderId="49" xfId="15" applyNumberFormat="1" applyFont="1" applyFill="1" applyBorder="1" applyAlignment="1">
      <alignment horizontal="center"/>
    </xf>
    <xf numFmtId="173" fontId="3" fillId="2" borderId="55" xfId="15" applyNumberFormat="1" applyFill="1" applyBorder="1"/>
    <xf numFmtId="173" fontId="21" fillId="0" borderId="54" xfId="15" applyNumberFormat="1" applyFont="1" applyBorder="1" applyAlignment="1">
      <alignment horizontal="center" vertical="center" wrapText="1"/>
    </xf>
    <xf numFmtId="0" fontId="21" fillId="0" borderId="52" xfId="15" applyFont="1" applyBorder="1" applyAlignment="1">
      <alignment horizontal="center" vertical="center" wrapText="1"/>
    </xf>
    <xf numFmtId="0" fontId="21" fillId="0" borderId="53" xfId="15" applyFont="1" applyBorder="1" applyAlignment="1">
      <alignment horizontal="center" vertical="center" wrapText="1"/>
    </xf>
    <xf numFmtId="0" fontId="46" fillId="0" borderId="56" xfId="19" applyFont="1" applyBorder="1" applyAlignment="1" applyProtection="1">
      <alignment vertical="center"/>
      <protection locked="0"/>
    </xf>
    <xf numFmtId="3" fontId="43" fillId="0" borderId="57" xfId="19" applyNumberFormat="1" applyFont="1" applyBorder="1" applyAlignment="1" applyProtection="1">
      <alignment horizontal="center" vertical="center"/>
      <protection locked="0"/>
    </xf>
    <xf numFmtId="3" fontId="43" fillId="0" borderId="57" xfId="19" applyNumberFormat="1" applyFont="1" applyBorder="1" applyAlignment="1">
      <alignment horizontal="center" vertical="center"/>
    </xf>
    <xf numFmtId="2" fontId="43" fillId="0" borderId="56" xfId="19" applyNumberFormat="1" applyFont="1" applyBorder="1" applyAlignment="1">
      <alignment horizontal="center" vertical="center"/>
    </xf>
    <xf numFmtId="0" fontId="49" fillId="0" borderId="56" xfId="19" applyFont="1" applyBorder="1" applyAlignment="1" applyProtection="1">
      <alignment horizontal="left" vertical="center" indent="2"/>
      <protection locked="0"/>
    </xf>
    <xf numFmtId="1" fontId="43" fillId="0" borderId="56" xfId="19" applyNumberFormat="1" applyFont="1" applyBorder="1" applyAlignment="1">
      <alignment horizontal="center" vertical="center"/>
    </xf>
    <xf numFmtId="0" fontId="46" fillId="0" borderId="56" xfId="19" applyFont="1" applyBorder="1" applyAlignment="1" applyProtection="1">
      <alignment horizontal="left" vertical="center" indent="1"/>
      <protection locked="0"/>
    </xf>
    <xf numFmtId="0" fontId="46" fillId="0" borderId="58" xfId="19" applyFont="1" applyBorder="1" applyAlignment="1" applyProtection="1">
      <alignment vertical="center"/>
      <protection locked="0"/>
    </xf>
    <xf numFmtId="2" fontId="43" fillId="0" borderId="58" xfId="19" applyNumberFormat="1" applyFont="1" applyBorder="1" applyAlignment="1">
      <alignment horizontal="center" vertical="center"/>
    </xf>
    <xf numFmtId="3" fontId="44" fillId="0" borderId="57" xfId="19" applyNumberFormat="1" applyFont="1" applyBorder="1" applyAlignment="1" applyProtection="1">
      <alignment horizontal="center" vertical="center"/>
      <protection locked="0"/>
    </xf>
    <xf numFmtId="0" fontId="44" fillId="0" borderId="48" xfId="19" applyFont="1" applyBorder="1" applyAlignment="1" applyProtection="1">
      <alignment vertical="center"/>
      <protection locked="0"/>
    </xf>
    <xf numFmtId="3" fontId="47" fillId="0" borderId="51" xfId="19" applyNumberFormat="1" applyFont="1" applyBorder="1" applyAlignment="1" applyProtection="1">
      <alignment horizontal="center" vertical="center"/>
      <protection locked="0"/>
    </xf>
    <xf numFmtId="3" fontId="47" fillId="0" borderId="48" xfId="19" applyNumberFormat="1" applyFont="1" applyBorder="1" applyAlignment="1" applyProtection="1">
      <alignment horizontal="center" vertical="center"/>
      <protection locked="0"/>
    </xf>
    <xf numFmtId="3" fontId="44" fillId="0" borderId="51" xfId="19" applyNumberFormat="1" applyFont="1" applyBorder="1" applyAlignment="1">
      <alignment horizontal="center" vertical="center"/>
    </xf>
    <xf numFmtId="3" fontId="44" fillId="0" borderId="48" xfId="19" applyNumberFormat="1" applyFont="1" applyBorder="1" applyAlignment="1">
      <alignment horizontal="center" vertical="center"/>
    </xf>
    <xf numFmtId="3" fontId="44" fillId="0" borderId="47" xfId="19" applyNumberFormat="1" applyFont="1" applyBorder="1" applyAlignment="1">
      <alignment horizontal="center" vertical="center"/>
    </xf>
    <xf numFmtId="3" fontId="44" fillId="0" borderId="57" xfId="19" applyNumberFormat="1" applyFont="1" applyBorder="1" applyAlignment="1">
      <alignment horizontal="center" vertical="center"/>
    </xf>
    <xf numFmtId="2" fontId="44" fillId="0" borderId="56" xfId="19" applyNumberFormat="1" applyFont="1" applyBorder="1" applyAlignment="1">
      <alignment horizontal="center" vertical="center"/>
    </xf>
    <xf numFmtId="0" fontId="46" fillId="0" borderId="56" xfId="19" applyFont="1" applyBorder="1" applyAlignment="1" applyProtection="1">
      <alignment horizontal="left" vertical="center" wrapText="1"/>
      <protection locked="0"/>
    </xf>
    <xf numFmtId="3" fontId="44" fillId="0" borderId="56" xfId="19" applyNumberFormat="1" applyFont="1" applyBorder="1" applyAlignment="1">
      <alignment horizontal="center" vertical="center"/>
    </xf>
    <xf numFmtId="2" fontId="44" fillId="0" borderId="59" xfId="19" applyNumberFormat="1" applyFont="1" applyBorder="1" applyAlignment="1">
      <alignment horizontal="center" vertical="center"/>
    </xf>
    <xf numFmtId="3" fontId="44" fillId="0" borderId="60" xfId="19" applyNumberFormat="1" applyFont="1" applyBorder="1" applyAlignment="1">
      <alignment horizontal="center" vertical="center"/>
    </xf>
    <xf numFmtId="2" fontId="44" fillId="0" borderId="61" xfId="19" applyNumberFormat="1" applyFont="1" applyBorder="1" applyAlignment="1">
      <alignment horizontal="center" vertical="center"/>
    </xf>
    <xf numFmtId="3" fontId="44" fillId="0" borderId="61" xfId="19" applyNumberFormat="1" applyFont="1" applyBorder="1" applyAlignment="1">
      <alignment horizontal="center" vertical="center"/>
    </xf>
    <xf numFmtId="2" fontId="44" fillId="0" borderId="62" xfId="19" applyNumberFormat="1" applyFont="1" applyBorder="1" applyAlignment="1">
      <alignment horizontal="center" vertical="center"/>
    </xf>
    <xf numFmtId="3" fontId="43" fillId="0" borderId="56" xfId="19" applyNumberFormat="1" applyFont="1" applyBorder="1" applyAlignment="1" applyProtection="1">
      <alignment horizontal="center" vertical="center"/>
      <protection locked="0"/>
    </xf>
    <xf numFmtId="3" fontId="43" fillId="0" borderId="47" xfId="19" applyNumberFormat="1" applyFont="1" applyBorder="1" applyAlignment="1">
      <alignment horizontal="center" vertical="center"/>
    </xf>
    <xf numFmtId="2" fontId="43" fillId="0" borderId="47" xfId="19" applyNumberFormat="1" applyFont="1" applyBorder="1" applyAlignment="1">
      <alignment horizontal="center" vertical="center"/>
    </xf>
    <xf numFmtId="3" fontId="43" fillId="0" borderId="61" xfId="19" applyNumberFormat="1" applyFont="1" applyBorder="1" applyAlignment="1" applyProtection="1">
      <alignment vertical="center"/>
      <protection locked="0"/>
    </xf>
    <xf numFmtId="167" fontId="43" fillId="0" borderId="61" xfId="19" applyNumberFormat="1" applyFont="1" applyBorder="1" applyAlignment="1" applyProtection="1">
      <alignment horizontal="center" vertical="center"/>
      <protection locked="0"/>
    </xf>
    <xf numFmtId="3" fontId="43" fillId="0" borderId="62" xfId="19" applyNumberFormat="1" applyFont="1" applyBorder="1" applyAlignment="1">
      <alignment vertical="center"/>
    </xf>
    <xf numFmtId="2" fontId="43" fillId="0" borderId="61" xfId="19" applyNumberFormat="1" applyFont="1" applyBorder="1" applyAlignment="1">
      <alignment vertical="center"/>
    </xf>
    <xf numFmtId="167" fontId="43" fillId="0" borderId="61" xfId="19" applyNumberFormat="1" applyFont="1" applyBorder="1" applyAlignment="1">
      <alignment horizontal="center" vertical="center"/>
    </xf>
    <xf numFmtId="2" fontId="43" fillId="0" borderId="61" xfId="19" applyNumberFormat="1" applyFont="1" applyBorder="1" applyAlignment="1">
      <alignment horizontal="center" vertical="center"/>
    </xf>
    <xf numFmtId="3" fontId="43" fillId="0" borderId="47" xfId="19" applyNumberFormat="1" applyFont="1" applyBorder="1" applyAlignment="1" applyProtection="1">
      <alignment horizontal="center" vertical="center"/>
      <protection locked="0"/>
    </xf>
    <xf numFmtId="3" fontId="43" fillId="0" borderId="62" xfId="19" applyNumberFormat="1" applyFont="1" applyBorder="1" applyAlignment="1" applyProtection="1">
      <alignment vertical="center"/>
      <protection locked="0"/>
    </xf>
    <xf numFmtId="0" fontId="46" fillId="0" borderId="56" xfId="0" applyFont="1" applyBorder="1" applyAlignment="1" applyProtection="1">
      <alignment vertical="center"/>
      <protection locked="0"/>
    </xf>
    <xf numFmtId="3" fontId="92" fillId="0" borderId="57" xfId="0" applyNumberFormat="1" applyFont="1" applyBorder="1" applyAlignment="1" applyProtection="1">
      <alignment horizontal="center" vertical="center"/>
      <protection locked="0"/>
    </xf>
    <xf numFmtId="3" fontId="92" fillId="0" borderId="57" xfId="0" applyNumberFormat="1" applyFont="1" applyBorder="1" applyAlignment="1">
      <alignment horizontal="center" vertical="center"/>
    </xf>
    <xf numFmtId="2" fontId="92" fillId="0" borderId="56" xfId="0" applyNumberFormat="1" applyFont="1" applyBorder="1" applyAlignment="1">
      <alignment horizontal="center" vertical="center"/>
    </xf>
    <xf numFmtId="3" fontId="92" fillId="0" borderId="56" xfId="0" applyNumberFormat="1" applyFont="1" applyBorder="1" applyAlignment="1">
      <alignment horizontal="center" vertical="center"/>
    </xf>
    <xf numFmtId="0" fontId="49" fillId="0" borderId="56" xfId="0" applyFont="1" applyBorder="1" applyAlignment="1" applyProtection="1">
      <alignment horizontal="left" vertical="center" indent="2"/>
      <protection locked="0"/>
    </xf>
    <xf numFmtId="3" fontId="92" fillId="0" borderId="60" xfId="0" applyNumberFormat="1" applyFont="1" applyBorder="1" applyAlignment="1" applyProtection="1">
      <alignment horizontal="center" vertical="center"/>
      <protection locked="0"/>
    </xf>
    <xf numFmtId="3" fontId="92" fillId="0" borderId="56" xfId="0" applyNumberFormat="1" applyFont="1" applyBorder="1" applyAlignment="1" applyProtection="1">
      <alignment horizontal="center" vertical="center"/>
      <protection locked="0"/>
    </xf>
    <xf numFmtId="1" fontId="92" fillId="0" borderId="56" xfId="0" applyNumberFormat="1" applyFont="1" applyBorder="1" applyAlignment="1">
      <alignment horizontal="center" vertical="center"/>
    </xf>
    <xf numFmtId="0" fontId="49" fillId="0" borderId="57" xfId="0" applyFont="1" applyBorder="1" applyAlignment="1" applyProtection="1">
      <alignment horizontal="left" vertical="center" indent="2"/>
      <protection locked="0"/>
    </xf>
    <xf numFmtId="3" fontId="92" fillId="0" borderId="63" xfId="0" applyNumberFormat="1" applyFont="1" applyBorder="1" applyAlignment="1" applyProtection="1">
      <alignment horizontal="center" vertical="center"/>
      <protection locked="0"/>
    </xf>
    <xf numFmtId="3" fontId="92" fillId="0" borderId="64" xfId="0" applyNumberFormat="1" applyFont="1" applyBorder="1" applyAlignment="1" applyProtection="1">
      <alignment horizontal="center" vertical="center"/>
      <protection locked="0"/>
    </xf>
    <xf numFmtId="3" fontId="92" fillId="0" borderId="65" xfId="0" applyNumberFormat="1" applyFont="1" applyBorder="1" applyAlignment="1" applyProtection="1">
      <alignment horizontal="center" vertical="center"/>
      <protection locked="0"/>
    </xf>
    <xf numFmtId="3" fontId="92" fillId="0" borderId="66" xfId="0" applyNumberFormat="1" applyFont="1" applyBorder="1" applyAlignment="1" applyProtection="1">
      <alignment horizontal="center" vertical="center"/>
      <protection locked="0"/>
    </xf>
    <xf numFmtId="0" fontId="46" fillId="0" borderId="67" xfId="0" applyFont="1" applyBorder="1" applyAlignment="1" applyProtection="1">
      <alignment horizontal="left" vertical="center" indent="1"/>
      <protection locked="0"/>
    </xf>
    <xf numFmtId="3" fontId="92" fillId="0" borderId="68" xfId="0" applyNumberFormat="1" applyFont="1" applyBorder="1" applyAlignment="1" applyProtection="1">
      <alignment horizontal="center" vertical="center"/>
      <protection locked="0"/>
    </xf>
    <xf numFmtId="0" fontId="46" fillId="0" borderId="58" xfId="0" applyFont="1" applyBorder="1" applyAlignment="1" applyProtection="1">
      <alignment vertical="center"/>
      <protection locked="0"/>
    </xf>
    <xf numFmtId="3" fontId="92" fillId="0" borderId="69" xfId="0" applyNumberFormat="1" applyFont="1" applyBorder="1" applyAlignment="1" applyProtection="1">
      <alignment horizontal="center" vertical="center"/>
      <protection locked="0"/>
    </xf>
    <xf numFmtId="3" fontId="92" fillId="0" borderId="70" xfId="0" applyNumberFormat="1" applyFont="1" applyBorder="1" applyAlignment="1" applyProtection="1">
      <alignment horizontal="center" vertical="center"/>
      <protection locked="0"/>
    </xf>
    <xf numFmtId="2" fontId="92" fillId="0" borderId="58" xfId="0" applyNumberFormat="1" applyFont="1" applyBorder="1" applyAlignment="1">
      <alignment horizontal="center" vertical="center"/>
    </xf>
    <xf numFmtId="3" fontId="44" fillId="0" borderId="57" xfId="0" applyNumberFormat="1" applyFont="1" applyBorder="1" applyAlignment="1">
      <alignment horizontal="center" vertical="center"/>
    </xf>
    <xf numFmtId="3" fontId="44" fillId="0" borderId="71" xfId="0" applyNumberFormat="1" applyFont="1" applyBorder="1" applyAlignment="1">
      <alignment horizontal="center" vertical="center"/>
    </xf>
    <xf numFmtId="2" fontId="44" fillId="0" borderId="71" xfId="0" applyNumberFormat="1" applyFont="1" applyBorder="1" applyAlignment="1">
      <alignment horizontal="center" vertical="center"/>
    </xf>
    <xf numFmtId="0" fontId="46" fillId="0" borderId="71" xfId="0" applyFont="1" applyBorder="1" applyAlignment="1" applyProtection="1">
      <alignment horizontal="left" vertical="center" wrapText="1"/>
      <protection locked="0"/>
    </xf>
    <xf numFmtId="3" fontId="47" fillId="0" borderId="67" xfId="0" applyNumberFormat="1" applyFont="1" applyBorder="1" applyAlignment="1" applyProtection="1">
      <alignment horizontal="center" vertical="center"/>
      <protection locked="0"/>
    </xf>
    <xf numFmtId="3" fontId="47" fillId="0" borderId="71" xfId="0" applyNumberFormat="1" applyFont="1" applyBorder="1" applyAlignment="1" applyProtection="1">
      <alignment horizontal="center" vertical="center"/>
      <protection locked="0"/>
    </xf>
    <xf numFmtId="2" fontId="44" fillId="0" borderId="59" xfId="0" applyNumberFormat="1" applyFont="1" applyBorder="1" applyAlignment="1">
      <alignment horizontal="center" vertical="center"/>
    </xf>
    <xf numFmtId="3" fontId="47" fillId="0" borderId="69" xfId="0" applyNumberFormat="1" applyFont="1" applyBorder="1" applyAlignment="1" applyProtection="1">
      <alignment horizontal="center" vertical="center"/>
      <protection locked="0"/>
    </xf>
    <xf numFmtId="3" fontId="47" fillId="0" borderId="70" xfId="0" applyNumberFormat="1" applyFont="1" applyBorder="1" applyAlignment="1" applyProtection="1">
      <alignment horizontal="center" vertical="center"/>
      <protection locked="0"/>
    </xf>
    <xf numFmtId="3" fontId="44" fillId="0" borderId="60" xfId="0" applyNumberFormat="1" applyFont="1" applyBorder="1" applyAlignment="1">
      <alignment horizontal="center" vertical="center"/>
    </xf>
    <xf numFmtId="2" fontId="44" fillId="0" borderId="70" xfId="0" applyNumberFormat="1" applyFont="1" applyBorder="1" applyAlignment="1">
      <alignment horizontal="center" vertical="center"/>
    </xf>
    <xf numFmtId="3" fontId="44" fillId="0" borderId="70" xfId="0" applyNumberFormat="1" applyFont="1" applyBorder="1" applyAlignment="1">
      <alignment horizontal="center" vertical="center"/>
    </xf>
    <xf numFmtId="2" fontId="44" fillId="0" borderId="72" xfId="0" applyNumberFormat="1" applyFont="1" applyBorder="1" applyAlignment="1">
      <alignment horizontal="center" vertical="center"/>
    </xf>
    <xf numFmtId="3" fontId="92" fillId="0" borderId="70" xfId="0" applyNumberFormat="1" applyFont="1" applyBorder="1" applyAlignment="1" applyProtection="1">
      <alignment vertical="center"/>
      <protection locked="0"/>
    </xf>
    <xf numFmtId="167" fontId="92" fillId="0" borderId="70" xfId="0" applyNumberFormat="1" applyFont="1" applyBorder="1" applyAlignment="1" applyProtection="1">
      <alignment horizontal="center" vertical="center"/>
      <protection locked="0"/>
    </xf>
    <xf numFmtId="3" fontId="92" fillId="0" borderId="72" xfId="0" applyNumberFormat="1" applyFont="1" applyBorder="1" applyAlignment="1">
      <alignment vertical="center"/>
    </xf>
    <xf numFmtId="2" fontId="92" fillId="0" borderId="70" xfId="0" applyNumberFormat="1" applyFont="1" applyBorder="1" applyAlignment="1">
      <alignment vertical="center"/>
    </xf>
    <xf numFmtId="167" fontId="92" fillId="0" borderId="70" xfId="0" applyNumberFormat="1" applyFont="1" applyBorder="1" applyAlignment="1">
      <alignment horizontal="center" vertical="center"/>
    </xf>
    <xf numFmtId="2" fontId="92" fillId="0" borderId="70" xfId="0" applyNumberFormat="1" applyFont="1" applyBorder="1" applyAlignment="1">
      <alignment horizontal="center" vertical="center"/>
    </xf>
    <xf numFmtId="3" fontId="92" fillId="0" borderId="72" xfId="0" applyNumberFormat="1" applyFont="1" applyBorder="1" applyAlignment="1" applyProtection="1">
      <alignment vertical="center"/>
      <protection locked="0"/>
    </xf>
    <xf numFmtId="0" fontId="79" fillId="0" borderId="71" xfId="0" applyFont="1" applyBorder="1" applyAlignment="1" applyProtection="1">
      <alignment vertical="center"/>
      <protection locked="0"/>
    </xf>
    <xf numFmtId="3" fontId="43" fillId="0" borderId="67" xfId="0" applyNumberFormat="1" applyFont="1" applyBorder="1" applyAlignment="1" applyProtection="1">
      <alignment horizontal="center" vertical="center"/>
      <protection locked="0"/>
    </xf>
    <xf numFmtId="3" fontId="43" fillId="0" borderId="71" xfId="0" applyNumberFormat="1" applyFont="1" applyBorder="1" applyAlignment="1" applyProtection="1">
      <alignment horizontal="center" vertical="center"/>
      <protection locked="0"/>
    </xf>
    <xf numFmtId="3" fontId="43" fillId="0" borderId="67" xfId="0" applyNumberFormat="1" applyFont="1" applyBorder="1" applyAlignment="1">
      <alignment horizontal="center" vertical="center"/>
    </xf>
    <xf numFmtId="2" fontId="43" fillId="0" borderId="71" xfId="0" applyNumberFormat="1" applyFont="1" applyBorder="1" applyAlignment="1">
      <alignment horizontal="center" vertical="center"/>
    </xf>
    <xf numFmtId="3" fontId="43" fillId="0" borderId="71" xfId="0" applyNumberFormat="1" applyFont="1" applyBorder="1" applyAlignment="1">
      <alignment horizontal="center" vertical="center"/>
    </xf>
    <xf numFmtId="0" fontId="80" fillId="0" borderId="71" xfId="0" applyFont="1" applyBorder="1" applyAlignment="1" applyProtection="1">
      <alignment horizontal="left" vertical="center" indent="2"/>
      <protection locked="0"/>
    </xf>
    <xf numFmtId="1" fontId="43" fillId="0" borderId="71" xfId="0" applyNumberFormat="1" applyFont="1" applyBorder="1" applyAlignment="1">
      <alignment horizontal="center" vertical="center"/>
    </xf>
    <xf numFmtId="0" fontId="79" fillId="0" borderId="71" xfId="0" applyFont="1" applyBorder="1" applyAlignment="1" applyProtection="1">
      <alignment horizontal="left" vertical="center" indent="1"/>
      <protection locked="0"/>
    </xf>
    <xf numFmtId="0" fontId="79" fillId="0" borderId="58" xfId="0" applyFont="1" applyBorder="1" applyAlignment="1" applyProtection="1">
      <alignment vertical="center"/>
      <protection locked="0"/>
    </xf>
    <xf numFmtId="3" fontId="43" fillId="0" borderId="69" xfId="0" applyNumberFormat="1" applyFont="1" applyBorder="1" applyAlignment="1" applyProtection="1">
      <alignment horizontal="center" vertical="center"/>
      <protection locked="0"/>
    </xf>
    <xf numFmtId="3" fontId="43" fillId="0" borderId="70" xfId="0" applyNumberFormat="1" applyFont="1" applyBorder="1" applyAlignment="1" applyProtection="1">
      <alignment horizontal="center" vertical="center"/>
      <protection locked="0"/>
    </xf>
    <xf numFmtId="2" fontId="43" fillId="0" borderId="58" xfId="0" applyNumberFormat="1" applyFont="1" applyBorder="1" applyAlignment="1">
      <alignment horizontal="center" vertical="center"/>
    </xf>
    <xf numFmtId="0" fontId="6" fillId="0" borderId="48" xfId="0" applyFont="1" applyBorder="1" applyAlignment="1" applyProtection="1">
      <alignment vertical="center"/>
      <protection locked="0"/>
    </xf>
    <xf numFmtId="3" fontId="44" fillId="0" borderId="67" xfId="0" applyNumberFormat="1" applyFont="1" applyBorder="1" applyAlignment="1">
      <alignment horizontal="center" vertical="center"/>
    </xf>
    <xf numFmtId="0" fontId="79" fillId="0" borderId="71" xfId="0" applyFont="1" applyBorder="1" applyAlignment="1" applyProtection="1">
      <alignment horizontal="left" vertical="center" wrapText="1"/>
      <protection locked="0"/>
    </xf>
    <xf numFmtId="3" fontId="43" fillId="0" borderId="47" xfId="0" applyNumberFormat="1" applyFont="1" applyBorder="1" applyAlignment="1" applyProtection="1">
      <alignment horizontal="center" vertical="center"/>
      <protection locked="0"/>
    </xf>
    <xf numFmtId="3" fontId="43" fillId="0" borderId="48" xfId="0" applyNumberFormat="1" applyFont="1" applyBorder="1" applyAlignment="1" applyProtection="1">
      <alignment horizontal="center" vertical="center"/>
      <protection locked="0"/>
    </xf>
    <xf numFmtId="3" fontId="43" fillId="0" borderId="59" xfId="0" applyNumberFormat="1" applyFont="1" applyBorder="1" applyAlignment="1" applyProtection="1">
      <alignment horizontal="center" vertical="center"/>
      <protection locked="0"/>
    </xf>
    <xf numFmtId="3" fontId="43" fillId="0" borderId="73" xfId="0" applyNumberFormat="1" applyFont="1" applyBorder="1" applyAlignment="1" applyProtection="1">
      <alignment horizontal="center" vertical="center"/>
      <protection locked="0"/>
    </xf>
    <xf numFmtId="3" fontId="43" fillId="0" borderId="60" xfId="0" applyNumberFormat="1" applyFont="1" applyBorder="1" applyAlignment="1" applyProtection="1">
      <alignment horizontal="center" vertical="center"/>
      <protection locked="0"/>
    </xf>
    <xf numFmtId="1" fontId="43" fillId="0" borderId="60" xfId="0" applyNumberFormat="1" applyFont="1" applyBorder="1" applyAlignment="1" applyProtection="1">
      <alignment horizontal="center" vertical="center"/>
      <protection locked="0"/>
    </xf>
    <xf numFmtId="1" fontId="43" fillId="0" borderId="70" xfId="0" applyNumberFormat="1" applyFont="1" applyBorder="1" applyAlignment="1" applyProtection="1">
      <alignment horizontal="center" vertical="center"/>
      <protection locked="0"/>
    </xf>
    <xf numFmtId="3" fontId="43" fillId="0" borderId="47" xfId="0" applyNumberFormat="1" applyFont="1" applyBorder="1" applyAlignment="1">
      <alignment horizontal="center" vertical="center"/>
    </xf>
    <xf numFmtId="2" fontId="43" fillId="0" borderId="47" xfId="0" applyNumberFormat="1" applyFont="1" applyBorder="1" applyAlignment="1">
      <alignment horizontal="center" vertical="center"/>
    </xf>
    <xf numFmtId="3" fontId="43" fillId="0" borderId="70" xfId="0" applyNumberFormat="1" applyFont="1" applyBorder="1" applyAlignment="1" applyProtection="1">
      <alignment vertical="center"/>
      <protection locked="0"/>
    </xf>
    <xf numFmtId="167" fontId="43" fillId="0" borderId="70" xfId="0" applyNumberFormat="1" applyFont="1" applyBorder="1" applyAlignment="1" applyProtection="1">
      <alignment horizontal="center" vertical="center"/>
      <protection locked="0"/>
    </xf>
    <xf numFmtId="3" fontId="43" fillId="0" borderId="72" xfId="0" applyNumberFormat="1" applyFont="1" applyBorder="1" applyAlignment="1">
      <alignment vertical="center"/>
    </xf>
    <xf numFmtId="2" fontId="43" fillId="0" borderId="70" xfId="0" applyNumberFormat="1" applyFont="1" applyBorder="1" applyAlignment="1">
      <alignment vertical="center"/>
    </xf>
    <xf numFmtId="167" fontId="43" fillId="0" borderId="70" xfId="0" applyNumberFormat="1" applyFont="1" applyBorder="1" applyAlignment="1">
      <alignment horizontal="center" vertical="center"/>
    </xf>
    <xf numFmtId="2" fontId="43" fillId="0" borderId="70" xfId="0" applyNumberFormat="1" applyFont="1" applyBorder="1" applyAlignment="1">
      <alignment horizontal="center" vertical="center"/>
    </xf>
    <xf numFmtId="3" fontId="43" fillId="0" borderId="72" xfId="0" applyNumberFormat="1" applyFont="1" applyBorder="1" applyAlignment="1" applyProtection="1">
      <alignment vertical="center"/>
      <protection locked="0"/>
    </xf>
    <xf numFmtId="3" fontId="43" fillId="0" borderId="58" xfId="0" applyNumberFormat="1" applyFont="1" applyBorder="1" applyAlignment="1" applyProtection="1">
      <alignment horizontal="center" vertical="center"/>
      <protection locked="0"/>
    </xf>
    <xf numFmtId="1" fontId="44" fillId="0" borderId="60" xfId="0" applyNumberFormat="1" applyFont="1" applyBorder="1" applyAlignment="1" applyProtection="1">
      <alignment horizontal="center" vertical="center"/>
      <protection locked="0"/>
    </xf>
    <xf numFmtId="1" fontId="44" fillId="0" borderId="70" xfId="0" applyNumberFormat="1" applyFont="1" applyBorder="1" applyAlignment="1" applyProtection="1">
      <alignment horizontal="center" vertical="center"/>
      <protection locked="0"/>
    </xf>
    <xf numFmtId="0" fontId="46" fillId="0" borderId="71" xfId="0" applyFont="1" applyBorder="1" applyAlignment="1" applyProtection="1">
      <alignment vertical="center"/>
      <protection locked="0"/>
    </xf>
    <xf numFmtId="3" fontId="92" fillId="0" borderId="67" xfId="0" applyNumberFormat="1" applyFont="1" applyBorder="1" applyAlignment="1" applyProtection="1">
      <alignment horizontal="center" vertical="center"/>
      <protection locked="0"/>
    </xf>
    <xf numFmtId="3" fontId="92" fillId="0" borderId="67" xfId="0" applyNumberFormat="1" applyFont="1" applyBorder="1" applyAlignment="1">
      <alignment horizontal="center" vertical="center"/>
    </xf>
    <xf numFmtId="2" fontId="92" fillId="0" borderId="71" xfId="0" applyNumberFormat="1" applyFont="1" applyBorder="1" applyAlignment="1">
      <alignment horizontal="center" vertical="center"/>
    </xf>
    <xf numFmtId="3" fontId="92" fillId="0" borderId="71" xfId="0" applyNumberFormat="1" applyFont="1" applyBorder="1" applyAlignment="1">
      <alignment horizontal="center" vertical="center"/>
    </xf>
    <xf numFmtId="0" fontId="49" fillId="0" borderId="71" xfId="0" applyFont="1" applyBorder="1" applyAlignment="1" applyProtection="1">
      <alignment horizontal="left" vertical="center" indent="2"/>
      <protection locked="0"/>
    </xf>
    <xf numFmtId="3" fontId="92" fillId="0" borderId="71" xfId="0" applyNumberFormat="1" applyFont="1" applyBorder="1" applyAlignment="1" applyProtection="1">
      <alignment horizontal="center" vertical="center"/>
      <protection locked="0"/>
    </xf>
    <xf numFmtId="1" fontId="92" fillId="0" borderId="71" xfId="0" applyNumberFormat="1" applyFont="1" applyBorder="1" applyAlignment="1">
      <alignment horizontal="center" vertical="center"/>
    </xf>
    <xf numFmtId="0" fontId="49" fillId="0" borderId="67" xfId="0" applyFont="1" applyBorder="1" applyAlignment="1" applyProtection="1">
      <alignment horizontal="left" vertical="center" indent="2"/>
      <protection locked="0"/>
    </xf>
    <xf numFmtId="3" fontId="92" fillId="0" borderId="73" xfId="0" applyNumberFormat="1" applyFont="1" applyBorder="1" applyAlignment="1" applyProtection="1">
      <alignment horizontal="center" vertical="center"/>
      <protection locked="0"/>
    </xf>
    <xf numFmtId="3" fontId="92" fillId="0" borderId="74" xfId="0" applyNumberFormat="1" applyFont="1" applyBorder="1" applyAlignment="1" applyProtection="1">
      <alignment horizontal="center" vertical="center"/>
      <protection locked="0"/>
    </xf>
    <xf numFmtId="3" fontId="43" fillId="0" borderId="63" xfId="0" applyNumberFormat="1" applyFont="1" applyBorder="1" applyAlignment="1" applyProtection="1">
      <alignment horizontal="center" vertical="center"/>
      <protection locked="0"/>
    </xf>
    <xf numFmtId="3" fontId="43" fillId="0" borderId="65" xfId="0" applyNumberFormat="1" applyFont="1" applyBorder="1" applyAlignment="1" applyProtection="1">
      <alignment horizontal="center" vertical="center"/>
      <protection locked="0"/>
    </xf>
    <xf numFmtId="3" fontId="43" fillId="0" borderId="74" xfId="0" applyNumberFormat="1" applyFont="1" applyBorder="1" applyAlignment="1" applyProtection="1">
      <alignment horizontal="center" vertical="center"/>
      <protection locked="0"/>
    </xf>
    <xf numFmtId="3" fontId="43" fillId="0" borderId="68" xfId="0" applyNumberFormat="1" applyFont="1" applyBorder="1" applyAlignment="1" applyProtection="1">
      <alignment horizontal="center" vertical="center"/>
      <protection locked="0"/>
    </xf>
    <xf numFmtId="3" fontId="43" fillId="0" borderId="51" xfId="0" applyNumberFormat="1" applyFont="1" applyBorder="1" applyAlignment="1" applyProtection="1">
      <alignment horizontal="center" vertical="center"/>
      <protection locked="0"/>
    </xf>
    <xf numFmtId="0" fontId="79" fillId="0" borderId="75" xfId="31" applyFont="1" applyBorder="1" applyAlignment="1" applyProtection="1">
      <alignment vertical="center"/>
      <protection locked="0"/>
    </xf>
    <xf numFmtId="3" fontId="7" fillId="0" borderId="76" xfId="23" applyNumberFormat="1" applyFont="1" applyFill="1" applyBorder="1" applyAlignment="1" applyProtection="1">
      <alignment horizontal="center" vertical="center"/>
      <protection locked="0"/>
    </xf>
    <xf numFmtId="3" fontId="7" fillId="0" borderId="75" xfId="23" applyNumberFormat="1" applyFont="1" applyFill="1" applyBorder="1" applyAlignment="1" applyProtection="1">
      <alignment horizontal="center" vertical="center"/>
      <protection hidden="1"/>
    </xf>
    <xf numFmtId="2" fontId="43" fillId="0" borderId="71" xfId="0" applyNumberFormat="1" applyFont="1" applyBorder="1" applyAlignment="1" applyProtection="1">
      <alignment horizontal="center" vertical="center"/>
      <protection locked="0"/>
    </xf>
    <xf numFmtId="0" fontId="80" fillId="0" borderId="75" xfId="31" applyFont="1" applyBorder="1" applyAlignment="1" applyProtection="1">
      <alignment horizontal="left" vertical="center" indent="2"/>
      <protection locked="0"/>
    </xf>
    <xf numFmtId="1" fontId="43" fillId="0" borderId="71" xfId="0" applyNumberFormat="1" applyFont="1" applyBorder="1" applyAlignment="1" applyProtection="1">
      <alignment horizontal="center" vertical="center"/>
      <protection locked="0"/>
    </xf>
    <xf numFmtId="0" fontId="79" fillId="0" borderId="75" xfId="31" applyFont="1" applyBorder="1" applyAlignment="1" applyProtection="1">
      <alignment horizontal="left" vertical="center" indent="1"/>
      <protection locked="0"/>
    </xf>
    <xf numFmtId="0" fontId="79" fillId="0" borderId="77" xfId="31" applyFont="1" applyBorder="1" applyAlignment="1" applyProtection="1">
      <alignment vertical="center"/>
      <protection locked="0"/>
    </xf>
    <xf numFmtId="3" fontId="7" fillId="0" borderId="78" xfId="23" applyNumberFormat="1" applyFont="1" applyFill="1" applyBorder="1" applyAlignment="1" applyProtection="1">
      <alignment horizontal="center" vertical="center"/>
      <protection hidden="1"/>
    </xf>
    <xf numFmtId="2" fontId="43" fillId="0" borderId="58" xfId="0" applyNumberFormat="1" applyFont="1" applyBorder="1" applyAlignment="1" applyProtection="1">
      <alignment horizontal="center" vertical="center"/>
      <protection locked="0"/>
    </xf>
    <xf numFmtId="0" fontId="6" fillId="0" borderId="79" xfId="31" applyFont="1" applyBorder="1" applyAlignment="1" applyProtection="1">
      <alignment vertical="center"/>
      <protection locked="0"/>
    </xf>
    <xf numFmtId="3" fontId="91" fillId="0" borderId="80" xfId="23" applyNumberFormat="1" applyFont="1" applyFill="1" applyBorder="1" applyAlignment="1" applyProtection="1">
      <alignment horizontal="center" vertical="center"/>
      <protection locked="0"/>
    </xf>
    <xf numFmtId="3" fontId="91" fillId="0" borderId="79" xfId="23" applyNumberFormat="1" applyFont="1" applyFill="1" applyBorder="1" applyAlignment="1" applyProtection="1">
      <alignment horizontal="center" vertical="center"/>
      <protection hidden="1"/>
    </xf>
    <xf numFmtId="3" fontId="44" fillId="0" borderId="81" xfId="0" applyNumberFormat="1" applyFont="1" applyBorder="1" applyAlignment="1" applyProtection="1">
      <alignment horizontal="center" vertical="center"/>
      <protection locked="0"/>
    </xf>
    <xf numFmtId="3" fontId="44" fillId="0" borderId="82" xfId="0" applyNumberFormat="1" applyFont="1" applyBorder="1" applyAlignment="1" applyProtection="1">
      <alignment horizontal="center" vertical="center"/>
      <protection locked="0"/>
    </xf>
    <xf numFmtId="3" fontId="44" fillId="0" borderId="83" xfId="0" applyNumberFormat="1" applyFont="1" applyBorder="1" applyAlignment="1" applyProtection="1">
      <alignment horizontal="center" vertical="center"/>
      <protection locked="0"/>
    </xf>
    <xf numFmtId="3" fontId="6" fillId="0" borderId="76" xfId="23" applyNumberFormat="1" applyFont="1" applyFill="1" applyBorder="1" applyAlignment="1" applyProtection="1">
      <alignment horizontal="center" vertical="center"/>
      <protection locked="0"/>
    </xf>
    <xf numFmtId="3" fontId="44" fillId="0" borderId="67" xfId="0" applyNumberFormat="1" applyFont="1" applyBorder="1" applyAlignment="1" applyProtection="1">
      <alignment horizontal="center" vertical="center"/>
      <protection locked="0"/>
    </xf>
    <xf numFmtId="2" fontId="44" fillId="0" borderId="71" xfId="0" applyNumberFormat="1" applyFont="1" applyBorder="1" applyAlignment="1" applyProtection="1">
      <alignment horizontal="center" vertical="center"/>
      <protection locked="0"/>
    </xf>
    <xf numFmtId="0" fontId="79" fillId="0" borderId="75" xfId="31" applyFont="1" applyBorder="1" applyAlignment="1" applyProtection="1">
      <alignment horizontal="left" vertical="center" wrapText="1"/>
      <protection locked="0"/>
    </xf>
    <xf numFmtId="3" fontId="91" fillId="0" borderId="76" xfId="23" applyNumberFormat="1" applyFont="1" applyFill="1" applyBorder="1" applyAlignment="1" applyProtection="1">
      <alignment horizontal="center" vertical="center"/>
      <protection locked="0"/>
    </xf>
    <xf numFmtId="3" fontId="91" fillId="0" borderId="75" xfId="23" applyNumberFormat="1" applyFont="1" applyFill="1" applyBorder="1" applyAlignment="1" applyProtection="1">
      <alignment horizontal="center" vertical="center"/>
      <protection hidden="1"/>
    </xf>
    <xf numFmtId="3" fontId="44" fillId="0" borderId="71" xfId="0" applyNumberFormat="1" applyFont="1" applyBorder="1" applyAlignment="1" applyProtection="1">
      <alignment horizontal="center" vertical="center"/>
      <protection locked="0"/>
    </xf>
    <xf numFmtId="2" fontId="44" fillId="0" borderId="59" xfId="0" applyNumberFormat="1" applyFont="1" applyBorder="1" applyAlignment="1" applyProtection="1">
      <alignment horizontal="center" vertical="center"/>
      <protection locked="0"/>
    </xf>
    <xf numFmtId="3" fontId="91" fillId="0" borderId="84" xfId="23" applyNumberFormat="1" applyFont="1" applyFill="1" applyBorder="1" applyAlignment="1" applyProtection="1">
      <alignment horizontal="center" vertical="center"/>
      <protection locked="0"/>
    </xf>
    <xf numFmtId="3" fontId="91" fillId="0" borderId="78" xfId="23" applyNumberFormat="1" applyFont="1" applyFill="1" applyBorder="1" applyAlignment="1" applyProtection="1">
      <alignment horizontal="center" vertical="center"/>
      <protection hidden="1"/>
    </xf>
    <xf numFmtId="3" fontId="44" fillId="0" borderId="60" xfId="0" applyNumberFormat="1" applyFont="1" applyBorder="1" applyAlignment="1" applyProtection="1">
      <alignment horizontal="center" vertical="center"/>
      <protection locked="0"/>
    </xf>
    <xf numFmtId="2" fontId="44" fillId="0" borderId="70" xfId="0" applyNumberFormat="1" applyFont="1" applyBorder="1" applyAlignment="1" applyProtection="1">
      <alignment horizontal="center" vertical="center"/>
      <protection locked="0"/>
    </xf>
    <xf numFmtId="3" fontId="44" fillId="0" borderId="70" xfId="0" applyNumberFormat="1" applyFont="1" applyBorder="1" applyAlignment="1" applyProtection="1">
      <alignment horizontal="center" vertical="center"/>
      <protection locked="0"/>
    </xf>
    <xf numFmtId="2" fontId="44" fillId="0" borderId="72" xfId="0" applyNumberFormat="1" applyFont="1" applyBorder="1" applyAlignment="1" applyProtection="1">
      <alignment horizontal="center" vertical="center"/>
      <protection locked="0"/>
    </xf>
    <xf numFmtId="3" fontId="7" fillId="0" borderId="79" xfId="23" applyNumberFormat="1" applyFont="1" applyFill="1" applyBorder="1" applyAlignment="1" applyProtection="1">
      <alignment horizontal="center" vertical="center"/>
      <protection hidden="1"/>
    </xf>
    <xf numFmtId="3" fontId="7" fillId="0" borderId="79" xfId="23" applyNumberFormat="1" applyFont="1" applyFill="1" applyBorder="1" applyAlignment="1" applyProtection="1">
      <alignment horizontal="center" vertical="center"/>
      <protection locked="0"/>
    </xf>
    <xf numFmtId="3" fontId="7" fillId="0" borderId="85" xfId="23" applyNumberFormat="1" applyFont="1" applyFill="1" applyBorder="1" applyAlignment="1" applyProtection="1">
      <alignment horizontal="center" vertical="center"/>
      <protection locked="0"/>
    </xf>
    <xf numFmtId="3" fontId="7" fillId="0" borderId="86" xfId="23" applyNumberFormat="1" applyFont="1" applyFill="1" applyBorder="1" applyAlignment="1" applyProtection="1">
      <alignment horizontal="center" vertical="center"/>
      <protection locked="0"/>
    </xf>
    <xf numFmtId="1" fontId="7" fillId="0" borderId="87" xfId="23" applyNumberFormat="1" applyFont="1" applyFill="1" applyBorder="1" applyAlignment="1" applyProtection="1">
      <alignment horizontal="center" vertical="center"/>
      <protection locked="0"/>
    </xf>
    <xf numFmtId="3" fontId="7" fillId="0" borderId="75" xfId="23" applyNumberFormat="1" applyFont="1" applyFill="1" applyBorder="1" applyAlignment="1" applyProtection="1">
      <alignment horizontal="center" vertical="center"/>
      <protection locked="0"/>
    </xf>
    <xf numFmtId="3" fontId="7" fillId="0" borderId="78" xfId="23" applyNumberFormat="1" applyFont="1" applyFill="1" applyBorder="1" applyAlignment="1" applyProtection="1">
      <alignment vertical="center"/>
      <protection locked="0"/>
    </xf>
    <xf numFmtId="3" fontId="7" fillId="0" borderId="78" xfId="23" applyNumberFormat="1" applyFont="1" applyFill="1" applyBorder="1" applyAlignment="1" applyProtection="1">
      <alignment vertical="center"/>
      <protection hidden="1"/>
    </xf>
    <xf numFmtId="167" fontId="7" fillId="0" borderId="78" xfId="23" applyNumberFormat="1" applyFont="1" applyFill="1" applyBorder="1" applyAlignment="1" applyProtection="1">
      <alignment horizontal="center" vertical="center"/>
      <protection locked="0"/>
    </xf>
    <xf numFmtId="167" fontId="7" fillId="0" borderId="78" xfId="23" applyNumberFormat="1" applyFont="1" applyFill="1" applyBorder="1" applyAlignment="1" applyProtection="1">
      <alignment horizontal="center" vertical="center"/>
      <protection hidden="1"/>
    </xf>
    <xf numFmtId="3" fontId="7" fillId="0" borderId="88" xfId="23" applyNumberFormat="1" applyFont="1" applyFill="1" applyBorder="1" applyAlignment="1" applyProtection="1">
      <alignment vertical="center"/>
      <protection locked="0"/>
    </xf>
    <xf numFmtId="2" fontId="7" fillId="0" borderId="78" xfId="23" applyNumberFormat="1" applyFont="1" applyFill="1" applyBorder="1" applyAlignment="1" applyProtection="1">
      <alignment vertical="center"/>
      <protection locked="0"/>
    </xf>
    <xf numFmtId="2" fontId="7" fillId="0" borderId="78" xfId="23" applyNumberFormat="1" applyFont="1" applyFill="1" applyBorder="1" applyAlignment="1" applyProtection="1">
      <alignment horizontal="center" vertical="center"/>
      <protection locked="0"/>
    </xf>
    <xf numFmtId="3" fontId="7" fillId="0" borderId="77" xfId="23" applyNumberFormat="1" applyFont="1" applyFill="1" applyBorder="1" applyAlignment="1" applyProtection="1">
      <alignment horizontal="center" vertical="center"/>
      <protection locked="0"/>
    </xf>
    <xf numFmtId="1" fontId="6" fillId="0" borderId="87" xfId="23" applyNumberFormat="1" applyFont="1" applyFill="1" applyBorder="1" applyAlignment="1" applyProtection="1">
      <alignment horizontal="center" vertical="center"/>
      <protection locked="0"/>
    </xf>
    <xf numFmtId="0" fontId="6" fillId="0" borderId="82" xfId="0" applyFont="1" applyBorder="1" applyAlignment="1" applyProtection="1">
      <alignment vertical="center"/>
      <protection locked="0"/>
    </xf>
    <xf numFmtId="3" fontId="47" fillId="0" borderId="81" xfId="0" applyNumberFormat="1" applyFont="1" applyBorder="1" applyAlignment="1" applyProtection="1">
      <alignment horizontal="center" vertical="center"/>
      <protection locked="0"/>
    </xf>
    <xf numFmtId="3" fontId="47" fillId="0" borderId="82" xfId="0" applyNumberFormat="1" applyFont="1" applyBorder="1" applyAlignment="1" applyProtection="1">
      <alignment horizontal="center" vertical="center"/>
      <protection locked="0"/>
    </xf>
    <xf numFmtId="3" fontId="44" fillId="0" borderId="81" xfId="0" applyNumberFormat="1" applyFont="1" applyBorder="1" applyAlignment="1">
      <alignment horizontal="center" vertical="center"/>
    </xf>
    <xf numFmtId="3" fontId="44" fillId="0" borderId="82" xfId="0" applyNumberFormat="1" applyFont="1" applyBorder="1" applyAlignment="1">
      <alignment horizontal="center" vertical="center"/>
    </xf>
    <xf numFmtId="3" fontId="44" fillId="0" borderId="83" xfId="0" applyNumberFormat="1" applyFont="1" applyBorder="1" applyAlignment="1">
      <alignment horizontal="center" vertical="center"/>
    </xf>
    <xf numFmtId="3" fontId="43" fillId="0" borderId="83" xfId="0" applyNumberFormat="1" applyFont="1" applyBorder="1" applyAlignment="1" applyProtection="1">
      <alignment horizontal="center" vertical="center"/>
      <protection locked="0"/>
    </xf>
    <xf numFmtId="3" fontId="43" fillId="0" borderId="82" xfId="0" applyNumberFormat="1" applyFont="1" applyBorder="1" applyAlignment="1" applyProtection="1">
      <alignment horizontal="center" vertical="center"/>
      <protection locked="0"/>
    </xf>
    <xf numFmtId="3" fontId="43" fillId="0" borderId="83" xfId="0" applyNumberFormat="1" applyFont="1" applyBorder="1" applyAlignment="1">
      <alignment horizontal="center" vertical="center"/>
    </xf>
    <xf numFmtId="2" fontId="43" fillId="0" borderId="83" xfId="0" applyNumberFormat="1" applyFont="1" applyBorder="1" applyAlignment="1">
      <alignment horizontal="center" vertical="center"/>
    </xf>
    <xf numFmtId="3" fontId="92" fillId="0" borderId="83" xfId="0" applyNumberFormat="1" applyFont="1" applyBorder="1" applyAlignment="1" applyProtection="1">
      <alignment horizontal="center" vertical="center"/>
      <protection locked="0"/>
    </xf>
    <xf numFmtId="3" fontId="92" fillId="0" borderId="81" xfId="0" applyNumberFormat="1" applyFont="1" applyBorder="1" applyAlignment="1" applyProtection="1">
      <alignment horizontal="center" vertical="center"/>
      <protection locked="0"/>
    </xf>
    <xf numFmtId="0" fontId="44" fillId="0" borderId="82" xfId="0" applyFont="1" applyBorder="1" applyAlignment="1" applyProtection="1">
      <alignment vertical="center"/>
      <protection locked="0"/>
    </xf>
    <xf numFmtId="3" fontId="92" fillId="0" borderId="82" xfId="0" applyNumberFormat="1" applyFont="1" applyBorder="1" applyAlignment="1" applyProtection="1">
      <alignment horizontal="center" vertical="center"/>
      <protection locked="0"/>
    </xf>
    <xf numFmtId="3" fontId="92" fillId="0" borderId="83" xfId="0" applyNumberFormat="1" applyFont="1" applyBorder="1" applyAlignment="1">
      <alignment horizontal="center" vertical="center"/>
    </xf>
    <xf numFmtId="2" fontId="92" fillId="0" borderId="83" xfId="0" applyNumberFormat="1" applyFont="1" applyBorder="1" applyAlignment="1">
      <alignment horizontal="center" vertical="center"/>
    </xf>
    <xf numFmtId="3" fontId="43" fillId="0" borderId="81" xfId="0" applyNumberFormat="1" applyFont="1" applyBorder="1" applyAlignment="1" applyProtection="1">
      <alignment horizontal="center" vertical="center"/>
      <protection locked="0"/>
    </xf>
    <xf numFmtId="0" fontId="3" fillId="0" borderId="0" xfId="15" applyAlignment="1">
      <alignment horizontal="center" vertical="center"/>
    </xf>
    <xf numFmtId="173" fontId="85" fillId="3" borderId="0" xfId="15" applyNumberFormat="1" applyFont="1" applyFill="1" applyAlignment="1" applyProtection="1">
      <alignment horizontal="center" vertical="center" wrapText="1"/>
      <protection locked="0" hidden="1"/>
    </xf>
    <xf numFmtId="173" fontId="21" fillId="0" borderId="0" xfId="15" applyNumberFormat="1" applyFont="1" applyAlignment="1">
      <alignment horizontal="center" vertical="center"/>
    </xf>
    <xf numFmtId="173" fontId="21" fillId="2" borderId="0" xfId="15" applyNumberFormat="1" applyFont="1" applyFill="1" applyAlignment="1">
      <alignment horizontal="center" vertical="center"/>
    </xf>
    <xf numFmtId="172" fontId="19" fillId="2" borderId="0" xfId="15" applyNumberFormat="1" applyFont="1" applyFill="1" applyAlignment="1">
      <alignment horizontal="center" vertical="center"/>
    </xf>
    <xf numFmtId="173" fontId="21" fillId="2" borderId="0" xfId="15" applyNumberFormat="1" applyFont="1" applyFill="1" applyAlignment="1">
      <alignment horizontal="center"/>
    </xf>
    <xf numFmtId="173" fontId="20" fillId="3" borderId="0" xfId="15" applyNumberFormat="1" applyFont="1" applyFill="1" applyAlignment="1" applyProtection="1">
      <alignment horizontal="center" vertical="center" wrapText="1"/>
      <protection locked="0" hidden="1"/>
    </xf>
    <xf numFmtId="0" fontId="2" fillId="0" borderId="17" xfId="19" applyBorder="1" applyAlignment="1">
      <alignment horizontal="center" wrapText="1"/>
    </xf>
    <xf numFmtId="0" fontId="2" fillId="0" borderId="0" xfId="19" applyAlignment="1">
      <alignment horizontal="center" wrapText="1"/>
    </xf>
    <xf numFmtId="166" fontId="12" fillId="0" borderId="11" xfId="19" applyNumberFormat="1" applyFont="1" applyBorder="1" applyAlignment="1" applyProtection="1">
      <alignment horizontal="center" vertical="center"/>
      <protection locked="0"/>
    </xf>
    <xf numFmtId="166" fontId="12" fillId="0" borderId="16" xfId="19" applyNumberFormat="1" applyFont="1" applyBorder="1" applyAlignment="1" applyProtection="1">
      <alignment horizontal="center" vertical="center"/>
      <protection locked="0"/>
    </xf>
    <xf numFmtId="166" fontId="12" fillId="0" borderId="10" xfId="19" applyNumberFormat="1" applyFont="1" applyBorder="1" applyAlignment="1" applyProtection="1">
      <alignment horizontal="center" vertical="center"/>
      <protection locked="0"/>
    </xf>
    <xf numFmtId="166" fontId="12" fillId="0" borderId="19" xfId="19" applyNumberFormat="1" applyFont="1" applyBorder="1" applyAlignment="1" applyProtection="1">
      <alignment horizontal="center" vertical="center"/>
      <protection locked="0"/>
    </xf>
    <xf numFmtId="166" fontId="12" fillId="0" borderId="18" xfId="19" applyNumberFormat="1" applyFont="1" applyBorder="1" applyAlignment="1" applyProtection="1">
      <alignment horizontal="center" vertical="center"/>
      <protection locked="0"/>
    </xf>
    <xf numFmtId="166" fontId="12" fillId="0" borderId="8" xfId="19" applyNumberFormat="1" applyFont="1" applyBorder="1" applyAlignment="1" applyProtection="1">
      <alignment horizontal="center" vertical="center"/>
      <protection locked="0"/>
    </xf>
    <xf numFmtId="0" fontId="44" fillId="0" borderId="10" xfId="19" applyFont="1" applyBorder="1" applyAlignment="1">
      <alignment horizontal="center" vertical="center" wrapText="1"/>
    </xf>
    <xf numFmtId="0" fontId="44" fillId="0" borderId="8" xfId="19" applyFont="1" applyBorder="1" applyAlignment="1">
      <alignment horizontal="center" vertical="center" wrapText="1"/>
    </xf>
    <xf numFmtId="0" fontId="44" fillId="0" borderId="3" xfId="19" applyFont="1" applyBorder="1" applyAlignment="1">
      <alignment horizontal="center" vertical="center" wrapText="1"/>
    </xf>
    <xf numFmtId="0" fontId="44" fillId="0" borderId="7" xfId="19" applyFont="1" applyBorder="1" applyAlignment="1">
      <alignment horizontal="center" vertical="center" wrapText="1"/>
    </xf>
    <xf numFmtId="0" fontId="44" fillId="0" borderId="3" xfId="19" applyFont="1" applyBorder="1" applyAlignment="1" applyProtection="1">
      <alignment horizontal="center" wrapText="1"/>
      <protection locked="0"/>
    </xf>
    <xf numFmtId="0" fontId="44" fillId="0" borderId="7" xfId="19" applyFont="1" applyBorder="1" applyAlignment="1" applyProtection="1">
      <alignment horizontal="center" wrapText="1"/>
      <protection locked="0"/>
    </xf>
    <xf numFmtId="0" fontId="44" fillId="0" borderId="12" xfId="19" applyFont="1" applyBorder="1" applyAlignment="1" applyProtection="1">
      <alignment horizontal="center"/>
      <protection locked="0"/>
    </xf>
    <xf numFmtId="0" fontId="44" fillId="0" borderId="14" xfId="19" applyFont="1" applyBorder="1" applyAlignment="1" applyProtection="1">
      <alignment horizontal="center"/>
      <protection locked="0"/>
    </xf>
    <xf numFmtId="0" fontId="44" fillId="0" borderId="6" xfId="19" applyFont="1" applyBorder="1" applyAlignment="1" applyProtection="1">
      <alignment horizontal="center"/>
      <protection locked="0"/>
    </xf>
    <xf numFmtId="0" fontId="44" fillId="0" borderId="12" xfId="19" applyFont="1" applyBorder="1" applyAlignment="1">
      <alignment horizontal="center" vertical="center"/>
    </xf>
    <xf numFmtId="0" fontId="44" fillId="0" borderId="14" xfId="19" applyFont="1" applyBorder="1" applyAlignment="1">
      <alignment horizontal="center" vertical="center"/>
    </xf>
    <xf numFmtId="0" fontId="44" fillId="0" borderId="6" xfId="19" applyFont="1" applyBorder="1" applyAlignment="1">
      <alignment horizontal="center" vertical="center"/>
    </xf>
    <xf numFmtId="0" fontId="45" fillId="0" borderId="18" xfId="19" applyFont="1" applyBorder="1" applyAlignment="1" applyProtection="1">
      <alignment horizontal="center" vertical="center"/>
      <protection locked="0"/>
    </xf>
    <xf numFmtId="0" fontId="44" fillId="0" borderId="11" xfId="19" applyFont="1" applyBorder="1" applyAlignment="1" applyProtection="1">
      <alignment horizontal="center" vertical="center" wrapText="1"/>
      <protection locked="0"/>
    </xf>
    <xf numFmtId="0" fontId="44" fillId="0" borderId="16" xfId="19" applyFont="1" applyBorder="1" applyAlignment="1" applyProtection="1">
      <alignment horizontal="center" vertical="center" wrapText="1"/>
      <protection locked="0"/>
    </xf>
    <xf numFmtId="0" fontId="44" fillId="0" borderId="10" xfId="19" applyFont="1" applyBorder="1" applyAlignment="1" applyProtection="1">
      <alignment horizontal="center" vertical="center" wrapText="1"/>
      <protection locked="0"/>
    </xf>
    <xf numFmtId="0" fontId="44" fillId="0" borderId="19" xfId="19" applyFont="1" applyBorder="1" applyAlignment="1" applyProtection="1">
      <alignment horizontal="center" vertical="center" wrapText="1"/>
      <protection locked="0"/>
    </xf>
    <xf numFmtId="0" fontId="44" fillId="0" borderId="18" xfId="19" applyFont="1" applyBorder="1" applyAlignment="1" applyProtection="1">
      <alignment horizontal="center" vertical="center" wrapText="1"/>
      <protection locked="0"/>
    </xf>
    <xf numFmtId="0" fontId="44" fillId="0" borderId="8" xfId="19" applyFont="1" applyBorder="1" applyAlignment="1" applyProtection="1">
      <alignment horizontal="center" vertical="center" wrapText="1"/>
      <protection locked="0"/>
    </xf>
    <xf numFmtId="0" fontId="46" fillId="0" borderId="3" xfId="19" applyFont="1" applyBorder="1" applyAlignment="1" applyProtection="1">
      <alignment horizontal="center" vertical="center"/>
      <protection locked="0"/>
    </xf>
    <xf numFmtId="0" fontId="46" fillId="0" borderId="7" xfId="19" applyFont="1" applyBorder="1" applyAlignment="1" applyProtection="1">
      <alignment horizontal="center" vertical="center"/>
      <protection locked="0"/>
    </xf>
    <xf numFmtId="0" fontId="44" fillId="0" borderId="17" xfId="19" applyFont="1" applyBorder="1" applyAlignment="1" applyProtection="1">
      <alignment horizontal="center" vertical="center" wrapText="1"/>
      <protection locked="0"/>
    </xf>
    <xf numFmtId="0" fontId="44" fillId="0" borderId="0" xfId="19" applyFont="1" applyAlignment="1" applyProtection="1">
      <alignment horizontal="center" vertical="center" wrapText="1"/>
      <protection locked="0"/>
    </xf>
    <xf numFmtId="0" fontId="44" fillId="0" borderId="15" xfId="19" applyFont="1" applyBorder="1" applyAlignment="1" applyProtection="1">
      <alignment horizontal="center" vertical="center" wrapText="1"/>
      <protection locked="0"/>
    </xf>
    <xf numFmtId="0" fontId="44" fillId="0" borderId="3" xfId="19" applyFont="1" applyBorder="1" applyAlignment="1" applyProtection="1">
      <alignment horizontal="center" vertical="center" wrapText="1"/>
      <protection locked="0"/>
    </xf>
    <xf numFmtId="0" fontId="44" fillId="0" borderId="4" xfId="19" applyFont="1" applyBorder="1" applyAlignment="1" applyProtection="1">
      <alignment horizontal="center" vertical="center" wrapText="1"/>
      <protection locked="0"/>
    </xf>
    <xf numFmtId="0" fontId="44" fillId="0" borderId="7" xfId="19" applyFont="1" applyBorder="1" applyAlignment="1" applyProtection="1">
      <alignment horizontal="center" vertical="center" wrapText="1"/>
      <protection locked="0"/>
    </xf>
    <xf numFmtId="0" fontId="44" fillId="0" borderId="12" xfId="19" applyFont="1" applyBorder="1" applyAlignment="1" applyProtection="1">
      <alignment horizontal="center" vertical="center"/>
      <protection locked="0"/>
    </xf>
    <xf numFmtId="0" fontId="44" fillId="0" borderId="6" xfId="19" applyFont="1" applyBorder="1" applyAlignment="1" applyProtection="1">
      <alignment horizontal="center" vertical="center"/>
      <protection locked="0"/>
    </xf>
    <xf numFmtId="0" fontId="44" fillId="0" borderId="0" xfId="0" applyFont="1" applyAlignment="1" applyProtection="1">
      <alignment horizontal="center"/>
      <protection locked="0"/>
    </xf>
    <xf numFmtId="0" fontId="47" fillId="0" borderId="12" xfId="19" applyFont="1" applyBorder="1" applyAlignment="1" applyProtection="1">
      <alignment horizontal="center" vertical="center"/>
      <protection locked="0"/>
    </xf>
    <xf numFmtId="0" fontId="47" fillId="0" borderId="6" xfId="19" applyFont="1" applyBorder="1" applyAlignment="1" applyProtection="1">
      <alignment horizontal="center" vertical="center"/>
      <protection locked="0"/>
    </xf>
    <xf numFmtId="0" fontId="44" fillId="0" borderId="14" xfId="19" applyFont="1" applyBorder="1" applyAlignment="1" applyProtection="1">
      <alignment horizontal="center" vertical="center"/>
      <protection locked="0"/>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6" xfId="0" applyFont="1" applyBorder="1" applyAlignment="1">
      <alignment horizontal="center" vertical="center"/>
    </xf>
    <xf numFmtId="166" fontId="12" fillId="0" borderId="11" xfId="0" applyNumberFormat="1" applyFont="1" applyBorder="1" applyAlignment="1" applyProtection="1">
      <alignment horizontal="center" vertical="center"/>
      <protection locked="0"/>
    </xf>
    <xf numFmtId="166" fontId="12" fillId="0" borderId="16" xfId="0" applyNumberFormat="1" applyFont="1" applyBorder="1" applyAlignment="1" applyProtection="1">
      <alignment horizontal="center" vertical="center"/>
      <protection locked="0"/>
    </xf>
    <xf numFmtId="166" fontId="12" fillId="0" borderId="10" xfId="0" applyNumberFormat="1" applyFont="1" applyBorder="1" applyAlignment="1" applyProtection="1">
      <alignment horizontal="center" vertical="center"/>
      <protection locked="0"/>
    </xf>
    <xf numFmtId="166" fontId="12" fillId="0" borderId="19" xfId="0" applyNumberFormat="1" applyFont="1" applyBorder="1" applyAlignment="1" applyProtection="1">
      <alignment horizontal="center" vertical="center"/>
      <protection locked="0"/>
    </xf>
    <xf numFmtId="166" fontId="12" fillId="0" borderId="18" xfId="0" applyNumberFormat="1" applyFont="1" applyBorder="1" applyAlignment="1" applyProtection="1">
      <alignment horizontal="center" vertical="center"/>
      <protection locked="0"/>
    </xf>
    <xf numFmtId="166" fontId="12" fillId="0" borderId="8" xfId="0" applyNumberFormat="1" applyFont="1" applyBorder="1" applyAlignment="1" applyProtection="1">
      <alignment horizontal="center" vertical="center"/>
      <protection locked="0"/>
    </xf>
    <xf numFmtId="0" fontId="93" fillId="0" borderId="18" xfId="0" applyFont="1" applyBorder="1" applyAlignment="1" applyProtection="1">
      <alignment horizontal="center" vertical="center"/>
      <protection locked="0"/>
    </xf>
    <xf numFmtId="0" fontId="44" fillId="0" borderId="10" xfId="0" applyFont="1" applyBorder="1" applyAlignment="1">
      <alignment horizontal="center" vertical="center" wrapText="1"/>
    </xf>
    <xf numFmtId="0" fontId="44" fillId="0" borderId="8" xfId="0" applyFont="1" applyBorder="1" applyAlignment="1">
      <alignment horizontal="center" vertical="center" wrapText="1"/>
    </xf>
    <xf numFmtId="0" fontId="44" fillId="0" borderId="3" xfId="0" applyFont="1" applyBorder="1" applyAlignment="1">
      <alignment horizontal="center" vertical="center" wrapText="1"/>
    </xf>
    <xf numFmtId="0" fontId="44" fillId="0" borderId="7" xfId="0" applyFont="1" applyBorder="1" applyAlignment="1">
      <alignment horizontal="center" vertical="center" wrapText="1"/>
    </xf>
    <xf numFmtId="0" fontId="44" fillId="0" borderId="12" xfId="0" applyFont="1" applyBorder="1" applyAlignment="1" applyProtection="1">
      <alignment horizontal="center" vertical="center"/>
      <protection locked="0"/>
    </xf>
    <xf numFmtId="0" fontId="44" fillId="0" borderId="6" xfId="0" applyFont="1" applyBorder="1" applyAlignment="1" applyProtection="1">
      <alignment horizontal="center" vertical="center"/>
      <protection locked="0"/>
    </xf>
    <xf numFmtId="0" fontId="44" fillId="0" borderId="12" xfId="0" applyFont="1" applyBorder="1" applyAlignment="1" applyProtection="1">
      <alignment horizontal="center"/>
      <protection locked="0"/>
    </xf>
    <xf numFmtId="0" fontId="44" fillId="0" borderId="6" xfId="0" applyFont="1" applyBorder="1" applyAlignment="1" applyProtection="1">
      <alignment horizontal="center"/>
      <protection locked="0"/>
    </xf>
    <xf numFmtId="0" fontId="44" fillId="0" borderId="3" xfId="0" applyFont="1" applyBorder="1" applyAlignment="1" applyProtection="1">
      <alignment horizontal="center" vertical="center" wrapText="1"/>
      <protection locked="0"/>
    </xf>
    <xf numFmtId="0" fontId="44" fillId="0" borderId="7" xfId="0" applyFont="1" applyBorder="1" applyAlignment="1" applyProtection="1">
      <alignment horizontal="center" vertical="center" wrapText="1"/>
      <protection locked="0"/>
    </xf>
    <xf numFmtId="0" fontId="44" fillId="0" borderId="3" xfId="0" applyFont="1" applyBorder="1" applyAlignment="1" applyProtection="1">
      <alignment horizontal="center" wrapText="1"/>
      <protection locked="0"/>
    </xf>
    <xf numFmtId="0" fontId="44" fillId="0" borderId="7" xfId="0" applyFont="1" applyBorder="1" applyAlignment="1" applyProtection="1">
      <alignment horizontal="center" wrapText="1"/>
      <protection locked="0"/>
    </xf>
    <xf numFmtId="0" fontId="44" fillId="0" borderId="11" xfId="0" applyFont="1" applyBorder="1" applyAlignment="1" applyProtection="1">
      <alignment horizontal="center" vertical="center" wrapText="1"/>
      <protection locked="0"/>
    </xf>
    <xf numFmtId="0" fontId="44" fillId="0" borderId="16" xfId="0" applyFont="1" applyBorder="1" applyAlignment="1" applyProtection="1">
      <alignment horizontal="center" vertical="center" wrapText="1"/>
      <protection locked="0"/>
    </xf>
    <xf numFmtId="0" fontId="44" fillId="0" borderId="10" xfId="0" applyFont="1" applyBorder="1" applyAlignment="1" applyProtection="1">
      <alignment horizontal="center" vertical="center" wrapText="1"/>
      <protection locked="0"/>
    </xf>
    <xf numFmtId="0" fontId="44" fillId="0" borderId="19" xfId="0" applyFont="1" applyBorder="1" applyAlignment="1" applyProtection="1">
      <alignment horizontal="center" vertical="center" wrapText="1"/>
      <protection locked="0"/>
    </xf>
    <xf numFmtId="0" fontId="44" fillId="0" borderId="18" xfId="0" applyFont="1" applyBorder="1" applyAlignment="1" applyProtection="1">
      <alignment horizontal="center" vertical="center" wrapText="1"/>
      <protection locked="0"/>
    </xf>
    <xf numFmtId="0" fontId="44" fillId="0" borderId="8" xfId="0" applyFont="1" applyBorder="1" applyAlignment="1" applyProtection="1">
      <alignment horizontal="center" vertical="center" wrapText="1"/>
      <protection locked="0"/>
    </xf>
    <xf numFmtId="0" fontId="44" fillId="0" borderId="14" xfId="0" applyFont="1" applyBorder="1" applyAlignment="1" applyProtection="1">
      <alignment horizontal="center" vertical="center"/>
      <protection locked="0"/>
    </xf>
    <xf numFmtId="0" fontId="44" fillId="0" borderId="15" xfId="0" applyFont="1" applyBorder="1" applyAlignment="1" applyProtection="1">
      <alignment horizontal="center" vertical="center" wrapText="1"/>
      <protection locked="0"/>
    </xf>
    <xf numFmtId="0" fontId="44" fillId="0" borderId="4" xfId="0" applyFont="1" applyBorder="1" applyAlignment="1" applyProtection="1">
      <alignment horizontal="center" vertical="center" wrapText="1"/>
      <protection locked="0"/>
    </xf>
    <xf numFmtId="0" fontId="44" fillId="0" borderId="14" xfId="0" applyFont="1" applyBorder="1" applyAlignment="1" applyProtection="1">
      <alignment horizontal="center"/>
      <protection locked="0"/>
    </xf>
    <xf numFmtId="0" fontId="45" fillId="0" borderId="18" xfId="0" applyFont="1" applyBorder="1" applyAlignment="1" applyProtection="1">
      <alignment horizontal="center" vertical="center"/>
      <protection locked="0"/>
    </xf>
    <xf numFmtId="0" fontId="47" fillId="0" borderId="12" xfId="0" applyFont="1" applyBorder="1" applyAlignment="1" applyProtection="1">
      <alignment horizontal="center" vertical="center"/>
      <protection locked="0"/>
    </xf>
    <xf numFmtId="0" fontId="47" fillId="0" borderId="6" xfId="0" applyFont="1" applyBorder="1" applyAlignment="1" applyProtection="1">
      <alignment horizontal="center" vertical="center"/>
      <protection locked="0"/>
    </xf>
    <xf numFmtId="0" fontId="46" fillId="0" borderId="3" xfId="0" applyFont="1" applyBorder="1" applyAlignment="1" applyProtection="1">
      <alignment horizontal="center" vertical="center"/>
      <protection locked="0"/>
    </xf>
    <xf numFmtId="0" fontId="46" fillId="0" borderId="7" xfId="0" applyFont="1" applyBorder="1" applyAlignment="1" applyProtection="1">
      <alignment horizontal="center" vertical="center"/>
      <protection locked="0"/>
    </xf>
    <xf numFmtId="0" fontId="44" fillId="0" borderId="22" xfId="0" applyFont="1" applyBorder="1" applyAlignment="1" applyProtection="1">
      <alignment horizontal="center" vertical="center" wrapText="1"/>
      <protection locked="0"/>
    </xf>
    <xf numFmtId="0" fontId="44" fillId="0" borderId="49" xfId="0" applyFont="1" applyBorder="1" applyAlignment="1" applyProtection="1">
      <alignment horizontal="center" vertical="center" wrapText="1"/>
      <protection locked="0"/>
    </xf>
    <xf numFmtId="0" fontId="44" fillId="0" borderId="50" xfId="0" applyFont="1" applyBorder="1" applyAlignment="1" applyProtection="1">
      <alignment horizontal="center" vertical="center" wrapText="1"/>
      <protection locked="0"/>
    </xf>
    <xf numFmtId="0" fontId="79" fillId="0" borderId="3" xfId="0" applyFont="1" applyBorder="1" applyAlignment="1" applyProtection="1">
      <alignment horizontal="center" vertical="center"/>
      <protection locked="0"/>
    </xf>
    <xf numFmtId="0" fontId="79" fillId="0" borderId="7" xfId="0" applyFont="1" applyBorder="1" applyAlignment="1" applyProtection="1">
      <alignment horizontal="center" vertical="center"/>
      <protection locked="0"/>
    </xf>
    <xf numFmtId="0" fontId="6" fillId="0" borderId="3"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3" xfId="0" applyFont="1" applyBorder="1" applyAlignment="1" applyProtection="1">
      <alignment horizontal="center" wrapText="1"/>
      <protection locked="0"/>
    </xf>
    <xf numFmtId="0" fontId="6" fillId="0" borderId="7" xfId="0" applyFont="1" applyBorder="1" applyAlignment="1" applyProtection="1">
      <alignment horizontal="center" wrapText="1"/>
      <protection locked="0"/>
    </xf>
    <xf numFmtId="0" fontId="44" fillId="0" borderId="17" xfId="0" applyFont="1" applyBorder="1" applyAlignment="1" applyProtection="1">
      <alignment horizontal="center" vertical="center" wrapText="1"/>
      <protection locked="0"/>
    </xf>
    <xf numFmtId="0" fontId="44" fillId="0" borderId="0" xfId="0" applyFont="1" applyAlignment="1" applyProtection="1">
      <alignment horizontal="center" vertical="center" wrapText="1"/>
      <protection locked="0"/>
    </xf>
    <xf numFmtId="0" fontId="44" fillId="0" borderId="89" xfId="0" applyFont="1" applyBorder="1" applyAlignment="1" applyProtection="1">
      <alignment horizontal="center" vertical="center" wrapText="1"/>
      <protection locked="0"/>
    </xf>
    <xf numFmtId="0" fontId="44" fillId="0" borderId="90" xfId="0" applyFont="1" applyBorder="1" applyAlignment="1" applyProtection="1">
      <alignment horizontal="center" vertical="center" wrapText="1"/>
      <protection locked="0"/>
    </xf>
  </cellXfs>
  <cellStyles count="32">
    <cellStyle name="Milliers" xfId="29" builtinId="3"/>
    <cellStyle name="Milliers 2" xfId="1" xr:uid="{00000000-0005-0000-0000-000001000000}"/>
    <cellStyle name="Milliers 2 2" xfId="2" xr:uid="{00000000-0005-0000-0000-000002000000}"/>
    <cellStyle name="Milliers 2 2 2" xfId="17" xr:uid="{00000000-0005-0000-0000-000003000000}"/>
    <cellStyle name="Milliers 3" xfId="3" xr:uid="{00000000-0005-0000-0000-000004000000}"/>
    <cellStyle name="Milliers 3 2" xfId="20" xr:uid="{00000000-0005-0000-0000-000005000000}"/>
    <cellStyle name="Milliers 4" xfId="4" xr:uid="{00000000-0005-0000-0000-000006000000}"/>
    <cellStyle name="Milliers 4 2" xfId="21" xr:uid="{00000000-0005-0000-0000-000007000000}"/>
    <cellStyle name="Milliers 6" xfId="5" xr:uid="{00000000-0005-0000-0000-000008000000}"/>
    <cellStyle name="Milliers 6 2" xfId="6" xr:uid="{00000000-0005-0000-0000-000009000000}"/>
    <cellStyle name="Milliers 6 2 2" xfId="23" xr:uid="{00000000-0005-0000-0000-00000A000000}"/>
    <cellStyle name="Milliers 6 3" xfId="22" xr:uid="{00000000-0005-0000-0000-00000B000000}"/>
    <cellStyle name="Normal" xfId="0" builtinId="0"/>
    <cellStyle name="Normal 2" xfId="7" xr:uid="{00000000-0005-0000-0000-00000D000000}"/>
    <cellStyle name="Normal 2 2" xfId="8" xr:uid="{00000000-0005-0000-0000-00000E000000}"/>
    <cellStyle name="Normal 2 2 2" xfId="9" xr:uid="{00000000-0005-0000-0000-00000F000000}"/>
    <cellStyle name="Normal 2 2 3" xfId="15" xr:uid="{00000000-0005-0000-0000-000010000000}"/>
    <cellStyle name="Normal 3" xfId="10" xr:uid="{00000000-0005-0000-0000-000011000000}"/>
    <cellStyle name="Normal 3 2" xfId="24" xr:uid="{00000000-0005-0000-0000-000012000000}"/>
    <cellStyle name="Normal 4" xfId="18" xr:uid="{00000000-0005-0000-0000-000013000000}"/>
    <cellStyle name="Normal 5" xfId="19" xr:uid="{00000000-0005-0000-0000-000014000000}"/>
    <cellStyle name="Normal 5 2" xfId="26" xr:uid="{00000000-0005-0000-0000-000015000000}"/>
    <cellStyle name="Normal 6" xfId="27" xr:uid="{00000000-0005-0000-0000-000016000000}"/>
    <cellStyle name="Normal 7" xfId="28" xr:uid="{00000000-0005-0000-0000-000017000000}"/>
    <cellStyle name="Normal_Feuil1" xfId="30" xr:uid="{1BA33179-2B15-4568-A27E-333AF4A96791}"/>
    <cellStyle name="Normal_Feuil1_Copie de SCC_stats_nouv canevas_OCT11" xfId="31" xr:uid="{D1330E80-6AFC-47F1-A6A4-5EC7D322F7E5}"/>
    <cellStyle name="Pourcentage" xfId="11" builtinId="5"/>
    <cellStyle name="Pourcentage 2" xfId="12" xr:uid="{00000000-0005-0000-0000-000019000000}"/>
    <cellStyle name="Pourcentage 2 2" xfId="13" xr:uid="{00000000-0005-0000-0000-00001A000000}"/>
    <cellStyle name="Pourcentage 2 2 2" xfId="16" xr:uid="{00000000-0005-0000-0000-00001B000000}"/>
    <cellStyle name="Pourcentage 3" xfId="14" xr:uid="{00000000-0005-0000-0000-00001C000000}"/>
    <cellStyle name="Pourcentage 3 2" xfId="25" xr:uid="{00000000-0005-0000-0000-00001D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Z:\Arr&#233;t&#233;%202024\Mars%202024\APSF\Cr&#233;dit%20Conso\SCC_Statistiques%20APSF%20Globales%20Mars%202024.xlsx" TargetMode="External"/><Relationship Id="rId1" Type="http://schemas.openxmlformats.org/officeDocument/2006/relationships/externalLinkPath" Target="file:///Z:\Arr&#233;t&#233;%202024\Mars%202024\APSF\Cr&#233;dit%20Conso\SCC_Statistiques%20APSF%20Globales%20Mars%2020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Arr&#233;t&#233;%202025\D&#233;cembre%202025\APSF\Cr&#233;dit%20Conso\SCC_Statistiques%20APSF%20Globales%20D&#233;cembre%202025.xlsx" TargetMode="External"/><Relationship Id="rId1" Type="http://schemas.openxmlformats.org/officeDocument/2006/relationships/externalLinkPath" Target="file:///Z:\Arr&#233;t&#233;%202025\D&#233;cembre%202025\APSF\Cr&#233;dit%20Conso\SCC_Statistiques%20APSF%20Globales%20D&#233;cembre%20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Arr&#233;t&#233;%202023\D&#233;cembre%202023\APSF\Cr&#233;dit%20Conso\SCC_Statistiques%20APSF%20Globales%20D&#233;cembre%202023.xlsx" TargetMode="External"/><Relationship Id="rId1" Type="http://schemas.openxmlformats.org/officeDocument/2006/relationships/externalLinkPath" Target="file:///Z:\Arr&#233;t&#233;%202023\D&#233;cembre%202023\APSF\Cr&#233;dit%20Conso\SCC_Statistiques%20APSF%20Globales%20D&#233;cembre%20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20.50.61\Controle%20de%20gestion\Sofac%20Documents\Arr&#233;t&#233;%202007\SCC%20STAT%20DEC%202007%20MM%20membres.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Z:\Arr&#233;t&#233;%202024\D&#233;cembre%202024\APSF\Cr&#233;dit%20Conso\STATS%20CREDIT%20CONSO%20SOFAC%20D&#233;cembre%202024.xlsx" TargetMode="External"/><Relationship Id="rId1" Type="http://schemas.openxmlformats.org/officeDocument/2006/relationships/externalLinkPath" Target="file:///Z:\Arr&#233;t&#233;%202024\D&#233;cembre%202024\APSF\Cr&#233;dit%20Conso\STATS%20CREDIT%20CONSO%20SOFAC%20D&#233;cembre%202024.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Z:\Arr&#233;t&#233;%202024\Juin%202024\APSF\Cr&#233;dit%20Conso\SCC_Statistiques%20APSF%20Globales%20Juin%202024.xlsx" TargetMode="External"/><Relationship Id="rId1" Type="http://schemas.openxmlformats.org/officeDocument/2006/relationships/externalLinkPath" Target="file:///Z:\Arr&#233;t&#233;%202024\Juin%202024\APSF\Cr&#233;dit%20Conso\SCC_Statistiques%20APSF%20Globales%20Juin%202024.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Z:\Arr&#233;t&#233;%202024\Septembre%202024\APSF\Cr&#233;dit%20Conso\SCC_Statistiques%20APSF%20Globales%20Septembre%202024.xlsx" TargetMode="External"/><Relationship Id="rId1" Type="http://schemas.openxmlformats.org/officeDocument/2006/relationships/externalLinkPath" Target="file:///Z:\Arr&#233;t&#233;%202024\Septembre%202024\APSF\Cr&#233;dit%20Conso\SCC_Statistiques%20APSF%20Globales%20Septembre%20202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20.50.61\Controle%20de%20gestion\Arr&#233;t&#233;%202016\Juin%202016\APSF\SCC_Statistiques%20APSF%20Globales%20D&#233;cembre%202013%20retrait&#233;s%20BCC.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Arr&#233;t&#233;%202011\D&#233;cembre%202011\SCC_Statistiques%20APSF%20Globales%20D&#233;c%202011.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Z:\Arr&#234;t&#233;%202026\Mars%202026\APSF\Cr&#233;dit%20Conso\STATS%20CREDIT%20CONSO%20SOFAC%20Mars%202026.xlsx" TargetMode="External"/><Relationship Id="rId1" Type="http://schemas.openxmlformats.org/officeDocument/2006/relationships/externalLinkPath" Target="file:///Z:\Arr&#234;t&#233;%202026\Mars%202026\APSF\Cr&#233;dit%20Conso\STATS%20CREDIT%20CONSO%20SOFAC%20Mars%202026.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Z:\Arr&#233;t&#233;%202025\Mars%202025\APSF\Cr&#233;dit%20Conso\STATS%20CREDIT%20CONSO%20SOFAC%20Mars%202025.xlsx" TargetMode="External"/><Relationship Id="rId1" Type="http://schemas.openxmlformats.org/officeDocument/2006/relationships/externalLinkPath" Target="file:///Z:\Arr&#233;t&#233;%202025\Mars%202025\APSF\Cr&#233;dit%20Conso\STATS%20CREDIT%20CONSO%20SOFAC%20Mars%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1"/>
      <sheetName val="Feuil2"/>
      <sheetName val="Feuil3"/>
      <sheetName val="Feuil4"/>
      <sheetName val="Syn prin concurents"/>
      <sheetName val="Syn prin concurents par catégor"/>
      <sheetName val="Syn prin concurents par trim"/>
      <sheetName val="Syn prin concurents par sem"/>
      <sheetName val="Syn prin concurents par cat (2)"/>
      <sheetName val="Syn prin concurents Nbre"/>
      <sheetName val="Syn prin concurents par cat Nbr"/>
      <sheetName val="Montant Moyn"/>
      <sheetName val="GLOBAL"/>
      <sheetName val="AXA CREDIT"/>
      <sheetName val="ASSALAF AL AKHDAR"/>
      <sheetName val="DAR SALAF"/>
      <sheetName val="EQDOM"/>
      <sheetName val="FNAC"/>
      <sheetName val="RCI "/>
      <sheetName val="SALAFIN"/>
      <sheetName val="SOFAC"/>
      <sheetName val="SOGEFINANCEMENT"/>
      <sheetName val="SONAC"/>
      <sheetName val="SOREC"/>
      <sheetName val="VIVALIS"/>
      <sheetName val="WAFASALAF"/>
      <sheetName val="DIAC"/>
      <sheetName val="FINACRED"/>
      <sheetName val="SALAF AL MOUSTAQBAL"/>
    </sheetNames>
    <sheetDataSet>
      <sheetData sheetId="0"/>
      <sheetData sheetId="1"/>
      <sheetData sheetId="2"/>
      <sheetData sheetId="3"/>
      <sheetData sheetId="4">
        <row r="16">
          <cell r="E16">
            <v>1394379.611353334</v>
          </cell>
          <cell r="I16">
            <v>307507.00661000004</v>
          </cell>
          <cell r="M16">
            <v>2147.3235</v>
          </cell>
          <cell r="Q16">
            <v>0</v>
          </cell>
        </row>
        <row r="18">
          <cell r="E18">
            <v>826975.06347000017</v>
          </cell>
          <cell r="I18">
            <v>638934.88188999996</v>
          </cell>
          <cell r="M18">
            <v>162679.28106000001</v>
          </cell>
          <cell r="Q18">
            <v>6406.1676100000004</v>
          </cell>
        </row>
        <row r="20">
          <cell r="E20">
            <v>768372.06414999999</v>
          </cell>
          <cell r="I20">
            <v>278389.54372000002</v>
          </cell>
          <cell r="M20">
            <v>0</v>
          </cell>
          <cell r="Q20">
            <v>0</v>
          </cell>
        </row>
        <row r="22">
          <cell r="E22">
            <v>368706.85749000002</v>
          </cell>
          <cell r="I22">
            <v>336925.96260000003</v>
          </cell>
          <cell r="M22">
            <v>111.9</v>
          </cell>
          <cell r="Q22">
            <v>0</v>
          </cell>
        </row>
        <row r="24">
          <cell r="E24">
            <v>593032.68648000003</v>
          </cell>
          <cell r="I24">
            <v>0</v>
          </cell>
          <cell r="M24">
            <v>0</v>
          </cell>
          <cell r="Q24">
            <v>0</v>
          </cell>
        </row>
        <row r="26">
          <cell r="E26">
            <v>121150.02389</v>
          </cell>
          <cell r="I26">
            <v>119043.47170000001</v>
          </cell>
          <cell r="M26">
            <v>0</v>
          </cell>
          <cell r="Q26">
            <v>5976.1274199999998</v>
          </cell>
        </row>
        <row r="28">
          <cell r="E28">
            <v>3167.6668399999999</v>
          </cell>
          <cell r="I28">
            <v>142022.73470999999</v>
          </cell>
          <cell r="M28">
            <v>0</v>
          </cell>
          <cell r="Q28">
            <v>0</v>
          </cell>
        </row>
        <row r="30">
          <cell r="E30">
            <v>4217809.5379933342</v>
          </cell>
          <cell r="I30">
            <v>1846602.0962300003</v>
          </cell>
          <cell r="M30">
            <v>164938.50456</v>
          </cell>
          <cell r="Q30">
            <v>12382.295030000001</v>
          </cell>
        </row>
        <row r="42">
          <cell r="U42">
            <v>13503208.884485336</v>
          </cell>
        </row>
        <row r="44">
          <cell r="U44">
            <v>13568645.909390001</v>
          </cell>
        </row>
        <row r="46">
          <cell r="U46">
            <v>8199878.3830400007</v>
          </cell>
        </row>
        <row r="48">
          <cell r="U48">
            <v>4441192.5110100005</v>
          </cell>
        </row>
        <row r="50">
          <cell r="U50">
            <v>2667926.0102599999</v>
          </cell>
        </row>
        <row r="54">
          <cell r="U54">
            <v>62726433.118865341</v>
          </cell>
        </row>
        <row r="110">
          <cell r="U110">
            <v>0.22893223943598948</v>
          </cell>
        </row>
        <row r="111">
          <cell r="U111">
            <v>0.18823776308522466</v>
          </cell>
        </row>
        <row r="112">
          <cell r="U112">
            <v>0.187651806826131</v>
          </cell>
        </row>
        <row r="113">
          <cell r="U113">
            <v>0.13799757915660688</v>
          </cell>
        </row>
        <row r="114">
          <cell r="U114">
            <v>0.12345176425610196</v>
          </cell>
        </row>
        <row r="115">
          <cell r="U115">
            <v>0.1048285144167045</v>
          </cell>
        </row>
        <row r="117">
          <cell r="U117">
            <v>0.13351451078723792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1"/>
      <sheetName val="Feuil2"/>
      <sheetName val="Feuil3"/>
      <sheetName val="Feuil4"/>
      <sheetName val="Syn prin concurents"/>
      <sheetName val="Syn prin concurents par catégor"/>
      <sheetName val="Syn prin concurents par trim"/>
      <sheetName val="Syn prin concurents par sem"/>
      <sheetName val="Syn prin concurents par cat (2)"/>
      <sheetName val="Syn prin concurents Nbre"/>
      <sheetName val="Syn prin concurents par cat Nbr"/>
      <sheetName val="Montant Moyn"/>
      <sheetName val="GLOBAL"/>
      <sheetName val="AXA CREDIT"/>
      <sheetName val="ASSALAF AL AKHDAR"/>
      <sheetName val="DAR SALAF"/>
      <sheetName val="EQDOM"/>
      <sheetName val="FNAC"/>
      <sheetName val="RCI "/>
      <sheetName val="SALAFIN"/>
      <sheetName val="SOFAC"/>
      <sheetName val="SOGEFINANCEMENT"/>
      <sheetName val="SONAC"/>
      <sheetName val="SOREC"/>
      <sheetName val="VIVALIS"/>
      <sheetName val="WAFASALAF"/>
      <sheetName val="DIAC"/>
      <sheetName val="FINACRED"/>
      <sheetName val="SALAF AL MOUSTAQBAL"/>
    </sheetNames>
    <sheetDataSet>
      <sheetData sheetId="0" refreshError="1"/>
      <sheetData sheetId="1" refreshError="1"/>
      <sheetData sheetId="2" refreshError="1"/>
      <sheetData sheetId="3" refreshError="1"/>
      <sheetData sheetId="4">
        <row r="40">
          <cell r="E40">
            <v>14963780.093</v>
          </cell>
          <cell r="I40">
            <v>8793162.4860000014</v>
          </cell>
          <cell r="M40">
            <v>526530.18600000069</v>
          </cell>
          <cell r="Q40">
            <v>75392.820000000007</v>
          </cell>
        </row>
        <row r="42">
          <cell r="I42">
            <v>3748985.8210699935</v>
          </cell>
          <cell r="M42">
            <v>4639.644200000912</v>
          </cell>
          <cell r="Q42">
            <v>0</v>
          </cell>
        </row>
        <row r="44">
          <cell r="E44">
            <v>11314644.715</v>
          </cell>
          <cell r="I44">
            <v>5668706.6350000007</v>
          </cell>
          <cell r="M44">
            <v>0</v>
          </cell>
          <cell r="Q44">
            <v>0</v>
          </cell>
        </row>
        <row r="46">
          <cell r="E46">
            <v>4911209.0530000003</v>
          </cell>
          <cell r="I46">
            <v>4707307.37</v>
          </cell>
          <cell r="M46">
            <v>1849.6189999999999</v>
          </cell>
          <cell r="Q46">
            <v>0</v>
          </cell>
        </row>
        <row r="48">
          <cell r="E48">
            <v>6050871.8310000002</v>
          </cell>
          <cell r="I48">
            <v>0</v>
          </cell>
          <cell r="M48">
            <v>0</v>
          </cell>
          <cell r="Q48">
            <v>0</v>
          </cell>
        </row>
        <row r="50">
          <cell r="E50">
            <v>1323553.4609999999</v>
          </cell>
          <cell r="I50">
            <v>891751.10599999991</v>
          </cell>
          <cell r="M50">
            <v>0</v>
          </cell>
          <cell r="Q50">
            <v>97829.145999999993</v>
          </cell>
        </row>
        <row r="52">
          <cell r="E52">
            <v>13470.115</v>
          </cell>
          <cell r="I52">
            <v>2167039.2949999999</v>
          </cell>
          <cell r="Q52">
            <v>0</v>
          </cell>
        </row>
        <row r="54">
          <cell r="E54">
            <v>53331312.714382179</v>
          </cell>
          <cell r="I54">
            <v>26000049.970069993</v>
          </cell>
          <cell r="M54">
            <v>533019.44919999689</v>
          </cell>
          <cell r="Q54">
            <v>173221.96600000001</v>
          </cell>
        </row>
        <row r="64">
          <cell r="E64">
            <v>1222020.3030000001</v>
          </cell>
          <cell r="I64">
            <v>1452431.0660000001</v>
          </cell>
          <cell r="M64">
            <v>58502.29700000002</v>
          </cell>
          <cell r="Q64">
            <v>40624.675000000003</v>
          </cell>
        </row>
        <row r="66">
          <cell r="E66">
            <v>827543.04799999995</v>
          </cell>
          <cell r="I66">
            <v>922707.46100000013</v>
          </cell>
          <cell r="M66">
            <v>4979.7669999999998</v>
          </cell>
          <cell r="Q66">
            <v>0</v>
          </cell>
        </row>
        <row r="68">
          <cell r="E68">
            <v>1883393.051</v>
          </cell>
          <cell r="I68">
            <v>474914.71499999997</v>
          </cell>
          <cell r="M68">
            <v>0</v>
          </cell>
          <cell r="Q68">
            <v>0</v>
          </cell>
        </row>
        <row r="70">
          <cell r="E70">
            <v>1463519.5664999941</v>
          </cell>
          <cell r="I70">
            <v>734509.68415999995</v>
          </cell>
          <cell r="M70">
            <v>246.65298000001349</v>
          </cell>
          <cell r="Q70">
            <v>0</v>
          </cell>
        </row>
        <row r="72">
          <cell r="E72">
            <v>422167.64300000004</v>
          </cell>
          <cell r="I72">
            <v>660571.49200000009</v>
          </cell>
          <cell r="M72">
            <v>0</v>
          </cell>
          <cell r="Q72">
            <v>43549.631000000001</v>
          </cell>
        </row>
        <row r="74">
          <cell r="E74">
            <v>850884.12300000002</v>
          </cell>
          <cell r="I74">
            <v>0</v>
          </cell>
          <cell r="M74">
            <v>0</v>
          </cell>
          <cell r="Q74">
            <v>0</v>
          </cell>
        </row>
        <row r="76">
          <cell r="E76">
            <v>6917.0390000000007</v>
          </cell>
          <cell r="I76">
            <v>439148.82700000005</v>
          </cell>
          <cell r="Q76">
            <v>68413</v>
          </cell>
        </row>
        <row r="78">
          <cell r="E78">
            <v>6740860.6344999941</v>
          </cell>
          <cell r="I78">
            <v>4685848.4201600002</v>
          </cell>
          <cell r="M78">
            <v>63728.716980000027</v>
          </cell>
          <cell r="Q78">
            <v>152587.30599999998</v>
          </cell>
        </row>
        <row r="87">
          <cell r="E87">
            <v>16185800.396</v>
          </cell>
          <cell r="I87">
            <v>10245593.552000001</v>
          </cell>
          <cell r="M87">
            <v>585032.48300000094</v>
          </cell>
          <cell r="Q87">
            <v>116017.49500000001</v>
          </cell>
        </row>
        <row r="89">
          <cell r="E89">
            <v>13198037.766000001</v>
          </cell>
          <cell r="I89">
            <v>6143621.3500000006</v>
          </cell>
          <cell r="M89">
            <v>0</v>
          </cell>
          <cell r="Q89">
            <v>0</v>
          </cell>
        </row>
        <row r="91">
          <cell r="E91">
            <v>15173069.538882174</v>
          </cell>
          <cell r="I91">
            <v>4483495.5052299928</v>
          </cell>
          <cell r="M91">
            <v>4886.2971800006926</v>
          </cell>
          <cell r="Q91">
            <v>0</v>
          </cell>
        </row>
        <row r="93">
          <cell r="E93">
            <v>5738752.1009999998</v>
          </cell>
          <cell r="I93">
            <v>5630014.8309999993</v>
          </cell>
          <cell r="M93">
            <v>6829.3859999999995</v>
          </cell>
          <cell r="Q93">
            <v>0</v>
          </cell>
        </row>
        <row r="95">
          <cell r="E95">
            <v>6901755.9539999999</v>
          </cell>
          <cell r="I95">
            <v>0</v>
          </cell>
          <cell r="M95">
            <v>0</v>
          </cell>
          <cell r="Q95">
            <v>0</v>
          </cell>
        </row>
        <row r="97">
          <cell r="E97">
            <v>1745721.1040000001</v>
          </cell>
          <cell r="I97">
            <v>1552322.598</v>
          </cell>
          <cell r="M97">
            <v>0</v>
          </cell>
          <cell r="Q97">
            <v>141378.777</v>
          </cell>
        </row>
        <row r="99">
          <cell r="E99">
            <v>20387.153999999999</v>
          </cell>
          <cell r="I99">
            <v>2606188.1220000004</v>
          </cell>
          <cell r="Q99">
            <v>68413</v>
          </cell>
        </row>
        <row r="101">
          <cell r="E101">
            <v>60072173.348882176</v>
          </cell>
          <cell r="I101">
            <v>30685898.390229993</v>
          </cell>
          <cell r="M101">
            <v>596748.16617999971</v>
          </cell>
          <cell r="Q101">
            <v>325809.272</v>
          </cell>
        </row>
      </sheetData>
      <sheetData sheetId="5">
        <row r="39">
          <cell r="C39">
            <v>3120697.2489999998</v>
          </cell>
          <cell r="G39">
            <v>11843082.844000001</v>
          </cell>
          <cell r="K39">
            <v>4256868.5460000001</v>
          </cell>
          <cell r="O39">
            <v>1052841.5290000001</v>
          </cell>
          <cell r="S39">
            <v>403512.87199999997</v>
          </cell>
          <cell r="W39">
            <v>3079939.5389999999</v>
          </cell>
        </row>
        <row r="41">
          <cell r="C41">
            <v>4654577.4622301552</v>
          </cell>
          <cell r="G41">
            <v>9054972.5101520233</v>
          </cell>
          <cell r="O41">
            <v>1061028.6698399947</v>
          </cell>
          <cell r="S41">
            <v>82692.260599999994</v>
          </cell>
          <cell r="W41">
            <v>1642920.454000005</v>
          </cell>
        </row>
        <row r="43">
          <cell r="C43">
            <v>5851407.4579999996</v>
          </cell>
          <cell r="G43">
            <v>5463237.2570000002</v>
          </cell>
          <cell r="K43">
            <v>4527886.8880000003</v>
          </cell>
          <cell r="O43">
            <v>520478.15600000002</v>
          </cell>
          <cell r="S43">
            <v>87380.482999999993</v>
          </cell>
          <cell r="W43">
            <v>532961.10800000001</v>
          </cell>
        </row>
        <row r="45">
          <cell r="C45">
            <v>947304.17</v>
          </cell>
          <cell r="G45">
            <v>3963904.8829999999</v>
          </cell>
          <cell r="K45">
            <v>3154839.3280000002</v>
          </cell>
          <cell r="O45">
            <v>722572.29099999997</v>
          </cell>
          <cell r="S45">
            <v>450399.91</v>
          </cell>
          <cell r="W45">
            <v>379495.84100000001</v>
          </cell>
        </row>
        <row r="47">
          <cell r="C47">
            <v>4068048.4419999998</v>
          </cell>
          <cell r="G47">
            <v>1982823.389</v>
          </cell>
          <cell r="K47">
            <v>0</v>
          </cell>
          <cell r="O47">
            <v>0</v>
          </cell>
          <cell r="S47">
            <v>0</v>
          </cell>
          <cell r="W47">
            <v>0</v>
          </cell>
        </row>
        <row r="49">
          <cell r="C49">
            <v>216696.003</v>
          </cell>
          <cell r="G49">
            <v>1106857.4579999999</v>
          </cell>
          <cell r="K49">
            <v>348921.348</v>
          </cell>
          <cell r="O49">
            <v>171751.098</v>
          </cell>
          <cell r="S49">
            <v>9365.7029999999995</v>
          </cell>
          <cell r="W49">
            <v>361712.95699999999</v>
          </cell>
        </row>
        <row r="51">
          <cell r="C51">
            <v>5644.0749999999998</v>
          </cell>
          <cell r="G51">
            <v>7826.04</v>
          </cell>
          <cell r="K51">
            <v>1803496.6780000001</v>
          </cell>
          <cell r="O51">
            <v>64761.531000000003</v>
          </cell>
          <cell r="S51">
            <v>149469.03700000001</v>
          </cell>
          <cell r="W51">
            <v>149312.049</v>
          </cell>
        </row>
        <row r="53">
          <cell r="K53">
            <v>15054440.993629996</v>
          </cell>
          <cell r="O53">
            <v>3593445.9518399946</v>
          </cell>
          <cell r="S53">
            <v>1182831.4765999999</v>
          </cell>
          <cell r="W53">
            <v>6169331.5480000041</v>
          </cell>
        </row>
        <row r="62">
          <cell r="C62">
            <v>964090.04500000004</v>
          </cell>
          <cell r="G62">
            <v>257930.258</v>
          </cell>
          <cell r="K62">
            <v>243243.50599999999</v>
          </cell>
          <cell r="O62">
            <v>36700.071000000004</v>
          </cell>
          <cell r="S62">
            <v>157233.568</v>
          </cell>
          <cell r="W62">
            <v>1015253.921</v>
          </cell>
        </row>
        <row r="64">
          <cell r="C64">
            <v>1029045.9462099947</v>
          </cell>
          <cell r="G64">
            <v>434473.62028999953</v>
          </cell>
          <cell r="K64">
            <v>67197.762159999998</v>
          </cell>
          <cell r="O64">
            <v>24263.058059999985</v>
          </cell>
          <cell r="S64">
            <v>85341.934590000077</v>
          </cell>
          <cell r="W64">
            <v>557706.92934999987</v>
          </cell>
        </row>
        <row r="66">
          <cell r="C66">
            <v>1461851.156</v>
          </cell>
          <cell r="G66">
            <v>421541.89500000002</v>
          </cell>
          <cell r="K66">
            <v>243763.47099999999</v>
          </cell>
          <cell r="O66">
            <v>22420.215</v>
          </cell>
          <cell r="S66">
            <v>11868.414000000001</v>
          </cell>
          <cell r="W66">
            <v>196862.61499999999</v>
          </cell>
        </row>
        <row r="68">
          <cell r="C68">
            <v>455455.58399999997</v>
          </cell>
          <cell r="G68">
            <v>372087.46399999998</v>
          </cell>
          <cell r="K68">
            <v>484915.87900000002</v>
          </cell>
          <cell r="O68">
            <v>43780.307999999997</v>
          </cell>
          <cell r="S68">
            <v>147548.29800000001</v>
          </cell>
          <cell r="W68">
            <v>246462.976</v>
          </cell>
        </row>
        <row r="70">
          <cell r="C70">
            <v>725474.31</v>
          </cell>
          <cell r="G70">
            <v>125409.81299999999</v>
          </cell>
          <cell r="K70">
            <v>0</v>
          </cell>
          <cell r="O70">
            <v>0</v>
          </cell>
          <cell r="S70">
            <v>0</v>
          </cell>
          <cell r="W70">
            <v>0</v>
          </cell>
        </row>
        <row r="72">
          <cell r="C72">
            <v>206861.11600000001</v>
          </cell>
          <cell r="G72">
            <v>215306.527</v>
          </cell>
          <cell r="K72">
            <v>112096.08900000001</v>
          </cell>
          <cell r="O72">
            <v>35657.815999999999</v>
          </cell>
          <cell r="S72">
            <v>13703.236000000001</v>
          </cell>
          <cell r="W72">
            <v>499114.35100000002</v>
          </cell>
        </row>
        <row r="74">
          <cell r="C74">
            <v>6581.1170000000002</v>
          </cell>
          <cell r="G74">
            <v>335.92200000000003</v>
          </cell>
          <cell r="K74">
            <v>79049.081000000006</v>
          </cell>
          <cell r="O74">
            <v>4906.027</v>
          </cell>
          <cell r="S74">
            <v>71091.399999999994</v>
          </cell>
          <cell r="W74">
            <v>284102.31900000002</v>
          </cell>
        </row>
        <row r="76">
          <cell r="C76">
            <v>4830407.0152099943</v>
          </cell>
          <cell r="G76">
            <v>1459977.8022899998</v>
          </cell>
          <cell r="K76">
            <v>789135.91815999988</v>
          </cell>
          <cell r="O76">
            <v>271495.99206000002</v>
          </cell>
          <cell r="S76">
            <v>585704.16859000002</v>
          </cell>
          <cell r="W76">
            <v>2554596.4623500002</v>
          </cell>
        </row>
        <row r="85">
          <cell r="C85">
            <v>4084787.2939999998</v>
          </cell>
          <cell r="G85">
            <v>12101013.102</v>
          </cell>
          <cell r="K85">
            <v>4500112.0520000001</v>
          </cell>
          <cell r="O85">
            <v>1089541.6000000001</v>
          </cell>
          <cell r="S85">
            <v>560746.43999999994</v>
          </cell>
          <cell r="W85">
            <v>4095193.46</v>
          </cell>
        </row>
        <row r="87">
          <cell r="C87">
            <v>5683623.4084401503</v>
          </cell>
          <cell r="G87">
            <v>9489446.1304420233</v>
          </cell>
          <cell r="O87">
            <v>1085291.7278999947</v>
          </cell>
          <cell r="S87">
            <v>168034.19519000006</v>
          </cell>
          <cell r="W87">
            <v>2200627.3833500049</v>
          </cell>
        </row>
        <row r="89">
          <cell r="C89">
            <v>7313258.6140000001</v>
          </cell>
          <cell r="G89">
            <v>5884779.1519999998</v>
          </cell>
          <cell r="K89">
            <v>4771650.3590000002</v>
          </cell>
          <cell r="O89">
            <v>542898.37100000004</v>
          </cell>
          <cell r="S89">
            <v>99248.896999999997</v>
          </cell>
          <cell r="W89">
            <v>729823.723</v>
          </cell>
        </row>
        <row r="91">
          <cell r="C91">
            <v>1402759.754</v>
          </cell>
          <cell r="G91">
            <v>4335992.3470000001</v>
          </cell>
          <cell r="K91">
            <v>3639755.2070000004</v>
          </cell>
          <cell r="O91">
            <v>766352.59899999993</v>
          </cell>
          <cell r="S91">
            <v>597948.20799999998</v>
          </cell>
          <cell r="W91">
            <v>625958.81700000004</v>
          </cell>
        </row>
        <row r="93">
          <cell r="C93">
            <v>4793522.7520000003</v>
          </cell>
          <cell r="G93">
            <v>2108233.202</v>
          </cell>
          <cell r="K93">
            <v>0</v>
          </cell>
          <cell r="O93">
            <v>0</v>
          </cell>
          <cell r="S93">
            <v>0</v>
          </cell>
          <cell r="W93">
            <v>0</v>
          </cell>
        </row>
        <row r="95">
          <cell r="C95">
            <v>423557.11900000001</v>
          </cell>
          <cell r="G95">
            <v>1322163.9850000001</v>
          </cell>
          <cell r="K95">
            <v>461017.43700000003</v>
          </cell>
          <cell r="O95">
            <v>207408.91399999999</v>
          </cell>
          <cell r="S95">
            <v>23068.938999999998</v>
          </cell>
          <cell r="W95">
            <v>860827.30799999996</v>
          </cell>
        </row>
        <row r="97">
          <cell r="C97">
            <v>12225.191999999999</v>
          </cell>
          <cell r="G97">
            <v>8161.9619999999995</v>
          </cell>
          <cell r="K97">
            <v>1882545.7590000001</v>
          </cell>
          <cell r="O97">
            <v>69667.558000000005</v>
          </cell>
          <cell r="S97">
            <v>220560.43700000001</v>
          </cell>
          <cell r="W97">
            <v>433414.36800000002</v>
          </cell>
        </row>
        <row r="99">
          <cell r="C99">
            <v>27755616.061440155</v>
          </cell>
          <cell r="G99">
            <v>30920626.919442024</v>
          </cell>
          <cell r="K99">
            <v>13411309.874789994</v>
          </cell>
          <cell r="O99">
            <v>3592769.5628999947</v>
          </cell>
          <cell r="S99">
            <v>1697631.5761899999</v>
          </cell>
          <cell r="W99">
            <v>8344432.1693500048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41">
          <cell r="B41">
            <v>13709549.972382179</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1"/>
      <sheetName val="Feuil2"/>
      <sheetName val="Feuil3"/>
      <sheetName val="Feuil4"/>
      <sheetName val="Syn prin concurents"/>
      <sheetName val="Syn prin concurents par catégor"/>
      <sheetName val="Syn prin concurents par trim"/>
      <sheetName val="Syn prin concurents par sem"/>
      <sheetName val="Syn prin concurents par cat (2)"/>
      <sheetName val="Syn prin concurents Nbre"/>
      <sheetName val="Syn prin concurents par cat Nbr"/>
      <sheetName val="Montant Moyn"/>
      <sheetName val="GLOBAL"/>
      <sheetName val="AXA CREDIT"/>
      <sheetName val="ASSALAF AL AKHDAR"/>
      <sheetName val="DAR SALAF"/>
      <sheetName val="EQDOM"/>
      <sheetName val="FNAC"/>
      <sheetName val="RCI "/>
      <sheetName val="SALAFIN"/>
      <sheetName val="SOFAC"/>
      <sheetName val="SOGEFINANCEMENT"/>
      <sheetName val="SONAC"/>
      <sheetName val="SOREC"/>
      <sheetName val="VIVALIS"/>
      <sheetName val="WAFASALAF"/>
      <sheetName val="DIAC"/>
      <sheetName val="FINACRED"/>
      <sheetName val="SALAF AL MOUSTAQBAL"/>
    </sheetNames>
    <sheetDataSet>
      <sheetData sheetId="0"/>
      <sheetData sheetId="1"/>
      <sheetData sheetId="2"/>
      <sheetData sheetId="3"/>
      <sheetData sheetId="4">
        <row r="16">
          <cell r="E16">
            <v>2950975.9727299996</v>
          </cell>
        </row>
        <row r="52">
          <cell r="M52">
            <v>0</v>
          </cell>
        </row>
        <row r="76">
          <cell r="M76">
            <v>0</v>
          </cell>
        </row>
        <row r="99">
          <cell r="M99">
            <v>0</v>
          </cell>
        </row>
      </sheetData>
      <sheetData sheetId="5">
        <row r="16">
          <cell r="C16">
            <v>1022683.91413</v>
          </cell>
        </row>
        <row r="39">
          <cell r="AA39">
            <v>404902.47416000068</v>
          </cell>
          <cell r="AE39">
            <v>92905.176180000009</v>
          </cell>
        </row>
        <row r="41">
          <cell r="AA41">
            <v>2991.1095400005579</v>
          </cell>
          <cell r="AE41">
            <v>0</v>
          </cell>
        </row>
        <row r="43">
          <cell r="AA43">
            <v>0</v>
          </cell>
          <cell r="AE43">
            <v>0</v>
          </cell>
        </row>
        <row r="45">
          <cell r="AA45">
            <v>41.334819999989122</v>
          </cell>
          <cell r="AE45">
            <v>0</v>
          </cell>
        </row>
        <row r="47">
          <cell r="AA47">
            <v>0</v>
          </cell>
          <cell r="AE47">
            <v>0</v>
          </cell>
        </row>
        <row r="49">
          <cell r="AA49">
            <v>0</v>
          </cell>
          <cell r="AE49">
            <v>80009.384340000004</v>
          </cell>
        </row>
        <row r="51">
          <cell r="AA51">
            <v>0</v>
          </cell>
          <cell r="AE51">
            <v>3.1149499999999999</v>
          </cell>
        </row>
        <row r="53">
          <cell r="C53">
            <v>13704289.612539979</v>
          </cell>
          <cell r="G53">
            <v>23297401.984021988</v>
          </cell>
          <cell r="AA53">
            <v>407934.91852000356</v>
          </cell>
          <cell r="AE53">
            <v>172917.67547000002</v>
          </cell>
        </row>
        <row r="62">
          <cell r="AA62">
            <v>43272.474079999956</v>
          </cell>
          <cell r="AE62">
            <v>51298.267950000001</v>
          </cell>
        </row>
        <row r="64">
          <cell r="AA64">
            <v>124.78544999996666</v>
          </cell>
          <cell r="AE64">
            <v>0</v>
          </cell>
        </row>
        <row r="66">
          <cell r="AA66">
            <v>0</v>
          </cell>
          <cell r="AE66">
            <v>0</v>
          </cell>
        </row>
        <row r="68">
          <cell r="AA68">
            <v>4141.7392799999798</v>
          </cell>
          <cell r="AE68">
            <v>0</v>
          </cell>
        </row>
        <row r="70">
          <cell r="AA70">
            <v>0</v>
          </cell>
          <cell r="AE70">
            <v>0</v>
          </cell>
        </row>
        <row r="72">
          <cell r="AA72">
            <v>0</v>
          </cell>
          <cell r="AE72">
            <v>5410.5944800000007</v>
          </cell>
        </row>
        <row r="74">
          <cell r="AA74">
            <v>0</v>
          </cell>
          <cell r="AE74">
            <v>67.633899999999997</v>
          </cell>
        </row>
        <row r="76">
          <cell r="AA76">
            <v>47538.998810000718</v>
          </cell>
          <cell r="AE76">
            <v>56776.496330000002</v>
          </cell>
        </row>
        <row r="85">
          <cell r="AA85">
            <v>448174.94824000075</v>
          </cell>
          <cell r="AE85">
            <v>144203.44413000002</v>
          </cell>
        </row>
        <row r="87">
          <cell r="AA87">
            <v>3115.8949900008738</v>
          </cell>
          <cell r="AE87">
            <v>0</v>
          </cell>
        </row>
        <row r="89">
          <cell r="AA89">
            <v>0</v>
          </cell>
          <cell r="AE89">
            <v>0</v>
          </cell>
        </row>
        <row r="91">
          <cell r="AA91">
            <v>4183.0740999998525</v>
          </cell>
          <cell r="AE91">
            <v>0</v>
          </cell>
        </row>
        <row r="93">
          <cell r="AA93">
            <v>0</v>
          </cell>
          <cell r="AE93">
            <v>0</v>
          </cell>
        </row>
        <row r="95">
          <cell r="AA95">
            <v>0</v>
          </cell>
          <cell r="AE95">
            <v>85419.978820000004</v>
          </cell>
        </row>
        <row r="97">
          <cell r="AA97">
            <v>0</v>
          </cell>
          <cell r="AE97">
            <v>70.74884999999999</v>
          </cell>
        </row>
        <row r="99">
          <cell r="AA99">
            <v>455473.91733000427</v>
          </cell>
          <cell r="AE99">
            <v>229694.17180000001</v>
          </cell>
        </row>
      </sheetData>
      <sheetData sheetId="6">
        <row r="16">
          <cell r="G16">
            <v>668145.34052000067</v>
          </cell>
          <cell r="H16">
            <v>750506.88167999929</v>
          </cell>
          <cell r="L16">
            <v>645859.11575000011</v>
          </cell>
          <cell r="M16">
            <v>679542.32548999973</v>
          </cell>
          <cell r="Q16">
            <v>121721.38968000002</v>
          </cell>
          <cell r="R16">
            <v>136883.07951999991</v>
          </cell>
          <cell r="V16">
            <v>7172.5945200000006</v>
          </cell>
          <cell r="W16">
            <v>8151.1324999999979</v>
          </cell>
        </row>
        <row r="18">
          <cell r="G18">
            <v>1136780.1596950004</v>
          </cell>
          <cell r="H18">
            <v>834439.36039833492</v>
          </cell>
          <cell r="L18">
            <v>246828.11294999998</v>
          </cell>
          <cell r="M18">
            <v>231068.54219000007</v>
          </cell>
          <cell r="Q18">
            <v>797.46943000000033</v>
          </cell>
          <cell r="R18">
            <v>558.51700000000005</v>
          </cell>
          <cell r="V18">
            <v>0</v>
          </cell>
          <cell r="W18">
            <v>0</v>
          </cell>
        </row>
        <row r="20">
          <cell r="G20">
            <v>862913.14326999988</v>
          </cell>
          <cell r="H20">
            <v>816136.62575000012</v>
          </cell>
          <cell r="L20">
            <v>272793.46905000019</v>
          </cell>
          <cell r="M20">
            <v>322050.01264999982</v>
          </cell>
          <cell r="Q20">
            <v>0</v>
          </cell>
          <cell r="R20">
            <v>0</v>
          </cell>
          <cell r="V20">
            <v>0</v>
          </cell>
          <cell r="W20">
            <v>0</v>
          </cell>
        </row>
        <row r="22">
          <cell r="G22">
            <v>264722.19788000017</v>
          </cell>
          <cell r="H22">
            <v>247883.16501999972</v>
          </cell>
          <cell r="L22">
            <v>287335.65060999995</v>
          </cell>
          <cell r="M22">
            <v>330162.51014999981</v>
          </cell>
          <cell r="Q22">
            <v>86.193999999999988</v>
          </cell>
          <cell r="R22">
            <v>18.309000000000012</v>
          </cell>
          <cell r="V22">
            <v>0</v>
          </cell>
          <cell r="W22">
            <v>0</v>
          </cell>
        </row>
        <row r="24">
          <cell r="G24">
            <v>332199.05688000005</v>
          </cell>
          <cell r="H24">
            <v>547319.83619999979</v>
          </cell>
          <cell r="L24">
            <v>0</v>
          </cell>
          <cell r="M24">
            <v>0</v>
          </cell>
          <cell r="Q24">
            <v>0</v>
          </cell>
          <cell r="R24">
            <v>0</v>
          </cell>
          <cell r="V24">
            <v>0</v>
          </cell>
          <cell r="W24">
            <v>0</v>
          </cell>
        </row>
        <row r="26">
          <cell r="G26">
            <v>80123.484490000032</v>
          </cell>
          <cell r="H26">
            <v>147434.69062000001</v>
          </cell>
          <cell r="L26">
            <v>114010.07883000007</v>
          </cell>
          <cell r="M26">
            <v>129379.97830999992</v>
          </cell>
          <cell r="Q26">
            <v>0</v>
          </cell>
          <cell r="R26">
            <v>0</v>
          </cell>
          <cell r="V26">
            <v>1805.363789999999</v>
          </cell>
          <cell r="W26">
            <v>1278.1816600000002</v>
          </cell>
        </row>
        <row r="28">
          <cell r="G28">
            <v>924.69639999999947</v>
          </cell>
          <cell r="H28">
            <v>1594.7989300000004</v>
          </cell>
          <cell r="L28">
            <v>110233.10422000001</v>
          </cell>
          <cell r="M28">
            <v>177095.75526999997</v>
          </cell>
          <cell r="Q28">
            <v>0</v>
          </cell>
          <cell r="R28">
            <v>0</v>
          </cell>
          <cell r="V28">
            <v>0</v>
          </cell>
          <cell r="W28">
            <v>0</v>
          </cell>
        </row>
        <row r="30">
          <cell r="G30">
            <v>3452702.1483250009</v>
          </cell>
          <cell r="H30">
            <v>3485551.6125883339</v>
          </cell>
          <cell r="L30">
            <v>1683950.1914100004</v>
          </cell>
          <cell r="M30">
            <v>1892898.704429999</v>
          </cell>
          <cell r="Q30">
            <v>122605.05311000007</v>
          </cell>
          <cell r="R30">
            <v>137459.90551999988</v>
          </cell>
          <cell r="V30">
            <v>8977.9583100000018</v>
          </cell>
          <cell r="W30">
            <v>9429.3141600000017</v>
          </cell>
        </row>
      </sheetData>
      <sheetData sheetId="7"/>
      <sheetData sheetId="8"/>
      <sheetData sheetId="9"/>
      <sheetData sheetId="10"/>
      <sheetData sheetId="11"/>
      <sheetData sheetId="12">
        <row r="12">
          <cell r="B12">
            <v>7778384.1931800004</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moyenne par dossier"/>
      <sheetName val="var 2007 2006"/>
      <sheetName val="graphes"/>
      <sheetName val="global présentation commerciale"/>
      <sheetName val="global "/>
      <sheetName val="ACRED"/>
      <sheetName val="ASSALAF CHAABI"/>
      <sheetName val="CETELEM"/>
      <sheetName val="BMCI CREDIT CONSO"/>
      <sheetName val="DAR SALAF"/>
      <sheetName val="DIAC SALAF"/>
      <sheetName val="EQDOM"/>
      <sheetName val="FINACRED"/>
      <sheetName val="FNAC"/>
      <sheetName val="SAFACRED"/>
      <sheetName val="SALAF"/>
      <sheetName val="SALAF AL MOUSTAQBAL"/>
      <sheetName val="SALAFIN"/>
      <sheetName val="SOFAC"/>
      <sheetName val="SOGEFINANCEMENT"/>
      <sheetName val="SONAC"/>
      <sheetName val="SOREC"/>
      <sheetName val="TASLIF"/>
      <sheetName val="WAFASALAF"/>
    </sheetNames>
    <sheetDataSet>
      <sheetData sheetId="0"/>
      <sheetData sheetId="1"/>
      <sheetData sheetId="2"/>
      <sheetData sheetId="3"/>
      <sheetData sheetId="4"/>
      <sheetData sheetId="5" refreshError="1">
        <row r="11">
          <cell r="E11">
            <v>3701704.9980545454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1"/>
      <sheetName val="Déclaré"/>
      <sheetName val="STATS CREDIT CONSO SOFAC Décemb"/>
    </sheetNames>
    <sheetDataSet>
      <sheetData sheetId="0">
        <row r="50">
          <cell r="B50">
            <v>3315215214.4900002</v>
          </cell>
        </row>
        <row r="51">
          <cell r="B51">
            <v>761163858.97999191</v>
          </cell>
        </row>
      </sheetData>
      <sheetData sheetId="1">
        <row r="12">
          <cell r="B12">
            <v>2246195209.1100001</v>
          </cell>
        </row>
      </sheetData>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1"/>
      <sheetName val="Feuil2"/>
      <sheetName val="Feuil3"/>
      <sheetName val="Feuil4"/>
      <sheetName val="Syn prin concurents"/>
      <sheetName val="Syn prin concurents par catégor"/>
      <sheetName val="Syn prin concurents par trim"/>
      <sheetName val="Syn prin concurents par sem"/>
      <sheetName val="Syn prin concurents par cat (2)"/>
      <sheetName val="Syn prin concurents Nbre"/>
      <sheetName val="Syn prin concurents par cat Nbr"/>
      <sheetName val="Montant Moyn"/>
      <sheetName val="GLOBAL"/>
      <sheetName val="AXA CREDIT"/>
      <sheetName val="ASSALAF AL AKHDAR"/>
      <sheetName val="DAR SALAF"/>
      <sheetName val="EQDOM"/>
      <sheetName val="FNAC"/>
      <sheetName val="RCI "/>
      <sheetName val="SALAFIN"/>
      <sheetName val="SOFAC"/>
      <sheetName val="SOGEFINANCEMENT"/>
      <sheetName val="SONAC"/>
      <sheetName val="SOREC"/>
      <sheetName val="VIVALIS"/>
      <sheetName val="WAFASALAF"/>
      <sheetName val="DIAC"/>
      <sheetName val="FINACRED"/>
      <sheetName val="SALAF AL MOUSTAQBAL"/>
    </sheetNames>
    <sheetDataSet>
      <sheetData sheetId="0"/>
      <sheetData sheetId="1"/>
      <sheetData sheetId="2"/>
      <sheetData sheetId="3"/>
      <sheetData sheetId="4"/>
      <sheetData sheetId="5"/>
      <sheetData sheetId="6">
        <row r="16">
          <cell r="F16">
            <v>1014273.70753</v>
          </cell>
          <cell r="K16">
            <v>775244.44811000011</v>
          </cell>
          <cell r="P16">
            <v>149244.38494000002</v>
          </cell>
          <cell r="U16">
            <v>6365.6763899999987</v>
          </cell>
        </row>
        <row r="18">
          <cell r="F18">
            <v>1288206.3933066661</v>
          </cell>
          <cell r="K18">
            <v>282195.05194000003</v>
          </cell>
          <cell r="P18">
            <v>1094.0545999999999</v>
          </cell>
        </row>
        <row r="20">
          <cell r="F20">
            <v>1264426.1538499999</v>
          </cell>
          <cell r="K20">
            <v>318411.50928000006</v>
          </cell>
          <cell r="P20">
            <v>0</v>
          </cell>
        </row>
        <row r="22">
          <cell r="F22">
            <v>374165.15850999992</v>
          </cell>
          <cell r="K22">
            <v>373055.23839999997</v>
          </cell>
          <cell r="P22">
            <v>178.22099999999998</v>
          </cell>
        </row>
        <row r="24">
          <cell r="F24">
            <v>675311.68952000013</v>
          </cell>
          <cell r="K24">
            <v>0</v>
          </cell>
          <cell r="P24">
            <v>0</v>
          </cell>
        </row>
        <row r="26">
          <cell r="F26">
            <v>144083.32610999997</v>
          </cell>
          <cell r="K26">
            <v>129162.56929999999</v>
          </cell>
          <cell r="P26">
            <v>0</v>
          </cell>
        </row>
        <row r="28">
          <cell r="F28">
            <v>3314.1201600000004</v>
          </cell>
          <cell r="K28">
            <v>127683.10129000002</v>
          </cell>
          <cell r="P28">
            <v>0</v>
          </cell>
        </row>
        <row r="30">
          <cell r="F30">
            <v>4897586.825666666</v>
          </cell>
          <cell r="K30">
            <v>2006517.9943199996</v>
          </cell>
          <cell r="P30">
            <v>150516.66054000004</v>
          </cell>
          <cell r="U30">
            <v>2437.5319699999982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1"/>
      <sheetName val="Feuil2"/>
      <sheetName val="Feuil3"/>
      <sheetName val="Feuil4"/>
      <sheetName val="Syn prin concurents"/>
      <sheetName val="Syn prin concurents par catégor"/>
      <sheetName val="Syn prin concurents par trim"/>
      <sheetName val="Syn prin concurents par sem"/>
      <sheetName val="Syn prin concurents par cat (2)"/>
      <sheetName val="Syn prin concurents Nbre"/>
      <sheetName val="Syn prin concurents par cat Nbr"/>
      <sheetName val="Montant Moyn"/>
      <sheetName val="GLOBAL"/>
      <sheetName val="AXA CREDIT"/>
      <sheetName val="ASSALAF AL AKHDAR"/>
      <sheetName val="DAR SALAF"/>
      <sheetName val="EQDOM"/>
      <sheetName val="FNAC"/>
      <sheetName val="RCI "/>
      <sheetName val="SALAFIN"/>
      <sheetName val="SOFAC"/>
      <sheetName val="SOGEFINANCEMENT"/>
      <sheetName val="SONAC"/>
      <sheetName val="SOREC"/>
      <sheetName val="VIVALIS"/>
      <sheetName val="WAFASALAF"/>
      <sheetName val="DIAC"/>
      <sheetName val="FINACRED"/>
      <sheetName val="SALAF AL MOUSTAQBAL"/>
    </sheetNames>
    <sheetDataSet>
      <sheetData sheetId="0"/>
      <sheetData sheetId="1"/>
      <sheetData sheetId="2"/>
      <sheetData sheetId="3"/>
      <sheetData sheetId="4"/>
      <sheetData sheetId="5"/>
      <sheetData sheetId="6">
        <row r="16">
          <cell r="G16">
            <v>997576.37399999984</v>
          </cell>
          <cell r="L16">
            <v>740352.67200000014</v>
          </cell>
          <cell r="Q16">
            <v>137756.19499999995</v>
          </cell>
          <cell r="V16">
            <v>4516.7924800000001</v>
          </cell>
        </row>
        <row r="18">
          <cell r="G18">
            <v>1208298.083523334</v>
          </cell>
          <cell r="L18">
            <v>293267.66671000014</v>
          </cell>
          <cell r="Q18">
            <v>520.48300000000017</v>
          </cell>
          <cell r="V18">
            <v>0</v>
          </cell>
        </row>
        <row r="20">
          <cell r="G20">
            <v>843832.47100000037</v>
          </cell>
          <cell r="L20">
            <v>339086.11599999986</v>
          </cell>
          <cell r="Q20">
            <v>0</v>
          </cell>
          <cell r="V20">
            <v>0</v>
          </cell>
        </row>
        <row r="22">
          <cell r="G22">
            <v>319322.7759999999</v>
          </cell>
          <cell r="L22">
            <v>388462.16899999994</v>
          </cell>
          <cell r="Q22">
            <v>622.63200000000006</v>
          </cell>
          <cell r="V22">
            <v>0</v>
          </cell>
        </row>
        <row r="24">
          <cell r="G24">
            <v>566978.84900000005</v>
          </cell>
          <cell r="L24">
            <v>0</v>
          </cell>
          <cell r="Q24">
            <v>0</v>
          </cell>
          <cell r="V24">
            <v>0</v>
          </cell>
        </row>
        <row r="26">
          <cell r="G26">
            <v>111793.54000000005</v>
          </cell>
          <cell r="L26">
            <v>111958.99100000002</v>
          </cell>
          <cell r="Q26">
            <v>0</v>
          </cell>
          <cell r="V26">
            <v>-2469.5567499999997</v>
          </cell>
        </row>
        <row r="28">
          <cell r="G28">
            <v>914.77399999999943</v>
          </cell>
          <cell r="L28">
            <v>145471.18999999994</v>
          </cell>
          <cell r="Q28">
            <v>0</v>
          </cell>
          <cell r="V28">
            <v>0</v>
          </cell>
        </row>
        <row r="30">
          <cell r="G30">
            <v>4170695.0865233354</v>
          </cell>
          <cell r="L30">
            <v>2020349.2997099999</v>
          </cell>
          <cell r="Q30">
            <v>138899.30999999997</v>
          </cell>
          <cell r="V30">
            <v>2047.2357300000003</v>
          </cell>
        </row>
      </sheetData>
      <sheetData sheetId="7"/>
      <sheetData sheetId="8"/>
      <sheetData sheetId="9"/>
      <sheetData sheetId="10"/>
      <sheetData sheetId="11"/>
      <sheetData sheetId="12">
        <row r="11">
          <cell r="B11">
            <v>13286091.450183336</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ur web"/>
      <sheetName val="Syn prin concurents (2)"/>
      <sheetName val="Syn prin concurents par catégor"/>
      <sheetName val="Syn prin concurents"/>
      <sheetName val="GLOBAL"/>
      <sheetName val="AXA CREDIT"/>
      <sheetName val="ASSALAF AL AKHDAR"/>
      <sheetName val="BMCI CC"/>
      <sheetName val="CETELEM"/>
      <sheetName val="DAR SALAF"/>
      <sheetName val="DIAC"/>
      <sheetName val="EQDOM"/>
      <sheetName val="FINACRED"/>
      <sheetName val="FNAC"/>
      <sheetName val="RCI "/>
      <sheetName val="SALAF AL MOUSTAQBAL"/>
      <sheetName val="SALAFIN"/>
      <sheetName val="SOFAC"/>
      <sheetName val="SOGEFINANCEMENT"/>
      <sheetName val="SONAC"/>
      <sheetName val="SOREC"/>
      <sheetName val="TASLIF"/>
      <sheetName val="VIVALIS"/>
      <sheetName val="WAFASALA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5">
          <cell r="B55">
            <v>0</v>
          </cell>
        </row>
      </sheetData>
      <sheetData sheetId="12" refreshError="1"/>
      <sheetData sheetId="13" refreshError="1"/>
      <sheetData sheetId="14" refreshError="1"/>
      <sheetData sheetId="15" refreshError="1"/>
      <sheetData sheetId="16" refreshError="1"/>
      <sheetData sheetId="17" refreshError="1">
        <row r="55">
          <cell r="B55">
            <v>0</v>
          </cell>
        </row>
      </sheetData>
      <sheetData sheetId="18" refreshError="1"/>
      <sheetData sheetId="19" refreshError="1"/>
      <sheetData sheetId="20" refreshError="1"/>
      <sheetData sheetId="21" refreshError="1"/>
      <sheetData sheetId="22" refreshError="1">
        <row r="55">
          <cell r="B55">
            <v>0</v>
          </cell>
        </row>
      </sheetData>
      <sheetData sheetId="2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 prin concurents"/>
      <sheetName val="pour web"/>
      <sheetName val="GLOBAL"/>
      <sheetName val="ACRED"/>
      <sheetName val="ASSALAF AL AKHDAR"/>
      <sheetName val="BMCI CC"/>
      <sheetName val="CETELEM"/>
      <sheetName val="DAR SALAF"/>
      <sheetName val="DIAC"/>
      <sheetName val="EQDOM"/>
      <sheetName val="FINACRED"/>
      <sheetName val="FNAC"/>
      <sheetName val="RCI "/>
      <sheetName val="SALAF AL MOUSTAQBAL"/>
      <sheetName val="SALAFIN"/>
      <sheetName val="SOFAC"/>
      <sheetName val="SOGEFINANCEMENT"/>
      <sheetName val="SONAC"/>
      <sheetName val="SOREC"/>
      <sheetName val="TASLIF"/>
      <sheetName val="VIVALIS"/>
      <sheetName val="WAFASALAF"/>
    </sheetNames>
    <sheetDataSet>
      <sheetData sheetId="0"/>
      <sheetData sheetId="1"/>
      <sheetData sheetId="2">
        <row r="41">
          <cell r="B41">
            <v>11379048.841105573</v>
          </cell>
        </row>
        <row r="47">
          <cell r="B47">
            <v>11764376.854170948</v>
          </cell>
        </row>
        <row r="55">
          <cell r="B55">
            <v>393291.42038000003</v>
          </cell>
        </row>
      </sheetData>
      <sheetData sheetId="3"/>
      <sheetData sheetId="4"/>
      <sheetData sheetId="5"/>
      <sheetData sheetId="6"/>
      <sheetData sheetId="7"/>
      <sheetData sheetId="8"/>
      <sheetData sheetId="9"/>
      <sheetData sheetId="10"/>
      <sheetData sheetId="11"/>
      <sheetData sheetId="12"/>
      <sheetData sheetId="13"/>
      <sheetData sheetId="14">
        <row r="16">
          <cell r="C16">
            <v>214916.38176136531</v>
          </cell>
        </row>
      </sheetData>
      <sheetData sheetId="15"/>
      <sheetData sheetId="16"/>
      <sheetData sheetId="17"/>
      <sheetData sheetId="18"/>
      <sheetData sheetId="19"/>
      <sheetData sheetId="20"/>
      <sheetData sheetId="21">
        <row r="41">
          <cell r="B41">
            <v>4427636.2017827285</v>
          </cell>
        </row>
        <row r="47">
          <cell r="B47">
            <v>4692691.5015127286</v>
          </cell>
        </row>
        <row r="55">
          <cell r="B55">
            <v>175919.42038</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1"/>
      <sheetName val="Déclaré"/>
    </sheetNames>
    <sheetDataSet>
      <sheetData sheetId="0">
        <row r="24">
          <cell r="B24">
            <v>69775158.640000001</v>
          </cell>
          <cell r="D24">
            <v>1728</v>
          </cell>
        </row>
        <row r="25">
          <cell r="B25">
            <v>56340571.20000001</v>
          </cell>
          <cell r="D25">
            <v>1889</v>
          </cell>
        </row>
        <row r="26">
          <cell r="B26">
            <v>715674.46</v>
          </cell>
          <cell r="D26">
            <v>16</v>
          </cell>
        </row>
        <row r="27">
          <cell r="B27">
            <v>301113399.71999997</v>
          </cell>
          <cell r="D27">
            <v>990</v>
          </cell>
        </row>
        <row r="42">
          <cell r="B42">
            <v>5385317598.080307</v>
          </cell>
          <cell r="D42">
            <v>35115</v>
          </cell>
        </row>
        <row r="43">
          <cell r="B43">
            <v>10260660953.036682</v>
          </cell>
          <cell r="D43">
            <v>52210</v>
          </cell>
        </row>
        <row r="44">
          <cell r="B44">
            <v>4248875683.8097749</v>
          </cell>
        </row>
        <row r="46">
          <cell r="B46">
            <v>4423497.8799999952</v>
          </cell>
          <cell r="D46">
            <v>668</v>
          </cell>
        </row>
        <row r="51">
          <cell r="B51">
            <v>984421862.3999964</v>
          </cell>
          <cell r="D51">
            <v>20309</v>
          </cell>
        </row>
        <row r="52">
          <cell r="B52">
            <v>1047513431.4800019</v>
          </cell>
          <cell r="D52">
            <v>22525</v>
          </cell>
        </row>
        <row r="53">
          <cell r="B53">
            <v>93372044.329999641</v>
          </cell>
          <cell r="D53">
            <v>1922</v>
          </cell>
        </row>
        <row r="54">
          <cell r="B54">
            <v>1749715395.2700062</v>
          </cell>
          <cell r="D54">
            <v>10293</v>
          </cell>
        </row>
        <row r="98">
          <cell r="B98">
            <v>1168367948.5099998</v>
          </cell>
          <cell r="D98">
            <v>9306</v>
          </cell>
        </row>
        <row r="99">
          <cell r="B99">
            <v>470380375.09000051</v>
          </cell>
          <cell r="D99">
            <v>4795</v>
          </cell>
        </row>
        <row r="100">
          <cell r="B100">
            <v>0</v>
          </cell>
        </row>
        <row r="101">
          <cell r="B101">
            <v>321638.11</v>
          </cell>
          <cell r="D101">
            <v>43</v>
          </cell>
        </row>
        <row r="107">
          <cell r="B107">
            <v>70292074.51000002</v>
          </cell>
          <cell r="D107">
            <v>1433</v>
          </cell>
        </row>
        <row r="108">
          <cell r="B108">
            <v>27237951.429999977</v>
          </cell>
          <cell r="D108">
            <v>708</v>
          </cell>
        </row>
        <row r="109">
          <cell r="B109">
            <v>69719384.780000031</v>
          </cell>
          <cell r="D109">
            <v>1189</v>
          </cell>
        </row>
        <row r="110">
          <cell r="B110">
            <v>616959178.86999846</v>
          </cell>
          <cell r="D110">
            <v>6107</v>
          </cell>
        </row>
      </sheetData>
      <sheetData sheetId="1">
        <row r="12">
          <cell r="B12">
            <v>1477587714.6600006</v>
          </cell>
          <cell r="D12">
            <v>5490</v>
          </cell>
        </row>
        <row r="13">
          <cell r="D13">
            <v>7191</v>
          </cell>
        </row>
        <row r="14">
          <cell r="B14">
            <v>1992951340.4200077</v>
          </cell>
        </row>
        <row r="15">
          <cell r="B15">
            <v>93084262.616666213</v>
          </cell>
        </row>
        <row r="16">
          <cell r="B16">
            <v>506525667.95000011</v>
          </cell>
        </row>
        <row r="17">
          <cell r="B17">
            <v>0</v>
          </cell>
          <cell r="D17">
            <v>0</v>
          </cell>
        </row>
        <row r="18">
          <cell r="B18">
            <v>1143102.2999999998</v>
          </cell>
          <cell r="D18">
            <v>118</v>
          </cell>
        </row>
        <row r="19">
          <cell r="B19">
            <v>0</v>
          </cell>
          <cell r="D19">
            <v>0</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1"/>
      <sheetName val="Déclaré"/>
    </sheetNames>
    <sheetDataSet>
      <sheetData sheetId="0">
        <row r="24">
          <cell r="B24">
            <v>94865972.589999989</v>
          </cell>
        </row>
        <row r="25">
          <cell r="B25">
            <v>58514491.979999982</v>
          </cell>
        </row>
        <row r="26">
          <cell r="B26">
            <v>1396006.4100000001</v>
          </cell>
        </row>
        <row r="27">
          <cell r="B27">
            <v>211219665.47</v>
          </cell>
        </row>
      </sheetData>
      <sheetData sheetId="1">
        <row r="12">
          <cell r="B12">
            <v>1209540063.4300001</v>
          </cell>
          <cell r="D12">
            <v>5091</v>
          </cell>
        </row>
        <row r="13">
          <cell r="D13">
            <v>5509</v>
          </cell>
        </row>
        <row r="14">
          <cell r="B14">
            <v>1632506941.8700011</v>
          </cell>
        </row>
        <row r="15">
          <cell r="B15">
            <v>88645048.34999992</v>
          </cell>
        </row>
        <row r="16">
          <cell r="B16">
            <v>378555538.98333305</v>
          </cell>
        </row>
        <row r="17">
          <cell r="B17">
            <v>0</v>
          </cell>
        </row>
        <row r="18">
          <cell r="B18">
            <v>2242694</v>
          </cell>
          <cell r="D18">
            <v>152</v>
          </cell>
        </row>
        <row r="19">
          <cell r="B19">
            <v>0</v>
          </cell>
        </row>
        <row r="24">
          <cell r="D24">
            <v>2536.6999999999998</v>
          </cell>
        </row>
        <row r="25">
          <cell r="D25">
            <v>1544</v>
          </cell>
        </row>
        <row r="26">
          <cell r="D26">
            <v>262.98</v>
          </cell>
        </row>
        <row r="27">
          <cell r="D27">
            <v>1017.32</v>
          </cell>
        </row>
        <row r="28">
          <cell r="B28">
            <v>0</v>
          </cell>
          <cell r="D28">
            <v>0</v>
          </cell>
        </row>
        <row r="42">
          <cell r="B42">
            <v>4215569662.6302176</v>
          </cell>
          <cell r="D42">
            <v>30649</v>
          </cell>
        </row>
        <row r="43">
          <cell r="B43">
            <v>7891582951.1699362</v>
          </cell>
          <cell r="D43">
            <v>43820</v>
          </cell>
        </row>
        <row r="44">
          <cell r="B44">
            <v>3458557162.8300161</v>
          </cell>
        </row>
        <row r="45">
          <cell r="B45">
            <v>0</v>
          </cell>
          <cell r="D45">
            <v>0</v>
          </cell>
        </row>
        <row r="46">
          <cell r="B46">
            <v>5489290.8299999945</v>
          </cell>
          <cell r="D46">
            <v>644</v>
          </cell>
        </row>
        <row r="47">
          <cell r="B47">
            <v>0</v>
          </cell>
          <cell r="D47">
            <v>0</v>
          </cell>
        </row>
        <row r="51">
          <cell r="B51">
            <v>995991992.80899358</v>
          </cell>
          <cell r="D51">
            <v>21321</v>
          </cell>
        </row>
        <row r="52">
          <cell r="B52">
            <v>487564246.9300018</v>
          </cell>
          <cell r="D52">
            <v>9739</v>
          </cell>
        </row>
        <row r="53">
          <cell r="B53">
            <v>452028136.7626009</v>
          </cell>
          <cell r="D53">
            <v>10800</v>
          </cell>
        </row>
        <row r="54">
          <cell r="B54">
            <v>1472514747.648396</v>
          </cell>
          <cell r="D54">
            <v>9875</v>
          </cell>
        </row>
        <row r="55">
          <cell r="B55">
            <v>0</v>
          </cell>
          <cell r="D55">
            <v>0</v>
          </cell>
        </row>
        <row r="98">
          <cell r="B98">
            <v>918023155.97000229</v>
          </cell>
          <cell r="D98">
            <v>8159</v>
          </cell>
        </row>
        <row r="99">
          <cell r="B99">
            <v>314583613.30000067</v>
          </cell>
          <cell r="D99">
            <v>3807</v>
          </cell>
        </row>
        <row r="100">
          <cell r="B100">
            <v>0</v>
          </cell>
          <cell r="D100">
            <v>0</v>
          </cell>
        </row>
        <row r="101">
          <cell r="B101">
            <v>180161.17000000004</v>
          </cell>
          <cell r="D101">
            <v>30</v>
          </cell>
        </row>
        <row r="102">
          <cell r="B102">
            <v>0</v>
          </cell>
          <cell r="D102">
            <v>0</v>
          </cell>
        </row>
        <row r="107">
          <cell r="B107">
            <v>67921647.180000067</v>
          </cell>
          <cell r="D107">
            <v>1371</v>
          </cell>
        </row>
        <row r="108">
          <cell r="B108">
            <v>19641762.439999979</v>
          </cell>
          <cell r="D108">
            <v>570</v>
          </cell>
        </row>
        <row r="109">
          <cell r="B109">
            <v>73815808.159999892</v>
          </cell>
          <cell r="D109">
            <v>1143</v>
          </cell>
        </row>
        <row r="110">
          <cell r="B110">
            <v>540153450.83999979</v>
          </cell>
          <cell r="D110">
            <v>5730</v>
          </cell>
        </row>
        <row r="111">
          <cell r="B111">
            <v>0</v>
          </cell>
          <cell r="D111">
            <v>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2:P362"/>
  <sheetViews>
    <sheetView showGridLines="0" topLeftCell="A193" workbookViewId="0">
      <selection activeCell="J200" sqref="J200"/>
    </sheetView>
  </sheetViews>
  <sheetFormatPr baseColWidth="10" defaultColWidth="11.453125" defaultRowHeight="15.5" x14ac:dyDescent="0.35"/>
  <cols>
    <col min="1" max="1" width="28.26953125" style="264" bestFit="1" customWidth="1"/>
    <col min="2" max="5" width="18" style="264" bestFit="1" customWidth="1"/>
    <col min="6" max="6" width="19.54296875" style="264" bestFit="1" customWidth="1"/>
    <col min="7" max="7" width="18.1796875" style="264" bestFit="1" customWidth="1"/>
    <col min="8" max="8" width="16.81640625" style="264" bestFit="1" customWidth="1"/>
    <col min="9" max="9" width="12.26953125" style="264" customWidth="1"/>
    <col min="10" max="10" width="19.1796875" style="264" bestFit="1" customWidth="1"/>
    <col min="11" max="16384" width="11.453125" style="264"/>
  </cols>
  <sheetData>
    <row r="2" spans="1:16" x14ac:dyDescent="0.35">
      <c r="A2" s="264" t="s">
        <v>0</v>
      </c>
    </row>
    <row r="4" spans="1:16" x14ac:dyDescent="0.35">
      <c r="A4" s="323" t="s">
        <v>1</v>
      </c>
    </row>
    <row r="6" spans="1:16" x14ac:dyDescent="0.35">
      <c r="B6" s="264" t="s">
        <v>2</v>
      </c>
      <c r="C6" s="264" t="s">
        <v>3</v>
      </c>
      <c r="D6" s="264" t="s">
        <v>4</v>
      </c>
      <c r="E6" s="264" t="s">
        <v>5</v>
      </c>
      <c r="F6" s="264" t="s">
        <v>6</v>
      </c>
      <c r="G6" s="264" t="s">
        <v>7</v>
      </c>
      <c r="J6" s="264" t="s">
        <v>8</v>
      </c>
    </row>
    <row r="8" spans="1:16" x14ac:dyDescent="0.35">
      <c r="A8" s="265">
        <f>'Syn prin concurents'!$F$13</f>
        <v>45722</v>
      </c>
      <c r="B8" s="266">
        <f>'Syn prin concurents'!F16</f>
        <v>2374846.4179666685</v>
      </c>
      <c r="C8" s="266">
        <f>'Syn prin concurents'!$F$18</f>
        <v>1394520.5109999999</v>
      </c>
      <c r="D8" s="266">
        <f>'Syn prin concurents'!$F$24</f>
        <v>776137.951</v>
      </c>
      <c r="E8" s="266">
        <f>'Syn prin concurents'!$F$20</f>
        <v>1034282.206</v>
      </c>
      <c r="F8" s="266">
        <f>'Syn prin concurents'!F22</f>
        <v>543784.17000000004</v>
      </c>
      <c r="G8" s="266">
        <f>'Syn prin concurents'!F26</f>
        <v>142561.55799999999</v>
      </c>
      <c r="H8" s="266"/>
      <c r="I8" s="265">
        <f>'Syn prin concurents'!$F$13</f>
        <v>45722</v>
      </c>
      <c r="J8" s="266">
        <f>'Syn prin concurents'!F30</f>
        <v>6438156.4479666688</v>
      </c>
      <c r="N8" s="266"/>
      <c r="O8" s="266"/>
      <c r="P8" s="266"/>
    </row>
    <row r="9" spans="1:16" x14ac:dyDescent="0.35">
      <c r="A9" s="265">
        <f>'Syn prin concurents'!$B$2</f>
        <v>46082</v>
      </c>
      <c r="B9" s="266">
        <f>'Syn prin concurents'!E16</f>
        <v>2870929.124513342</v>
      </c>
      <c r="C9" s="266">
        <f>'Syn prin concurents'!$E$18</f>
        <v>1410372.655</v>
      </c>
      <c r="D9" s="266">
        <f>'Syn prin concurents'!$E$24</f>
        <v>878735.06400000001</v>
      </c>
      <c r="E9" s="266">
        <f>'Syn prin concurents'!$E$20</f>
        <v>781065.78</v>
      </c>
      <c r="F9" s="266">
        <f>'Syn prin concurents'!E22</f>
        <v>655331.20600000001</v>
      </c>
      <c r="G9" s="266">
        <f>'Syn prin concurents'!E26</f>
        <v>151024.43599999999</v>
      </c>
      <c r="H9" s="266"/>
      <c r="I9" s="265">
        <f>'Syn prin concurents'!$B$2</f>
        <v>46082</v>
      </c>
      <c r="J9" s="266">
        <f>'Syn prin concurents'!E30</f>
        <v>6958882.1325133424</v>
      </c>
      <c r="N9" s="266"/>
      <c r="O9" s="266"/>
      <c r="P9" s="266"/>
    </row>
    <row r="12" spans="1:16" x14ac:dyDescent="0.35">
      <c r="A12" s="264" t="s">
        <v>9</v>
      </c>
    </row>
    <row r="14" spans="1:16" x14ac:dyDescent="0.35">
      <c r="B14" s="274" t="s">
        <v>2</v>
      </c>
      <c r="C14" s="274" t="s">
        <v>10</v>
      </c>
      <c r="D14" s="274" t="s">
        <v>5</v>
      </c>
      <c r="E14" s="274" t="s">
        <v>4</v>
      </c>
      <c r="F14" s="274" t="s">
        <v>6</v>
      </c>
      <c r="G14" s="274" t="s">
        <v>7</v>
      </c>
      <c r="H14" s="274" t="s">
        <v>11</v>
      </c>
    </row>
    <row r="16" spans="1:16" x14ac:dyDescent="0.35">
      <c r="A16" s="265">
        <f>'Syn prin concurents'!$F$13</f>
        <v>45722</v>
      </c>
      <c r="B16" s="267">
        <f>'Syn prin concurents'!F17</f>
        <v>0.36887056677796398</v>
      </c>
      <c r="C16" s="267">
        <f>'Syn prin concurents'!F19</f>
        <v>0.21660245790398966</v>
      </c>
      <c r="D16" s="267">
        <f>'Syn prin concurents'!F21</f>
        <v>0.16064881528727876</v>
      </c>
      <c r="E16" s="267">
        <f>'Syn prin concurents'!F25</f>
        <v>0.12055282552897947</v>
      </c>
      <c r="F16" s="267">
        <f>'Syn prin concurents'!F23</f>
        <v>8.4462714504513273E-2</v>
      </c>
      <c r="G16" s="267">
        <f>'Syn prin concurents'!F27</f>
        <v>2.2143226737682726E-2</v>
      </c>
      <c r="H16" s="267">
        <f>'Syn prin concurents'!F29</f>
        <v>4.6931276436351096E-4</v>
      </c>
    </row>
    <row r="17" spans="1:8" x14ac:dyDescent="0.35">
      <c r="A17" s="265">
        <f>'Syn prin concurents'!$B$2</f>
        <v>46082</v>
      </c>
      <c r="B17" s="267">
        <f>'Syn prin concurents'!E17</f>
        <v>0.41255607866955601</v>
      </c>
      <c r="C17" s="267">
        <f>'Syn prin concurents'!E19</f>
        <v>0.20267230111722198</v>
      </c>
      <c r="D17" s="267">
        <f>'Syn prin concurents'!E21</f>
        <v>0.1122401220665455</v>
      </c>
      <c r="E17" s="267">
        <f>'Syn prin concurents'!E25</f>
        <v>0.12627531940717424</v>
      </c>
      <c r="F17" s="267">
        <f>'Syn prin concurents'!E23</f>
        <v>9.4171907717499129E-2</v>
      </c>
      <c r="G17" s="267">
        <f>'Syn prin concurents'!E27</f>
        <v>2.1702398908925682E-2</v>
      </c>
      <c r="H17" s="267">
        <f>'Syn prin concurents'!E29</f>
        <v>1.3440319611537934E-4</v>
      </c>
    </row>
    <row r="19" spans="1:8" x14ac:dyDescent="0.35">
      <c r="A19" s="326">
        <f>'Syn prin concurents'!$B$2</f>
        <v>46082</v>
      </c>
    </row>
    <row r="20" spans="1:8" x14ac:dyDescent="0.35">
      <c r="F20" s="265">
        <f>'Syn prin concurents'!$F$13</f>
        <v>45722</v>
      </c>
      <c r="G20" s="265">
        <f>'Syn prin concurents'!$E$13</f>
        <v>46082</v>
      </c>
    </row>
    <row r="21" spans="1:8" x14ac:dyDescent="0.35">
      <c r="A21" s="264" t="s">
        <v>3</v>
      </c>
      <c r="B21" s="268">
        <f>+'Syn prin concurents'!E19</f>
        <v>0.20267230111722198</v>
      </c>
      <c r="D21" s="264" t="s">
        <v>2</v>
      </c>
      <c r="F21" s="271">
        <f>+'Syn prin concurents'!F17</f>
        <v>0.36887056677796398</v>
      </c>
      <c r="G21" s="271">
        <f>+'Syn prin concurents'!E17</f>
        <v>0.41255607866955601</v>
      </c>
    </row>
    <row r="22" spans="1:8" x14ac:dyDescent="0.35">
      <c r="A22" s="264" t="s">
        <v>5</v>
      </c>
      <c r="B22" s="268">
        <f>+'Syn prin concurents'!E17</f>
        <v>0.41255607866955601</v>
      </c>
      <c r="D22" s="264" t="s">
        <v>3</v>
      </c>
      <c r="F22" s="271">
        <f>+'Syn prin concurents'!$F$19</f>
        <v>0.21660245790398966</v>
      </c>
      <c r="G22" s="271">
        <f>+'Syn prin concurents'!$E$19</f>
        <v>0.20267230111722198</v>
      </c>
    </row>
    <row r="23" spans="1:8" x14ac:dyDescent="0.35">
      <c r="A23" s="264" t="s">
        <v>2</v>
      </c>
      <c r="B23" s="268">
        <f>+'Syn prin concurents'!E21</f>
        <v>0.1122401220665455</v>
      </c>
      <c r="D23" s="264" t="s">
        <v>4</v>
      </c>
      <c r="F23" s="271">
        <f>+'Syn prin concurents'!$F$25</f>
        <v>0.12055282552897947</v>
      </c>
      <c r="G23" s="271">
        <f>+'Syn prin concurents'!$E$25</f>
        <v>0.12627531940717424</v>
      </c>
    </row>
    <row r="24" spans="1:8" x14ac:dyDescent="0.35">
      <c r="A24" s="264" t="s">
        <v>4</v>
      </c>
      <c r="B24" s="268">
        <f>+'Syn prin concurents'!E25</f>
        <v>0.12627531940717424</v>
      </c>
      <c r="D24" s="264" t="s">
        <v>5</v>
      </c>
      <c r="F24" s="271">
        <f>+'Syn prin concurents'!$F$21</f>
        <v>0.16064881528727876</v>
      </c>
      <c r="G24" s="271">
        <f>+'Syn prin concurents'!$E$21</f>
        <v>0.1122401220665455</v>
      </c>
    </row>
    <row r="25" spans="1:8" x14ac:dyDescent="0.35">
      <c r="A25" s="264" t="s">
        <v>6</v>
      </c>
      <c r="B25" s="268">
        <f>+'Syn prin concurents'!E23</f>
        <v>9.4171907717499129E-2</v>
      </c>
      <c r="D25" s="264" t="s">
        <v>6</v>
      </c>
      <c r="F25" s="271">
        <f>+'Syn prin concurents'!F23</f>
        <v>8.4462714504513273E-2</v>
      </c>
      <c r="G25" s="271">
        <f>+'Syn prin concurents'!E23</f>
        <v>9.4171907717499129E-2</v>
      </c>
    </row>
    <row r="26" spans="1:8" x14ac:dyDescent="0.35">
      <c r="A26" s="264" t="s">
        <v>7</v>
      </c>
      <c r="B26" s="268">
        <f>+'Syn prin concurents'!E27</f>
        <v>2.1702398908925682E-2</v>
      </c>
      <c r="D26" s="264" t="s">
        <v>7</v>
      </c>
      <c r="F26" s="271">
        <f>+'Syn prin concurents'!F27</f>
        <v>2.2143226737682726E-2</v>
      </c>
      <c r="G26" s="271">
        <f>+'Syn prin concurents'!E27</f>
        <v>2.1702398908925682E-2</v>
      </c>
    </row>
    <row r="27" spans="1:8" x14ac:dyDescent="0.35">
      <c r="A27" s="264" t="s">
        <v>12</v>
      </c>
      <c r="B27" s="269">
        <f>+('Syn prin concurents'!E30-'Syn prin concurents'!E18-'Syn prin concurents'!E16-'Syn prin concurents'!E20-'Syn prin concurents'!E24-'Syn prin concurents'!E22-'Syn prin concurents'!E26)/'Syn prin concurents'!E30</f>
        <v>3.0381872113077454E-2</v>
      </c>
      <c r="D27" s="264" t="s">
        <v>12</v>
      </c>
      <c r="F27" s="271">
        <f>+('Syn prin concurents'!F30-'Syn prin concurents'!F18-'Syn prin concurents'!F16-'Syn prin concurents'!F20-'Syn prin concurents'!F24-'Syn prin concurents'!F22-'Syn prin concurents'!F26)/'Syn prin concurents'!F30</f>
        <v>2.671939325959214E-2</v>
      </c>
      <c r="G27" s="271">
        <f>+('Syn prin concurents'!E30-'Syn prin concurents'!E18-'Syn prin concurents'!E16-'Syn prin concurents'!E20-'Syn prin concurents'!E24-'Syn prin concurents'!E22-'Syn prin concurents'!E26)/'Syn prin concurents'!E30</f>
        <v>3.0381872113077454E-2</v>
      </c>
    </row>
    <row r="29" spans="1:8" x14ac:dyDescent="0.35">
      <c r="A29" s="326">
        <f>'Syn prin concurents'!$F$13</f>
        <v>45722</v>
      </c>
    </row>
    <row r="31" spans="1:8" x14ac:dyDescent="0.35">
      <c r="A31" s="264" t="s">
        <v>3</v>
      </c>
      <c r="B31" s="268">
        <f>+'Syn prin concurents'!F19</f>
        <v>0.21660245790398966</v>
      </c>
    </row>
    <row r="32" spans="1:8" x14ac:dyDescent="0.35">
      <c r="A32" s="264" t="s">
        <v>5</v>
      </c>
      <c r="B32" s="268">
        <f>+'Syn prin concurents'!F17</f>
        <v>0.36887056677796398</v>
      </c>
    </row>
    <row r="33" spans="1:10" x14ac:dyDescent="0.35">
      <c r="A33" s="264" t="s">
        <v>2</v>
      </c>
      <c r="B33" s="268">
        <f>+'Syn prin concurents'!F21</f>
        <v>0.16064881528727876</v>
      </c>
    </row>
    <row r="34" spans="1:10" x14ac:dyDescent="0.35">
      <c r="A34" s="264" t="s">
        <v>4</v>
      </c>
      <c r="B34" s="268">
        <f>+'Syn prin concurents'!F25</f>
        <v>0.12055282552897947</v>
      </c>
    </row>
    <row r="35" spans="1:10" x14ac:dyDescent="0.35">
      <c r="A35" s="264" t="s">
        <v>6</v>
      </c>
      <c r="B35" s="268">
        <f>+'Syn prin concurents'!F23</f>
        <v>8.4462714504513273E-2</v>
      </c>
    </row>
    <row r="36" spans="1:10" x14ac:dyDescent="0.35">
      <c r="A36" s="264" t="s">
        <v>7</v>
      </c>
      <c r="B36" s="268">
        <f>+'Syn prin concurents'!F27</f>
        <v>2.2143226737682726E-2</v>
      </c>
    </row>
    <row r="37" spans="1:10" x14ac:dyDescent="0.35">
      <c r="A37" s="264" t="s">
        <v>12</v>
      </c>
      <c r="B37" s="269">
        <f>+('Syn prin concurents'!F30-'Syn prin concurents'!F18-'Syn prin concurents'!F16-'Syn prin concurents'!F20-'Syn prin concurents'!F24-'Syn prin concurents'!F22-'Syn prin concurents'!F26)/'Syn prin concurents'!F30</f>
        <v>2.671939325959214E-2</v>
      </c>
    </row>
    <row r="40" spans="1:10" x14ac:dyDescent="0.35">
      <c r="A40" s="264" t="s">
        <v>0</v>
      </c>
    </row>
    <row r="42" spans="1:10" x14ac:dyDescent="0.35">
      <c r="A42" s="276" t="s">
        <v>13</v>
      </c>
    </row>
    <row r="44" spans="1:10" x14ac:dyDescent="0.35">
      <c r="B44" s="264" t="s">
        <v>3</v>
      </c>
      <c r="C44" s="264" t="s">
        <v>2</v>
      </c>
      <c r="D44" s="264" t="s">
        <v>6</v>
      </c>
      <c r="E44" s="264" t="s">
        <v>5</v>
      </c>
      <c r="F44" s="264" t="s">
        <v>7</v>
      </c>
      <c r="G44" s="264" t="s">
        <v>4</v>
      </c>
      <c r="J44" s="264" t="s">
        <v>8</v>
      </c>
    </row>
    <row r="46" spans="1:10" x14ac:dyDescent="0.35">
      <c r="A46" s="265">
        <f>'Syn prin concurents'!$F$13</f>
        <v>45722</v>
      </c>
      <c r="B46" s="266">
        <f>+'Syn prin concurents'!$J18</f>
        <v>716594.402</v>
      </c>
      <c r="C46" s="266">
        <f>+'Syn prin concurents'!$J16</f>
        <v>365996.13644999999</v>
      </c>
      <c r="D46" s="266">
        <f>+'Syn prin concurents'!$J22</f>
        <v>375445.18700000003</v>
      </c>
      <c r="E46" s="266">
        <f>+'Syn prin concurents'!$J$20</f>
        <v>324761.02799999999</v>
      </c>
      <c r="F46" s="266">
        <f>+'Syn prin concurents'!$J$26</f>
        <v>126212.977</v>
      </c>
      <c r="G46" s="266">
        <f>+'Syn prin concurents'!$J24</f>
        <v>0</v>
      </c>
      <c r="H46" s="266"/>
      <c r="I46" s="265">
        <f>'Syn prin concurents'!$F$13</f>
        <v>45722</v>
      </c>
      <c r="J46" s="266">
        <f>+'Syn prin concurents'!$J30</f>
        <v>2071586.0074499999</v>
      </c>
    </row>
    <row r="47" spans="1:10" x14ac:dyDescent="0.35">
      <c r="A47" s="265">
        <f>'Syn prin concurents'!$B$2</f>
        <v>46082</v>
      </c>
      <c r="B47" s="266">
        <f>+'Syn prin concurents'!$I18</f>
        <v>662385.77300000004</v>
      </c>
      <c r="C47" s="266">
        <f>+'Syn prin concurents'!$I16</f>
        <v>427944.80401999998</v>
      </c>
      <c r="D47" s="266">
        <f>+'Syn prin concurents'!$I22</f>
        <v>284808.21899999998</v>
      </c>
      <c r="E47" s="266">
        <f>+'Syn prin concurents'!$I$20</f>
        <v>212657.49100000004</v>
      </c>
      <c r="F47" s="266">
        <f>+'Syn prin concurents'!$I$26</f>
        <v>100851.571</v>
      </c>
      <c r="G47" s="266">
        <f>+'Syn prin concurents'!$I24</f>
        <v>0</v>
      </c>
      <c r="H47" s="266"/>
      <c r="I47" s="265">
        <f>'Syn prin concurents'!$B$2</f>
        <v>46082</v>
      </c>
      <c r="J47" s="266">
        <f>+'Syn prin concurents'!$I30</f>
        <v>1790010.4970200001</v>
      </c>
    </row>
    <row r="50" spans="1:9" x14ac:dyDescent="0.35">
      <c r="A50" s="326">
        <f>'Syn prin concurents'!$B$2</f>
        <v>46082</v>
      </c>
      <c r="B50" s="267"/>
      <c r="C50" s="267"/>
      <c r="D50" s="267"/>
      <c r="E50" s="267"/>
      <c r="F50" s="267"/>
      <c r="G50" s="267"/>
      <c r="H50" s="267"/>
      <c r="I50" s="267"/>
    </row>
    <row r="51" spans="1:9" x14ac:dyDescent="0.35">
      <c r="A51" s="265"/>
      <c r="B51" s="267"/>
      <c r="C51" s="267"/>
      <c r="F51" s="265">
        <f>'Syn prin concurents'!$F$13</f>
        <v>45722</v>
      </c>
      <c r="G51" s="265">
        <f>'Syn prin concurents'!$E$13</f>
        <v>46082</v>
      </c>
    </row>
    <row r="52" spans="1:9" x14ac:dyDescent="0.35">
      <c r="A52" s="264" t="s">
        <v>3</v>
      </c>
      <c r="B52" s="269">
        <f>+'Syn prin concurents'!I19</f>
        <v>0.37004574783373412</v>
      </c>
      <c r="D52" s="264" t="s">
        <v>3</v>
      </c>
      <c r="F52" s="270">
        <f>+'Syn prin concurents'!J19</f>
        <v>0.34591583425594064</v>
      </c>
      <c r="G52" s="270">
        <f>+'Syn prin concurents'!I19</f>
        <v>0.37004574783373412</v>
      </c>
    </row>
    <row r="53" spans="1:9" x14ac:dyDescent="0.35">
      <c r="A53" s="264" t="s">
        <v>6</v>
      </c>
      <c r="B53" s="269">
        <f>+'Syn prin concurents'!I17</f>
        <v>0.2390739075175482</v>
      </c>
      <c r="D53" s="264" t="s">
        <v>2</v>
      </c>
      <c r="F53" s="270">
        <f>+'Syn prin concurents'!J17</f>
        <v>0.17667436212340498</v>
      </c>
      <c r="G53" s="270">
        <f>+'Syn prin concurents'!I17</f>
        <v>0.2390739075175482</v>
      </c>
    </row>
    <row r="54" spans="1:9" x14ac:dyDescent="0.35">
      <c r="A54" s="264" t="s">
        <v>2</v>
      </c>
      <c r="B54" s="269">
        <f>+'Syn prin concurents'!I21</f>
        <v>0.11880237091013214</v>
      </c>
      <c r="D54" s="264" t="s">
        <v>6</v>
      </c>
      <c r="F54" s="270">
        <f>+'Syn prin concurents'!J23</f>
        <v>0.18123562606128571</v>
      </c>
      <c r="G54" s="270">
        <f>+'Syn prin concurents'!I23</f>
        <v>0.15910980381073025</v>
      </c>
    </row>
    <row r="55" spans="1:9" x14ac:dyDescent="0.35">
      <c r="A55" s="264" t="s">
        <v>5</v>
      </c>
      <c r="B55" s="269">
        <f>+'Syn prin concurents'!I25</f>
        <v>0</v>
      </c>
      <c r="D55" s="264" t="s">
        <v>5</v>
      </c>
      <c r="F55" s="270">
        <f>+'Syn prin concurents'!$J$21</f>
        <v>0.15676927090261708</v>
      </c>
      <c r="G55" s="270">
        <f>+'Syn prin concurents'!$I$21</f>
        <v>0.11880237091013214</v>
      </c>
    </row>
    <row r="56" spans="1:9" x14ac:dyDescent="0.35">
      <c r="A56" s="264" t="s">
        <v>7</v>
      </c>
      <c r="B56" s="269">
        <f>+'Syn prin concurents'!I23</f>
        <v>0.15910980381073025</v>
      </c>
      <c r="D56" s="264" t="s">
        <v>7</v>
      </c>
      <c r="F56" s="270">
        <f>+'Syn prin concurents'!$J$27</f>
        <v>6.0925772111851982E-2</v>
      </c>
      <c r="G56" s="270">
        <f>+'Syn prin concurents'!$I$27</f>
        <v>5.6341329376502068E-2</v>
      </c>
    </row>
    <row r="57" spans="1:9" x14ac:dyDescent="0.35">
      <c r="A57" s="264" t="s">
        <v>12</v>
      </c>
      <c r="B57" s="269">
        <f>+('Syn prin concurents'!I30-'Syn prin concurents'!I18-'Syn prin concurents'!I16-'Syn prin concurents'!I20-'Syn prin concurents'!I24-'Syn prin concurents'!I22-'Syn prin concurents'!I26)/'Syn prin concurents'!I30</f>
        <v>5.6626840551353259E-2</v>
      </c>
      <c r="D57" s="264" t="s">
        <v>12</v>
      </c>
      <c r="F57" s="270">
        <f>+('Syn prin concurents'!J30-'Syn prin concurents'!J18-'Syn prin concurents'!J16-'Syn prin concurents'!J20-'Syn prin concurents'!J24-'Syn prin concurents'!J22-'Syn prin concurents'!J26)/'Syn prin concurents'!J30</f>
        <v>7.8479134544899548E-2</v>
      </c>
      <c r="G57" s="270">
        <f>+('Syn prin concurents'!I30-'Syn prin concurents'!I18-'Syn prin concurents'!I16-'Syn prin concurents'!I20-'Syn prin concurents'!I24-'Syn prin concurents'!I22-'Syn prin concurents'!I26)/'Syn prin concurents'!I30</f>
        <v>5.6626840551353259E-2</v>
      </c>
    </row>
    <row r="59" spans="1:9" x14ac:dyDescent="0.35">
      <c r="A59" s="326">
        <f>'Syn prin concurents'!$F$13</f>
        <v>45722</v>
      </c>
    </row>
    <row r="60" spans="1:9" x14ac:dyDescent="0.35">
      <c r="A60" s="265"/>
    </row>
    <row r="61" spans="1:9" x14ac:dyDescent="0.35">
      <c r="A61" s="264" t="s">
        <v>3</v>
      </c>
      <c r="B61" s="270">
        <f>+'Syn prin concurents'!J19</f>
        <v>0.34591583425594064</v>
      </c>
    </row>
    <row r="62" spans="1:9" x14ac:dyDescent="0.35">
      <c r="A62" s="264" t="s">
        <v>6</v>
      </c>
      <c r="B62" s="270">
        <f>+'Syn prin concurents'!J17</f>
        <v>0.17667436212340498</v>
      </c>
    </row>
    <row r="63" spans="1:9" x14ac:dyDescent="0.35">
      <c r="A63" s="264" t="s">
        <v>2</v>
      </c>
      <c r="B63" s="270">
        <f>+'Syn prin concurents'!J21</f>
        <v>0.15676927090261708</v>
      </c>
    </row>
    <row r="64" spans="1:9" x14ac:dyDescent="0.35">
      <c r="A64" s="264" t="s">
        <v>5</v>
      </c>
      <c r="B64" s="270">
        <f>+'Syn prin concurents'!J25</f>
        <v>0</v>
      </c>
    </row>
    <row r="65" spans="1:12" x14ac:dyDescent="0.35">
      <c r="A65" s="264" t="s">
        <v>7</v>
      </c>
      <c r="B65" s="270">
        <f>+'Syn prin concurents'!J23</f>
        <v>0.18123562606128571</v>
      </c>
    </row>
    <row r="66" spans="1:12" x14ac:dyDescent="0.35">
      <c r="A66" s="264" t="s">
        <v>12</v>
      </c>
      <c r="B66" s="271">
        <f>+('Syn prin concurents'!J30-'Syn prin concurents'!J18-'Syn prin concurents'!J16-'Syn prin concurents'!J20-'Syn prin concurents'!J24-'Syn prin concurents'!J22-'Syn prin concurents'!J26)/'Syn prin concurents'!J30</f>
        <v>7.8479134544899548E-2</v>
      </c>
    </row>
    <row r="69" spans="1:12" x14ac:dyDescent="0.35">
      <c r="A69" s="276" t="s">
        <v>0</v>
      </c>
    </row>
    <row r="71" spans="1:12" x14ac:dyDescent="0.35">
      <c r="A71" s="322" t="s">
        <v>14</v>
      </c>
      <c r="I71" s="322" t="s">
        <v>8</v>
      </c>
    </row>
    <row r="72" spans="1:12" x14ac:dyDescent="0.35">
      <c r="B72" s="277"/>
      <c r="D72" s="277"/>
      <c r="G72" s="277"/>
    </row>
    <row r="73" spans="1:12" x14ac:dyDescent="0.35">
      <c r="A73"/>
      <c r="B73" s="264" t="s">
        <v>2</v>
      </c>
      <c r="C73" s="264" t="s">
        <v>3</v>
      </c>
      <c r="D73" s="264" t="s">
        <v>5</v>
      </c>
      <c r="E73" s="264" t="s">
        <v>6</v>
      </c>
      <c r="F73" s="264" t="s">
        <v>4</v>
      </c>
      <c r="G73" s="264" t="s">
        <v>7</v>
      </c>
      <c r="J73" s="264" t="s">
        <v>8</v>
      </c>
    </row>
    <row r="75" spans="1:12" x14ac:dyDescent="0.35">
      <c r="A75" s="265">
        <f>'Syn prin concurents'!$F$13</f>
        <v>45722</v>
      </c>
      <c r="B75" s="266">
        <f>'Syn prin concurents'!$V$16</f>
        <v>2743085.2484166687</v>
      </c>
      <c r="C75" s="266">
        <f>'Syn prin concurents'!V18</f>
        <v>2279156.8569999998</v>
      </c>
      <c r="D75" s="266">
        <f>'Syn prin concurents'!V20</f>
        <v>1359043.2339999999</v>
      </c>
      <c r="E75" s="266">
        <f>'Syn prin concurents'!V22</f>
        <v>919995.59100000001</v>
      </c>
      <c r="F75" s="266">
        <f>'Syn prin concurents'!$V$24</f>
        <v>776137.951</v>
      </c>
      <c r="G75" s="266">
        <f>'Syn prin concurents'!V26</f>
        <v>269397.74699999997</v>
      </c>
      <c r="I75" s="265">
        <f>'Syn prin concurents'!$F$13</f>
        <v>45722</v>
      </c>
      <c r="J75" s="266">
        <f>'Syn prin concurents'!V30</f>
        <v>8681416.5394166689</v>
      </c>
      <c r="L75" s="277"/>
    </row>
    <row r="76" spans="1:12" x14ac:dyDescent="0.35">
      <c r="A76" s="265">
        <f>'Syn prin concurents'!$B$2</f>
        <v>46082</v>
      </c>
      <c r="B76" s="266">
        <f>'Syn prin concurents'!$U$16</f>
        <v>3300017.0308333421</v>
      </c>
      <c r="C76" s="266">
        <f>'Syn prin concurents'!U18</f>
        <v>2336832.8130000001</v>
      </c>
      <c r="D76" s="266">
        <f>'Syn prin concurents'!U20</f>
        <v>993723.27100000007</v>
      </c>
      <c r="E76" s="266">
        <f>'Syn prin concurents'!U22</f>
        <v>940310.70600000001</v>
      </c>
      <c r="F76" s="266">
        <f>'Syn prin concurents'!$U$24</f>
        <v>878735.06400000001</v>
      </c>
      <c r="G76" s="266">
        <f>'Syn prin concurents'!U26</f>
        <v>253119.02899999998</v>
      </c>
      <c r="I76" s="265">
        <f>'Syn prin concurents'!$B$2</f>
        <v>46082</v>
      </c>
      <c r="J76" s="266">
        <f>'Syn prin concurents'!U30</f>
        <v>9015524.4198333435</v>
      </c>
    </row>
    <row r="78" spans="1:12" x14ac:dyDescent="0.35">
      <c r="A78" s="326">
        <f>'Syn prin concurents'!$B$2</f>
        <v>46082</v>
      </c>
    </row>
    <row r="79" spans="1:12" x14ac:dyDescent="0.35">
      <c r="A79" s="265"/>
      <c r="F79" s="265">
        <f>'Syn prin concurents'!$F$13</f>
        <v>45722</v>
      </c>
      <c r="G79" s="265">
        <f>'Syn prin concurents'!$E$13</f>
        <v>46082</v>
      </c>
    </row>
    <row r="80" spans="1:12" x14ac:dyDescent="0.35">
      <c r="A80" s="264" t="s">
        <v>3</v>
      </c>
      <c r="B80" s="270">
        <f>+'Syn prin concurents'!U19</f>
        <v>0.25920098534248082</v>
      </c>
      <c r="D80" s="264" t="s">
        <v>2</v>
      </c>
      <c r="F80" s="270">
        <f>+'Syn prin concurents'!$V$17</f>
        <v>0.31597208081908085</v>
      </c>
      <c r="G80" s="271">
        <f>+'Syn prin concurents'!$U$17</f>
        <v>0.36603716846172601</v>
      </c>
    </row>
    <row r="81" spans="1:7" x14ac:dyDescent="0.35">
      <c r="A81" s="264" t="s">
        <v>6</v>
      </c>
      <c r="B81" s="270">
        <f>+'Syn prin concurents'!U17</f>
        <v>0.36603716846172601</v>
      </c>
      <c r="D81" s="264" t="s">
        <v>3</v>
      </c>
      <c r="F81" s="270">
        <f>+'Syn prin concurents'!V19</f>
        <v>0.26253283051813381</v>
      </c>
      <c r="G81" s="271">
        <f>+'Syn prin concurents'!U19</f>
        <v>0.25920098534248082</v>
      </c>
    </row>
    <row r="82" spans="1:7" x14ac:dyDescent="0.35">
      <c r="A82" s="264" t="s">
        <v>5</v>
      </c>
      <c r="B82" s="270">
        <f>+'Syn prin concurents'!U25</f>
        <v>9.746910141653678E-2</v>
      </c>
      <c r="D82" s="264" t="s">
        <v>5</v>
      </c>
      <c r="F82" s="270">
        <f>+'Syn prin concurents'!V21</f>
        <v>0.15654625346329923</v>
      </c>
      <c r="G82" s="271">
        <f>+'Syn prin concurents'!U21</f>
        <v>0.11022356822792229</v>
      </c>
    </row>
    <row r="83" spans="1:7" x14ac:dyDescent="0.35">
      <c r="A83" s="264" t="s">
        <v>7</v>
      </c>
      <c r="B83" s="270">
        <f>+'Syn prin concurents'!U23</f>
        <v>0.10429905818139663</v>
      </c>
      <c r="D83" s="264" t="s">
        <v>6</v>
      </c>
      <c r="F83" s="270">
        <f>+'Syn prin concurents'!V23</f>
        <v>0.1059729811169523</v>
      </c>
      <c r="G83" s="271">
        <f>+'Syn prin concurents'!U23</f>
        <v>0.10429905818139663</v>
      </c>
    </row>
    <row r="84" spans="1:7" x14ac:dyDescent="0.35">
      <c r="A84" s="264" t="s">
        <v>2</v>
      </c>
      <c r="B84" s="270">
        <f>+'Syn prin concurents'!U21</f>
        <v>0.11022356822792229</v>
      </c>
      <c r="D84" s="264" t="s">
        <v>4</v>
      </c>
      <c r="F84" s="270">
        <f>+'Syn prin concurents'!$V$25</f>
        <v>8.9402224565088215E-2</v>
      </c>
      <c r="G84" s="271">
        <f>+'Syn prin concurents'!$U$25</f>
        <v>9.746910141653678E-2</v>
      </c>
    </row>
    <row r="85" spans="1:7" x14ac:dyDescent="0.35">
      <c r="A85" s="264" t="s">
        <v>4</v>
      </c>
      <c r="B85" s="270">
        <f>+'Syn prin concurents'!U27</f>
        <v>2.8075907425103398E-2</v>
      </c>
      <c r="D85" s="264" t="s">
        <v>7</v>
      </c>
      <c r="F85" s="270">
        <f>+'Syn prin concurents'!V27</f>
        <v>3.1031542580273616E-2</v>
      </c>
      <c r="G85" s="271">
        <f>F85</f>
        <v>3.1031542580273616E-2</v>
      </c>
    </row>
    <row r="86" spans="1:7" x14ac:dyDescent="0.35">
      <c r="A86" s="264" t="s">
        <v>12</v>
      </c>
      <c r="B86" s="271">
        <f>+('Syn prin concurents'!U30-'Syn prin concurents'!U18-'Syn prin concurents'!U16-'Syn prin concurents'!U20-'Syn prin concurents'!U24-'Syn prin concurents'!U22-'Syn prin concurents'!U26)/'Syn prin concurents'!U30</f>
        <v>3.4694210944834103E-2</v>
      </c>
      <c r="D86" s="264" t="s">
        <v>12</v>
      </c>
      <c r="F86" s="270">
        <f>+('Syn prin concurents'!V30-'Syn prin concurents'!V18-'Syn prin concurents'!V16-'Syn prin concurents'!V20-'Syn prin concurents'!V24-'Syn prin concurents'!V22-'Syn prin concurents'!V26)/'Syn prin concurents'!V30</f>
        <v>3.8542086937172017E-2</v>
      </c>
      <c r="G86" s="270">
        <f>+('Syn prin concurents'!U30-'Syn prin concurents'!U18-'Syn prin concurents'!U16-'Syn prin concurents'!U20-'Syn prin concurents'!U24-'Syn prin concurents'!U22-'Syn prin concurents'!U26)/'Syn prin concurents'!U30</f>
        <v>3.4694210944834103E-2</v>
      </c>
    </row>
    <row r="88" spans="1:7" x14ac:dyDescent="0.35">
      <c r="A88" s="326">
        <f>'Syn prin concurents'!$F$13</f>
        <v>45722</v>
      </c>
    </row>
    <row r="89" spans="1:7" x14ac:dyDescent="0.35">
      <c r="A89" s="265"/>
    </row>
    <row r="90" spans="1:7" x14ac:dyDescent="0.35">
      <c r="A90" s="264" t="s">
        <v>3</v>
      </c>
      <c r="B90" s="268">
        <f>+'Syn prin concurents'!V19</f>
        <v>0.26253283051813381</v>
      </c>
      <c r="F90" s="270"/>
      <c r="G90" s="271"/>
    </row>
    <row r="91" spans="1:7" x14ac:dyDescent="0.35">
      <c r="A91" s="264" t="s">
        <v>6</v>
      </c>
      <c r="B91" s="268">
        <f>+'Syn prin concurents'!V17</f>
        <v>0.31597208081908085</v>
      </c>
    </row>
    <row r="92" spans="1:7" x14ac:dyDescent="0.35">
      <c r="A92" s="264" t="s">
        <v>2</v>
      </c>
      <c r="B92" s="268">
        <f>+'Syn prin concurents'!V21</f>
        <v>0.15654625346329923</v>
      </c>
    </row>
    <row r="93" spans="1:7" x14ac:dyDescent="0.35">
      <c r="A93" s="264" t="s">
        <v>5</v>
      </c>
      <c r="B93" s="268">
        <f>+'Syn prin concurents'!V25</f>
        <v>8.9402224565088215E-2</v>
      </c>
    </row>
    <row r="94" spans="1:7" x14ac:dyDescent="0.35">
      <c r="A94" s="264" t="s">
        <v>7</v>
      </c>
      <c r="B94" s="268">
        <f>+'Syn prin concurents'!V23</f>
        <v>0.1059729811169523</v>
      </c>
    </row>
    <row r="95" spans="1:7" x14ac:dyDescent="0.35">
      <c r="A95" s="264" t="s">
        <v>4</v>
      </c>
      <c r="B95" s="268">
        <f>+'Syn prin concurents'!V27</f>
        <v>3.1031542580273616E-2</v>
      </c>
    </row>
    <row r="96" spans="1:7" x14ac:dyDescent="0.35">
      <c r="A96" s="264" t="s">
        <v>12</v>
      </c>
      <c r="B96" s="271">
        <f>+('Syn prin concurents'!V30-'Syn prin concurents'!V18-'Syn prin concurents'!V16-'Syn prin concurents'!V20-'Syn prin concurents'!V24-'Syn prin concurents'!V22-'Syn prin concurents'!V26)/'Syn prin concurents'!V30</f>
        <v>3.8542086937172017E-2</v>
      </c>
    </row>
    <row r="99" spans="1:10" x14ac:dyDescent="0.35">
      <c r="A99" s="264" t="s">
        <v>15</v>
      </c>
    </row>
    <row r="101" spans="1:10" x14ac:dyDescent="0.35">
      <c r="A101" s="264" t="s">
        <v>1</v>
      </c>
    </row>
    <row r="102" spans="1:10" x14ac:dyDescent="0.35">
      <c r="B102" s="264" t="s">
        <v>3</v>
      </c>
      <c r="C102" s="264" t="s">
        <v>2</v>
      </c>
      <c r="D102" s="264" t="s">
        <v>5</v>
      </c>
      <c r="E102" s="264" t="s">
        <v>4</v>
      </c>
      <c r="F102" s="264" t="s">
        <v>6</v>
      </c>
      <c r="G102" s="264" t="s">
        <v>7</v>
      </c>
      <c r="J102" s="264" t="s">
        <v>8</v>
      </c>
    </row>
    <row r="104" spans="1:10" x14ac:dyDescent="0.35">
      <c r="A104" s="265">
        <f>'Syn prin concurents'!$F$37</f>
        <v>45992</v>
      </c>
      <c r="B104" s="266">
        <f>+'Syn prin concurents'!F40</f>
        <v>14963780.093</v>
      </c>
      <c r="C104" s="266">
        <f>+'Syn prin concurents'!$F$42</f>
        <v>13709549.972382179</v>
      </c>
      <c r="D104" s="266">
        <f>+'Syn prin concurents'!$F$44</f>
        <v>11314644.715</v>
      </c>
      <c r="E104" s="266">
        <f>+'Syn prin concurents'!$F$48</f>
        <v>6050871.8310000002</v>
      </c>
      <c r="F104" s="266">
        <f>+'Syn prin concurents'!$F$46</f>
        <v>4911209.0530000003</v>
      </c>
      <c r="G104" s="266">
        <f>+'Syn prin concurents'!F50</f>
        <v>1323553.4609999999</v>
      </c>
      <c r="I104" s="265">
        <f>'Syn prin concurents'!$F$37</f>
        <v>45992</v>
      </c>
      <c r="J104" s="266">
        <f>'Syn prin concurents'!F54</f>
        <v>53331312.714382179</v>
      </c>
    </row>
    <row r="105" spans="1:10" x14ac:dyDescent="0.35">
      <c r="A105" s="265">
        <f>'Syn prin concurents'!$B$2</f>
        <v>46082</v>
      </c>
      <c r="B105" s="266">
        <f>+'Syn prin concurents'!E40</f>
        <v>15684751.532000002</v>
      </c>
      <c r="C105" s="266">
        <f>+'Syn prin concurents'!$E$42</f>
        <v>15645978.55111699</v>
      </c>
      <c r="D105" s="266">
        <f>+'Syn prin concurents'!$E$44</f>
        <v>10896178.267999999</v>
      </c>
      <c r="E105" s="266">
        <f>+'Syn prin concurents'!$E$48</f>
        <v>6280424.6069999998</v>
      </c>
      <c r="F105" s="266">
        <f>+'Syn prin concurents'!$E$46</f>
        <v>5309762.3439999996</v>
      </c>
      <c r="G105" s="266">
        <f>+'Syn prin concurents'!E50</f>
        <v>1394923.6949999998</v>
      </c>
      <c r="I105" s="265">
        <f>'Syn prin concurents'!$B$2</f>
        <v>46082</v>
      </c>
      <c r="J105" s="266">
        <f>'Syn prin concurents'!E54</f>
        <v>56400061.181116983</v>
      </c>
    </row>
    <row r="107" spans="1:10" x14ac:dyDescent="0.35">
      <c r="A107" s="326">
        <f>'Syn prin concurents'!$J$37</f>
        <v>45992</v>
      </c>
    </row>
    <row r="108" spans="1:10" x14ac:dyDescent="0.35">
      <c r="A108" s="265"/>
      <c r="F108" s="265">
        <f>'Syn prin concurents'!$F$37</f>
        <v>45992</v>
      </c>
      <c r="G108" s="265">
        <f>'Syn prin concurents'!$B$2</f>
        <v>46082</v>
      </c>
    </row>
    <row r="109" spans="1:10" x14ac:dyDescent="0.35">
      <c r="A109" s="264" t="s">
        <v>3</v>
      </c>
      <c r="B109" s="268">
        <f>+'Syn prin concurents'!F41</f>
        <v>0.28058150702457069</v>
      </c>
      <c r="D109" s="264" t="s">
        <v>3</v>
      </c>
      <c r="F109" s="268">
        <f>+'Syn prin concurents'!F41</f>
        <v>0.28058150702457069</v>
      </c>
      <c r="G109" s="268">
        <f>+'Syn prin concurents'!E41</f>
        <v>0.27809812974549281</v>
      </c>
    </row>
    <row r="110" spans="1:10" x14ac:dyDescent="0.35">
      <c r="A110" s="264" t="s">
        <v>6</v>
      </c>
      <c r="B110" s="268">
        <f>+'Syn prin concurents'!F43</f>
        <v>0.25706380125694978</v>
      </c>
      <c r="D110" s="264" t="s">
        <v>2</v>
      </c>
      <c r="F110" s="268">
        <f>+'Syn prin concurents'!$F$43</f>
        <v>0.25706380125694978</v>
      </c>
      <c r="G110" s="268">
        <f>+'Syn prin concurents'!$E$43</f>
        <v>0.27741066629118022</v>
      </c>
    </row>
    <row r="111" spans="1:10" x14ac:dyDescent="0.35">
      <c r="A111" s="264" t="s">
        <v>2</v>
      </c>
      <c r="B111" s="268">
        <f>+'Syn prin concurents'!F45</f>
        <v>0.21215762633850771</v>
      </c>
      <c r="D111" s="264" t="s">
        <v>5</v>
      </c>
      <c r="F111" s="268">
        <f>+'Syn prin concurents'!$F$45</f>
        <v>0.21215762633850771</v>
      </c>
      <c r="G111" s="268">
        <f>'Syn prin concurents'!E45</f>
        <v>0.19319444057000584</v>
      </c>
    </row>
    <row r="112" spans="1:10" x14ac:dyDescent="0.35">
      <c r="A112" s="264" t="s">
        <v>5</v>
      </c>
      <c r="B112" s="268">
        <f>+'Syn prin concurents'!F49</f>
        <v>0.11345814537522578</v>
      </c>
      <c r="D112" s="264" t="s">
        <v>4</v>
      </c>
      <c r="F112" s="268">
        <f>+'Syn prin concurents'!$F$49</f>
        <v>0.11345814537522578</v>
      </c>
      <c r="G112" s="268">
        <f>+'Syn prin concurents'!$E$49</f>
        <v>0.11135492542874612</v>
      </c>
    </row>
    <row r="113" spans="1:7" x14ac:dyDescent="0.35">
      <c r="A113" s="264" t="s">
        <v>7</v>
      </c>
      <c r="B113" s="268">
        <f>+'Syn prin concurents'!F47</f>
        <v>9.2088658670416809E-2</v>
      </c>
      <c r="D113" s="264" t="s">
        <v>6</v>
      </c>
      <c r="F113" s="268">
        <f>+'Syn prin concurents'!$F$47</f>
        <v>9.2088658670416809E-2</v>
      </c>
      <c r="G113" s="268">
        <f>+'Syn prin concurents'!$E$47</f>
        <v>9.4144620285939229E-2</v>
      </c>
    </row>
    <row r="114" spans="1:7" x14ac:dyDescent="0.35">
      <c r="A114" s="264" t="s">
        <v>4</v>
      </c>
      <c r="B114" s="268">
        <f>+'Syn prin concurents'!F51</f>
        <v>2.4817567647140798E-2</v>
      </c>
      <c r="D114" s="264" t="s">
        <v>7</v>
      </c>
      <c r="F114" s="268">
        <f>+'Syn prin concurents'!F51</f>
        <v>2.4817567647140798E-2</v>
      </c>
      <c r="G114" s="268">
        <f>F114</f>
        <v>2.4817567647140798E-2</v>
      </c>
    </row>
    <row r="115" spans="1:7" x14ac:dyDescent="0.35">
      <c r="A115" s="264" t="s">
        <v>12</v>
      </c>
      <c r="B115" s="272">
        <f>+('Syn prin concurents'!F54-'Syn prin concurents'!F40-'Syn prin concurents'!F42-'Syn prin concurents'!F44-'Syn prin concurents'!F48-'Syn prin concurents'!F46-'Syn prin concurents'!F50)/'Syn prin concurents'!F54</f>
        <v>1.9832693687188367E-2</v>
      </c>
      <c r="D115" s="264" t="s">
        <v>12</v>
      </c>
      <c r="F115" s="272">
        <f>+('Syn prin concurents'!F54-'Syn prin concurents'!F40-'Syn prin concurents'!F42-'Syn prin concurents'!F44-'Syn prin concurents'!F48-'Syn prin concurents'!F46-'Syn prin concurents'!F50)/'Syn prin concurents'!F54</f>
        <v>1.9832693687188367E-2</v>
      </c>
      <c r="G115" s="272">
        <f>+('Syn prin concurents'!E54-'Syn prin concurents'!E40-'Syn prin concurents'!E42-'Syn prin concurents'!E44-'Syn prin concurents'!E48-'Syn prin concurents'!E46-'Syn prin concurents'!E50)/'Syn prin concurents'!E54</f>
        <v>2.1064554880265873E-2</v>
      </c>
    </row>
    <row r="117" spans="1:7" x14ac:dyDescent="0.35">
      <c r="A117" s="326">
        <f>'Syn prin concurents'!$I$37</f>
        <v>46082</v>
      </c>
    </row>
    <row r="118" spans="1:7" x14ac:dyDescent="0.35">
      <c r="A118" s="265"/>
      <c r="F118" s="268"/>
      <c r="G118" s="268"/>
    </row>
    <row r="119" spans="1:7" x14ac:dyDescent="0.35">
      <c r="A119" s="264" t="s">
        <v>3</v>
      </c>
      <c r="B119" s="268">
        <f>+'Syn prin concurents'!E41</f>
        <v>0.27809812974549281</v>
      </c>
      <c r="F119" s="268"/>
      <c r="G119" s="268"/>
    </row>
    <row r="120" spans="1:7" x14ac:dyDescent="0.35">
      <c r="A120" s="264" t="s">
        <v>6</v>
      </c>
      <c r="B120" s="268">
        <f>+'Syn prin concurents'!E43</f>
        <v>0.27741066629118022</v>
      </c>
    </row>
    <row r="121" spans="1:7" x14ac:dyDescent="0.35">
      <c r="A121" s="264" t="s">
        <v>2</v>
      </c>
      <c r="B121" s="268">
        <f>+'Syn prin concurents'!E45</f>
        <v>0.19319444057000584</v>
      </c>
      <c r="F121" s="268"/>
      <c r="G121" s="268"/>
    </row>
    <row r="122" spans="1:7" x14ac:dyDescent="0.35">
      <c r="A122" s="264" t="s">
        <v>5</v>
      </c>
      <c r="B122" s="268">
        <f>+'Syn prin concurents'!E49</f>
        <v>0.11135492542874612</v>
      </c>
    </row>
    <row r="123" spans="1:7" x14ac:dyDescent="0.35">
      <c r="A123" s="264" t="s">
        <v>7</v>
      </c>
      <c r="B123" s="268">
        <f>+'Syn prin concurents'!E47</f>
        <v>9.4144620285939229E-2</v>
      </c>
    </row>
    <row r="124" spans="1:7" x14ac:dyDescent="0.35">
      <c r="A124" s="264" t="s">
        <v>4</v>
      </c>
      <c r="B124" s="268">
        <f>+'Syn prin concurents'!E51</f>
        <v>2.4732662798369928E-2</v>
      </c>
    </row>
    <row r="125" spans="1:7" x14ac:dyDescent="0.35">
      <c r="A125" s="264" t="s">
        <v>12</v>
      </c>
      <c r="B125" s="272">
        <f>+('Syn prin concurents'!E54-'Syn prin concurents'!E40-'Syn prin concurents'!E42-'Syn prin concurents'!E44-'Syn prin concurents'!E48-'Syn prin concurents'!E46-'Syn prin concurents'!E50)/'Syn prin concurents'!E54</f>
        <v>2.1064554880265873E-2</v>
      </c>
    </row>
    <row r="128" spans="1:7" x14ac:dyDescent="0.35">
      <c r="A128" s="264" t="s">
        <v>15</v>
      </c>
    </row>
    <row r="130" spans="1:10" x14ac:dyDescent="0.35">
      <c r="A130" s="264" t="s">
        <v>13</v>
      </c>
    </row>
    <row r="131" spans="1:10" x14ac:dyDescent="0.35">
      <c r="B131" s="264" t="s">
        <v>3</v>
      </c>
      <c r="C131" s="264" t="s">
        <v>5</v>
      </c>
      <c r="D131" s="264" t="s">
        <v>6</v>
      </c>
      <c r="E131" s="264" t="s">
        <v>2</v>
      </c>
      <c r="F131" s="264" t="s">
        <v>7</v>
      </c>
      <c r="G131" s="264" t="s">
        <v>4</v>
      </c>
      <c r="J131" s="264" t="s">
        <v>8</v>
      </c>
    </row>
    <row r="133" spans="1:10" x14ac:dyDescent="0.35">
      <c r="A133" s="265">
        <f>'Syn prin concurents'!$F$37</f>
        <v>45992</v>
      </c>
      <c r="B133" s="266">
        <f>+'Syn prin concurents'!J40</f>
        <v>8793162.4860000014</v>
      </c>
      <c r="C133" s="266">
        <f>+'Syn prin concurents'!J44</f>
        <v>5668706.6350000007</v>
      </c>
      <c r="D133" s="266">
        <f>+'Syn prin concurents'!J46</f>
        <v>4707307.37</v>
      </c>
      <c r="E133" s="266">
        <f>+'Syn prin concurents'!J42</f>
        <v>3748985.8210699935</v>
      </c>
      <c r="F133" s="266">
        <f>+'Syn prin concurents'!J50</f>
        <v>891751.10599999991</v>
      </c>
      <c r="G133" s="266">
        <f>+'Syn prin concurents'!J50</f>
        <v>891751.10599999991</v>
      </c>
      <c r="I133" s="265">
        <f>'Syn prin concurents'!$F$37</f>
        <v>45992</v>
      </c>
      <c r="J133" s="266">
        <f>'Syn prin concurents'!J54</f>
        <v>26000049.970069993</v>
      </c>
    </row>
    <row r="134" spans="1:10" x14ac:dyDescent="0.35">
      <c r="A134" s="265">
        <f>'Syn prin concurents'!$B$2</f>
        <v>46082</v>
      </c>
      <c r="B134" s="266">
        <f>+'Syn prin concurents'!I40</f>
        <v>8793278.6119999997</v>
      </c>
      <c r="C134" s="266">
        <f>+'Syn prin concurents'!I44</f>
        <v>5436494.0010000002</v>
      </c>
      <c r="D134" s="266">
        <f>+'Syn prin concurents'!I46</f>
        <v>4681801.3040000005</v>
      </c>
      <c r="E134" s="266">
        <f>+'Syn prin concurents'!I42</f>
        <v>3875022.7334800041</v>
      </c>
      <c r="F134" s="266">
        <f>+'Syn prin concurents'!I50</f>
        <v>959308.06299999997</v>
      </c>
      <c r="G134" s="266">
        <f>+'Syn prin concurents'!I50</f>
        <v>959308.06299999997</v>
      </c>
      <c r="I134" s="265">
        <f>'Syn prin concurents'!$B$2</f>
        <v>46082</v>
      </c>
      <c r="J134" s="266">
        <f>'Syn prin concurents'!I54</f>
        <v>25934507.73048</v>
      </c>
    </row>
    <row r="136" spans="1:10" x14ac:dyDescent="0.35">
      <c r="A136" s="326">
        <f>'Syn prin concurents'!$J$37</f>
        <v>45992</v>
      </c>
    </row>
    <row r="137" spans="1:10" x14ac:dyDescent="0.35">
      <c r="A137" s="265"/>
      <c r="F137" s="265">
        <f>'Syn prin concurents'!$F$37</f>
        <v>45992</v>
      </c>
      <c r="G137" s="265">
        <f>'Syn prin concurents'!$B$2</f>
        <v>46082</v>
      </c>
    </row>
    <row r="138" spans="1:10" x14ac:dyDescent="0.35">
      <c r="A138" s="264" t="s">
        <v>3</v>
      </c>
      <c r="B138" s="270">
        <f>+'Syn prin concurents'!J41</f>
        <v>0.33819790716257342</v>
      </c>
      <c r="D138" s="264" t="s">
        <v>3</v>
      </c>
      <c r="F138" s="268">
        <f>+'Syn prin concurents'!J41</f>
        <v>0.33819790716257342</v>
      </c>
      <c r="G138" s="268">
        <f>+'Syn prin concurents'!I41</f>
        <v>0.33905708577092208</v>
      </c>
    </row>
    <row r="139" spans="1:10" x14ac:dyDescent="0.35">
      <c r="A139" s="264" t="s">
        <v>2</v>
      </c>
      <c r="B139" s="270">
        <f>+'Syn prin concurents'!J43</f>
        <v>0.1441914852235148</v>
      </c>
      <c r="D139" s="264" t="s">
        <v>5</v>
      </c>
      <c r="F139" s="268">
        <f>+'Syn prin concurents'!J45</f>
        <v>0.2180267592379839</v>
      </c>
      <c r="G139" s="268">
        <f>'Syn prin concurents'!I45</f>
        <v>0.20962395189829117</v>
      </c>
    </row>
    <row r="140" spans="1:10" x14ac:dyDescent="0.35">
      <c r="A140" s="264" t="s">
        <v>5</v>
      </c>
      <c r="B140" s="270">
        <f>+'Syn prin concurents'!J45</f>
        <v>0.2180267592379839</v>
      </c>
      <c r="D140" s="264" t="s">
        <v>6</v>
      </c>
      <c r="F140" s="268">
        <f>+'Syn prin concurents'!J47</f>
        <v>0.18104993549700196</v>
      </c>
      <c r="G140" s="268">
        <f>+'Syn prin concurents'!I47</f>
        <v>0.18052400888633904</v>
      </c>
    </row>
    <row r="141" spans="1:10" x14ac:dyDescent="0.35">
      <c r="A141" s="264" t="s">
        <v>6</v>
      </c>
      <c r="B141" s="270">
        <f>+'Syn prin concurents'!J47</f>
        <v>0.18104993549700196</v>
      </c>
      <c r="D141" s="264" t="s">
        <v>2</v>
      </c>
      <c r="F141" s="268">
        <f>+'Syn prin concurents'!J43</f>
        <v>0.1441914852235148</v>
      </c>
      <c r="G141" s="268">
        <f>+'Syn prin concurents'!I43</f>
        <v>0.14941570411709854</v>
      </c>
    </row>
    <row r="142" spans="1:10" x14ac:dyDescent="0.35">
      <c r="A142" s="264" t="s">
        <v>7</v>
      </c>
      <c r="B142" s="270">
        <f>+'Syn prin concurents'!J51</f>
        <v>3.4298053543225529E-2</v>
      </c>
      <c r="D142" s="264" t="s">
        <v>7</v>
      </c>
      <c r="F142" s="268">
        <f>+'Syn prin concurents'!J51</f>
        <v>3.4298053543225529E-2</v>
      </c>
      <c r="G142" s="268">
        <f>F142</f>
        <v>3.4298053543225529E-2</v>
      </c>
    </row>
    <row r="143" spans="1:10" x14ac:dyDescent="0.35">
      <c r="A143" s="264" t="s">
        <v>12</v>
      </c>
      <c r="B143" s="271">
        <f>+('Syn prin concurents'!J54-'Syn prin concurents'!J40-'Syn prin concurents'!J42-'Syn prin concurents'!J44-'Syn prin concurents'!J48-'Syn prin concurents'!J46-'Syn prin concurents'!J50)/'Syn prin concurents'!J54</f>
        <v>8.4235859335700436E-2</v>
      </c>
      <c r="D143" s="264" t="s">
        <v>12</v>
      </c>
      <c r="F143" s="272">
        <f>+('Syn prin concurents'!J54-'Syn prin concurents'!J40-'Syn prin concurents'!J42-'Syn prin concurents'!J44-'Syn prin concurents'!J48-'Syn prin concurents'!J46-'Syn prin concurents'!J50)/'Syn prin concurents'!J54</f>
        <v>8.4235859335700436E-2</v>
      </c>
      <c r="G143" s="272">
        <f>+('Syn prin concurents'!I54-'Syn prin concurents'!I40-'Syn prin concurents'!I42-'Syn prin concurents'!I44-'Syn prin concurents'!I48-'Syn prin concurents'!I46-'Syn prin concurents'!I50)/'Syn prin concurents'!I54</f>
        <v>8.4389610928600742E-2</v>
      </c>
    </row>
    <row r="145" spans="1:10" x14ac:dyDescent="0.35">
      <c r="A145" s="326">
        <f>'Syn prin concurents'!$I$37</f>
        <v>46082</v>
      </c>
    </row>
    <row r="146" spans="1:10" x14ac:dyDescent="0.35">
      <c r="A146" s="265"/>
    </row>
    <row r="147" spans="1:10" x14ac:dyDescent="0.35">
      <c r="A147" s="264" t="s">
        <v>3</v>
      </c>
      <c r="B147" s="270">
        <f>+'Syn prin concurents'!I41</f>
        <v>0.33905708577092208</v>
      </c>
    </row>
    <row r="148" spans="1:10" x14ac:dyDescent="0.35">
      <c r="A148" s="264" t="s">
        <v>2</v>
      </c>
      <c r="B148" s="270">
        <f>+'Syn prin concurents'!I43</f>
        <v>0.14941570411709854</v>
      </c>
    </row>
    <row r="149" spans="1:10" x14ac:dyDescent="0.35">
      <c r="A149" s="264" t="s">
        <v>5</v>
      </c>
      <c r="B149" s="270">
        <f>+'Syn prin concurents'!I45</f>
        <v>0.20962395189829117</v>
      </c>
    </row>
    <row r="150" spans="1:10" x14ac:dyDescent="0.35">
      <c r="A150" s="264" t="s">
        <v>6</v>
      </c>
      <c r="B150" s="270">
        <f>+'Syn prin concurents'!I47</f>
        <v>0.18052400888633904</v>
      </c>
    </row>
    <row r="151" spans="1:10" x14ac:dyDescent="0.35">
      <c r="A151" s="264" t="s">
        <v>7</v>
      </c>
      <c r="B151" s="270">
        <f>+'Syn prin concurents'!I51</f>
        <v>3.6989638398748387E-2</v>
      </c>
    </row>
    <row r="152" spans="1:10" x14ac:dyDescent="0.35">
      <c r="A152" s="264" t="s">
        <v>12</v>
      </c>
      <c r="B152" s="271">
        <f>+('Syn prin concurents'!I54-'Syn prin concurents'!I40-'Syn prin concurents'!I42-'Syn prin concurents'!I44-'Syn prin concurents'!I48-'Syn prin concurents'!I46-'Syn prin concurents'!I50)/'Syn prin concurents'!I54</f>
        <v>8.4389610928600742E-2</v>
      </c>
    </row>
    <row r="156" spans="1:10" x14ac:dyDescent="0.35">
      <c r="A156" s="276" t="s">
        <v>15</v>
      </c>
    </row>
    <row r="158" spans="1:10" x14ac:dyDescent="0.35">
      <c r="A158" s="264" t="s">
        <v>16</v>
      </c>
    </row>
    <row r="159" spans="1:10" x14ac:dyDescent="0.35">
      <c r="B159" s="264" t="s">
        <v>3</v>
      </c>
      <c r="C159" s="264" t="s">
        <v>2</v>
      </c>
      <c r="D159" s="264" t="s">
        <v>5</v>
      </c>
      <c r="E159" s="264" t="s">
        <v>6</v>
      </c>
      <c r="F159" s="264" t="s">
        <v>4</v>
      </c>
      <c r="G159" s="264" t="s">
        <v>7</v>
      </c>
      <c r="J159" s="264" t="s">
        <v>8</v>
      </c>
    </row>
    <row r="161" spans="1:10" x14ac:dyDescent="0.35">
      <c r="A161" s="265">
        <f>'Syn prin concurents'!$F$37</f>
        <v>45992</v>
      </c>
      <c r="B161" s="266">
        <f>+'Syn prin concurents'!V40</f>
        <v>24358865.585000001</v>
      </c>
      <c r="C161" s="266">
        <f>+'Syn prin concurents'!$V$42</f>
        <v>17463175.437652174</v>
      </c>
      <c r="D161" s="266">
        <f>+'Syn prin concurents'!$V$44</f>
        <v>16983351.350000001</v>
      </c>
      <c r="E161" s="266">
        <f>+'Syn prin concurents'!$V$46</f>
        <v>9620366.0419999994</v>
      </c>
      <c r="F161" s="266">
        <f>+'Syn prin concurents'!V48</f>
        <v>6050871.8310000002</v>
      </c>
      <c r="G161" s="266">
        <f>+'Syn prin concurents'!V50</f>
        <v>2313133.7129999995</v>
      </c>
      <c r="I161" s="265">
        <f>'Syn prin concurents'!$F$37</f>
        <v>45992</v>
      </c>
      <c r="J161" s="266">
        <f>'Syn prin concurents'!V54</f>
        <v>80037604.099652171</v>
      </c>
    </row>
    <row r="162" spans="1:10" x14ac:dyDescent="0.35">
      <c r="A162" s="265">
        <f>'Syn prin concurents'!$B$2</f>
        <v>46082</v>
      </c>
      <c r="B162" s="266">
        <f>+'Syn prin concurents'!U40</f>
        <v>25157205.747000001</v>
      </c>
      <c r="C162" s="266">
        <f>+'Syn prin concurents'!$U$42</f>
        <v>19525424.782476995</v>
      </c>
      <c r="D162" s="266">
        <f>+'Syn prin concurents'!$U$44</f>
        <v>16332672.268999999</v>
      </c>
      <c r="E162" s="266">
        <f>+'Syn prin concurents'!$U$46</f>
        <v>9993113.0920000002</v>
      </c>
      <c r="F162" s="266">
        <f>+'Syn prin concurents'!U48</f>
        <v>6280424.6069999998</v>
      </c>
      <c r="G162" s="266">
        <f>+'Syn prin concurents'!U50</f>
        <v>2505963.4099999997</v>
      </c>
      <c r="I162" s="265">
        <f>'Syn prin concurents'!$B$2</f>
        <v>46082</v>
      </c>
      <c r="J162" s="266">
        <f>'Syn prin concurents'!U54</f>
        <v>83171449.108476996</v>
      </c>
    </row>
    <row r="164" spans="1:10" x14ac:dyDescent="0.35">
      <c r="A164" s="326">
        <f>'Syn prin concurents'!$J$37</f>
        <v>45992</v>
      </c>
    </row>
    <row r="165" spans="1:10" x14ac:dyDescent="0.35">
      <c r="A165" s="265"/>
      <c r="F165" s="265">
        <f>'Syn prin concurents'!$F$37</f>
        <v>45992</v>
      </c>
      <c r="G165" s="265">
        <f>'Syn prin concurents'!$B$2</f>
        <v>46082</v>
      </c>
    </row>
    <row r="166" spans="1:10" x14ac:dyDescent="0.35">
      <c r="A166" s="264" t="s">
        <v>3</v>
      </c>
      <c r="B166" s="270">
        <f>+'Syn prin concurents'!V41</f>
        <v>0.3043427631175914</v>
      </c>
      <c r="D166" s="264" t="s">
        <v>3</v>
      </c>
      <c r="F166" s="268">
        <f>+'Syn prin concurents'!V41</f>
        <v>0.3043427631175914</v>
      </c>
      <c r="G166" s="268">
        <f>+'Syn prin concurents'!U41</f>
        <v>0.30247405830561547</v>
      </c>
    </row>
    <row r="167" spans="1:10" x14ac:dyDescent="0.35">
      <c r="A167" s="264" t="s">
        <v>6</v>
      </c>
      <c r="B167" s="270">
        <f>+'Syn prin concurents'!V43</f>
        <v>0.21818713383660701</v>
      </c>
      <c r="D167" s="264" t="s">
        <v>2</v>
      </c>
      <c r="F167" s="268">
        <f>+'Syn prin concurents'!$V$43</f>
        <v>0.21818713383660701</v>
      </c>
      <c r="G167" s="268">
        <f>+'Syn prin concurents'!$U$43</f>
        <v>0.23476114690524161</v>
      </c>
    </row>
    <row r="168" spans="1:10" x14ac:dyDescent="0.35">
      <c r="A168" s="264" t="s">
        <v>2</v>
      </c>
      <c r="B168" s="270">
        <f>+'Syn prin concurents'!V45</f>
        <v>0.21219215069025046</v>
      </c>
      <c r="D168" s="264" t="s">
        <v>5</v>
      </c>
      <c r="F168" s="268">
        <f>+'Syn prin concurents'!$V$45</f>
        <v>0.21219215069025046</v>
      </c>
      <c r="G168" s="268">
        <f>'Syn prin concurents'!U45</f>
        <v>0.19637354457655279</v>
      </c>
    </row>
    <row r="169" spans="1:10" x14ac:dyDescent="0.35">
      <c r="A169" s="264" t="s">
        <v>5</v>
      </c>
      <c r="B169" s="270">
        <f>+'Syn prin concurents'!V49</f>
        <v>7.5600361843243841E-2</v>
      </c>
      <c r="D169" s="264" t="s">
        <v>6</v>
      </c>
      <c r="F169" s="268">
        <f>+'Syn prin concurents'!$V$47</f>
        <v>0.12019807626952451</v>
      </c>
      <c r="G169" s="268">
        <f>+'Syn prin concurents'!$U$47</f>
        <v>0.12015076326211903</v>
      </c>
    </row>
    <row r="170" spans="1:10" x14ac:dyDescent="0.35">
      <c r="A170" s="264" t="s">
        <v>7</v>
      </c>
      <c r="B170" s="270">
        <f>+'Syn prin concurents'!V47</f>
        <v>0.12019807626952451</v>
      </c>
      <c r="D170" s="264" t="s">
        <v>4</v>
      </c>
      <c r="F170" s="268">
        <f>+'Syn prin concurents'!V49</f>
        <v>7.5600361843243841E-2</v>
      </c>
      <c r="G170" s="268">
        <f>+'Syn prin concurents'!U49</f>
        <v>7.5511785285942393E-2</v>
      </c>
    </row>
    <row r="171" spans="1:10" x14ac:dyDescent="0.35">
      <c r="A171" s="264" t="s">
        <v>4</v>
      </c>
      <c r="B171" s="270">
        <f>+'Syn prin concurents'!V51</f>
        <v>2.8900586655742386E-2</v>
      </c>
      <c r="D171" s="264" t="s">
        <v>7</v>
      </c>
      <c r="F171" s="268">
        <f>+'Syn prin concurents'!V51</f>
        <v>2.8900586655742386E-2</v>
      </c>
      <c r="G171" s="268">
        <f>F171</f>
        <v>2.8900586655742386E-2</v>
      </c>
    </row>
    <row r="172" spans="1:10" x14ac:dyDescent="0.35">
      <c r="A172" s="264" t="s">
        <v>12</v>
      </c>
      <c r="B172" s="271">
        <f>+('Syn prin concurents'!V54-'Syn prin concurents'!V40-'Syn prin concurents'!V42-'Syn prin concurents'!V44-'Syn prin concurents'!V48-'Syn prin concurents'!V46-'Syn prin concurents'!V50)/'Syn prin concurents'!V54</f>
        <v>4.0578927587040375E-2</v>
      </c>
      <c r="D172" s="264" t="s">
        <v>12</v>
      </c>
      <c r="F172" s="272">
        <f>+('Syn prin concurents'!V54-'Syn prin concurents'!V40-'Syn prin concurents'!V42-'Syn prin concurents'!V44-'Syn prin concurents'!V48-'Syn prin concurents'!V46-'Syn prin concurents'!V50)/'Syn prin concurents'!V54</f>
        <v>4.0578927587040375E-2</v>
      </c>
      <c r="G172" s="272">
        <f>+('Syn prin concurents'!U54-'Syn prin concurents'!U40-'Syn prin concurents'!U42-'Syn prin concurents'!U44-'Syn prin concurents'!U48-'Syn prin concurents'!U46-'Syn prin concurents'!U50)/'Syn prin concurents'!U54</f>
        <v>4.0598609705549064E-2</v>
      </c>
    </row>
    <row r="174" spans="1:10" x14ac:dyDescent="0.35">
      <c r="A174" s="326">
        <f>'Syn prin concurents'!$I$37</f>
        <v>46082</v>
      </c>
    </row>
    <row r="175" spans="1:10" x14ac:dyDescent="0.35">
      <c r="A175" s="265"/>
    </row>
    <row r="176" spans="1:10" x14ac:dyDescent="0.35">
      <c r="A176" s="264" t="s">
        <v>3</v>
      </c>
      <c r="B176" s="270">
        <f>+'Syn prin concurents'!U41</f>
        <v>0.30247405830561547</v>
      </c>
    </row>
    <row r="177" spans="1:8" x14ac:dyDescent="0.35">
      <c r="A177" s="264" t="s">
        <v>6</v>
      </c>
      <c r="B177" s="270">
        <f>+'Syn prin concurents'!U43</f>
        <v>0.23476114690524161</v>
      </c>
    </row>
    <row r="178" spans="1:8" x14ac:dyDescent="0.35">
      <c r="A178" s="264" t="s">
        <v>2</v>
      </c>
      <c r="B178" s="270">
        <f>+'Syn prin concurents'!U45</f>
        <v>0.19637354457655279</v>
      </c>
    </row>
    <row r="179" spans="1:8" x14ac:dyDescent="0.35">
      <c r="A179" s="264" t="s">
        <v>5</v>
      </c>
      <c r="B179" s="270">
        <f>+'Syn prin concurents'!U49</f>
        <v>7.5511785285942393E-2</v>
      </c>
    </row>
    <row r="180" spans="1:8" x14ac:dyDescent="0.35">
      <c r="A180" s="264" t="s">
        <v>7</v>
      </c>
      <c r="B180" s="270">
        <f>+'Syn prin concurents'!U47</f>
        <v>0.12015076326211903</v>
      </c>
    </row>
    <row r="181" spans="1:8" x14ac:dyDescent="0.35">
      <c r="A181" s="264" t="s">
        <v>4</v>
      </c>
      <c r="B181" s="270">
        <f>+'Syn prin concurents'!U51</f>
        <v>3.013009195897955E-2</v>
      </c>
    </row>
    <row r="182" spans="1:8" x14ac:dyDescent="0.35">
      <c r="A182" s="264" t="s">
        <v>12</v>
      </c>
      <c r="B182" s="271">
        <f>+('Syn prin concurents'!U54-'Syn prin concurents'!U40-'Syn prin concurents'!U42-'Syn prin concurents'!U44-'Syn prin concurents'!U48-'Syn prin concurents'!U46-'Syn prin concurents'!U50)/'Syn prin concurents'!U54</f>
        <v>4.0598609705549064E-2</v>
      </c>
    </row>
    <row r="184" spans="1:8" x14ac:dyDescent="0.35">
      <c r="A184" s="264" t="s">
        <v>17</v>
      </c>
    </row>
    <row r="186" spans="1:8" x14ac:dyDescent="0.35">
      <c r="A186" s="264" t="s">
        <v>1</v>
      </c>
    </row>
    <row r="187" spans="1:8" x14ac:dyDescent="0.35">
      <c r="B187" s="264" t="s">
        <v>6</v>
      </c>
      <c r="C187" s="264" t="s">
        <v>7</v>
      </c>
      <c r="D187" s="264" t="s">
        <v>4</v>
      </c>
      <c r="E187" s="264" t="s">
        <v>5</v>
      </c>
      <c r="F187" s="264" t="s">
        <v>2</v>
      </c>
      <c r="G187" s="264" t="s">
        <v>3</v>
      </c>
      <c r="H187" s="264" t="s">
        <v>18</v>
      </c>
    </row>
    <row r="189" spans="1:8" x14ac:dyDescent="0.35">
      <c r="A189" s="265">
        <f>'Syn prin concurents'!$F$37</f>
        <v>45992</v>
      </c>
      <c r="B189" s="273">
        <f>+'Syn prin concurents'!F111</f>
        <v>0.14420261294363931</v>
      </c>
      <c r="C189" s="273">
        <f>+'Syn prin concurents'!F110</f>
        <v>0.2418299475401198</v>
      </c>
      <c r="D189" s="273">
        <f>+'Syn prin concurents'!F113</f>
        <v>0.12328516520594435</v>
      </c>
      <c r="E189" s="273">
        <f>+'Syn prin concurents'!F116</f>
        <v>0.14270250505358342</v>
      </c>
      <c r="F189" s="273">
        <f>+'Syn prin concurents'!F115</f>
        <v>9.6455075405118995E-2</v>
      </c>
      <c r="G189" s="273">
        <f>+'Syn prin concurents'!F114</f>
        <v>7.5499528790803461E-2</v>
      </c>
      <c r="H189" s="271">
        <f>+'Syn prin concurents'!F117</f>
        <v>0.11221269780520482</v>
      </c>
    </row>
    <row r="190" spans="1:8" x14ac:dyDescent="0.35">
      <c r="A190" s="265">
        <f>'Syn prin concurents'!$B$2</f>
        <v>46082</v>
      </c>
      <c r="B190" s="273">
        <f>+'Syn prin concurents'!E111</f>
        <v>0.14298522316501217</v>
      </c>
      <c r="C190" s="273">
        <f>+'Syn prin concurents'!E110</f>
        <v>0.20767364227163729</v>
      </c>
      <c r="D190" s="273">
        <f>+'Syn prin concurents'!E113</f>
        <v>0.12052687979617745</v>
      </c>
      <c r="E190" s="273">
        <f>+'Syn prin concurents'!E116</f>
        <v>0.18723827345350563</v>
      </c>
      <c r="F190" s="273">
        <f>+'Syn prin concurents'!E115</f>
        <v>9.4809037798396348E-2</v>
      </c>
      <c r="G190" s="273">
        <f>+'Syn prin concurents'!E114</f>
        <v>7.9569710934525667E-2</v>
      </c>
      <c r="H190" s="271">
        <f>+'Syn prin concurents'!E117</f>
        <v>0.12020837011642635</v>
      </c>
    </row>
    <row r="191" spans="1:8" x14ac:dyDescent="0.35">
      <c r="H191" s="271"/>
    </row>
    <row r="192" spans="1:8" x14ac:dyDescent="0.35">
      <c r="A192" s="264" t="s">
        <v>13</v>
      </c>
      <c r="H192" s="271"/>
    </row>
    <row r="193" spans="1:8" x14ac:dyDescent="0.35">
      <c r="B193" s="264" t="s">
        <v>7</v>
      </c>
      <c r="C193" s="264" t="s">
        <v>6</v>
      </c>
      <c r="D193" s="264" t="s">
        <v>2</v>
      </c>
      <c r="E193" s="264" t="s">
        <v>3</v>
      </c>
      <c r="F193" s="264" t="s">
        <v>5</v>
      </c>
      <c r="G193" s="271" t="s">
        <v>18</v>
      </c>
    </row>
    <row r="194" spans="1:8" x14ac:dyDescent="0.35">
      <c r="G194" s="271"/>
    </row>
    <row r="195" spans="1:8" x14ac:dyDescent="0.35">
      <c r="A195" s="265">
        <f>'Syn prin concurents'!$F$37</f>
        <v>45992</v>
      </c>
      <c r="B195" s="267">
        <f>+'Syn prin concurents'!J110</f>
        <v>0.4255375093109352</v>
      </c>
      <c r="C195" s="267">
        <f>+'Syn prin concurents'!J111</f>
        <v>0.16389076915381934</v>
      </c>
      <c r="D195" s="267">
        <f>+'Syn prin concurents'!J115</f>
        <v>0.16382523040408878</v>
      </c>
      <c r="E195" s="267">
        <f>+'Syn prin concurents'!J114</f>
        <v>0.14176153471523151</v>
      </c>
      <c r="F195" s="267">
        <f>+'Syn prin concurents'!J116</f>
        <v>7.7302080962395242E-2</v>
      </c>
      <c r="G195" s="271">
        <f>+'Syn prin concurents'!J117</f>
        <v>0.15270364128077527</v>
      </c>
    </row>
    <row r="196" spans="1:8" x14ac:dyDescent="0.35">
      <c r="A196" s="265">
        <f>'Syn prin concurents'!$B$2</f>
        <v>46082</v>
      </c>
      <c r="B196" s="267">
        <f>+'Syn prin concurents'!I110</f>
        <v>0.36442993530355922</v>
      </c>
      <c r="C196" s="267">
        <f>+'Syn prin concurents'!I111</f>
        <v>0.16126285119269942</v>
      </c>
      <c r="D196" s="267">
        <f>+'Syn prin concurents'!I115</f>
        <v>0.16831286862856973</v>
      </c>
      <c r="E196" s="267">
        <f>+'Syn prin concurents'!I114</f>
        <v>0.14255297780608736</v>
      </c>
      <c r="F196" s="267">
        <f>+'Syn prin concurents'!I116</f>
        <v>0.10433147235976517</v>
      </c>
      <c r="G196" s="271">
        <f>+'Syn prin concurents'!I117</f>
        <v>0.1553476204231794</v>
      </c>
    </row>
    <row r="197" spans="1:8" x14ac:dyDescent="0.35">
      <c r="H197" s="271"/>
    </row>
    <row r="198" spans="1:8" x14ac:dyDescent="0.35">
      <c r="A198" s="276" t="s">
        <v>14</v>
      </c>
      <c r="H198" s="271"/>
    </row>
    <row r="199" spans="1:8" x14ac:dyDescent="0.35">
      <c r="B199" s="264" t="s">
        <v>7</v>
      </c>
      <c r="C199" s="264" t="s">
        <v>6</v>
      </c>
      <c r="D199" s="264" t="s">
        <v>4</v>
      </c>
      <c r="E199" s="264" t="s">
        <v>3</v>
      </c>
      <c r="F199" s="264" t="s">
        <v>5</v>
      </c>
      <c r="G199" s="264" t="s">
        <v>2</v>
      </c>
      <c r="H199" s="271" t="s">
        <v>18</v>
      </c>
    </row>
    <row r="200" spans="1:8" x14ac:dyDescent="0.35">
      <c r="H200" s="271"/>
    </row>
    <row r="201" spans="1:8" x14ac:dyDescent="0.35">
      <c r="A201" s="265">
        <f>'Syn prin concurents'!$F$37</f>
        <v>45992</v>
      </c>
      <c r="B201" s="267">
        <f>+'Syn prin concurents'!V110</f>
        <v>0.32746450105410274</v>
      </c>
      <c r="C201" s="267">
        <f>+'Syn prin concurents'!V111</f>
        <v>0.15429786948598365</v>
      </c>
      <c r="D201" s="267">
        <f>+'Syn prin concurents'!V113</f>
        <v>0.12328516520594435</v>
      </c>
      <c r="E201" s="267">
        <f>+'Syn prin concurents'!V114</f>
        <v>0.10222368278230125</v>
      </c>
      <c r="F201" s="267">
        <f>+'Syn prin concurents'!V116</f>
        <v>0.12192892821945853</v>
      </c>
      <c r="G201" s="267">
        <f>+'Syn prin concurents'!V115</f>
        <v>0.11180639035650772</v>
      </c>
      <c r="H201" s="271">
        <f>+'Syn prin concurents'!V117</f>
        <v>0.12699547529418337</v>
      </c>
    </row>
    <row r="202" spans="1:8" x14ac:dyDescent="0.35">
      <c r="A202" s="265">
        <f>'Syn prin concurents'!$B$2</f>
        <v>46082</v>
      </c>
      <c r="B202" s="267">
        <f>+'Syn prin concurents'!U110</f>
        <v>0.27698310291620243</v>
      </c>
      <c r="C202" s="267">
        <f>+'Syn prin concurents'!U111</f>
        <v>0.15198609477548489</v>
      </c>
      <c r="D202" s="267">
        <f>+'Syn prin concurents'!U113</f>
        <v>0.12052687979617745</v>
      </c>
      <c r="E202" s="267">
        <f>'Syn prin concurents'!U114</f>
        <v>0.10414680174057202</v>
      </c>
      <c r="F202" s="267">
        <f>+'Syn prin concurents'!U116</f>
        <v>0.16140025304263403</v>
      </c>
      <c r="G202" s="267">
        <f>+'Syn prin concurents'!U115</f>
        <v>0.11040645611036166</v>
      </c>
      <c r="H202" s="271">
        <f>+'Syn prin concurents'!U117</f>
        <v>0.13185744034530225</v>
      </c>
    </row>
    <row r="203" spans="1:8" x14ac:dyDescent="0.35">
      <c r="H203" s="271"/>
    </row>
    <row r="205" spans="1:8" x14ac:dyDescent="0.35">
      <c r="B205" s="265"/>
    </row>
    <row r="207" spans="1:8" x14ac:dyDescent="0.35">
      <c r="A207" s="264" t="s">
        <v>0</v>
      </c>
    </row>
    <row r="209" spans="1:10" x14ac:dyDescent="0.35">
      <c r="A209" s="276" t="s">
        <v>19</v>
      </c>
    </row>
    <row r="211" spans="1:10" x14ac:dyDescent="0.35">
      <c r="B211" s="264" t="s">
        <v>3</v>
      </c>
      <c r="C211" s="264" t="s">
        <v>6</v>
      </c>
      <c r="D211" s="264" t="s">
        <v>2</v>
      </c>
      <c r="E211" s="264" t="s">
        <v>5</v>
      </c>
      <c r="F211" s="264" t="s">
        <v>7</v>
      </c>
      <c r="G211" s="264" t="s">
        <v>4</v>
      </c>
      <c r="J211" s="264" t="s">
        <v>8</v>
      </c>
    </row>
    <row r="213" spans="1:10" x14ac:dyDescent="0.35">
      <c r="A213" s="265">
        <f>'Syn prin concurents'!$F$37</f>
        <v>45992</v>
      </c>
      <c r="B213" s="266">
        <f>'Syn prin concurents par cat (2)'!D16</f>
        <v>467803.11499999999</v>
      </c>
      <c r="C213" s="266">
        <f>'Syn prin concurents par cat (2)'!D18</f>
        <v>1209540.0634300001</v>
      </c>
      <c r="D213" s="266">
        <f>'Syn prin concurents par cat (2)'!D20</f>
        <v>544967.05900000001</v>
      </c>
      <c r="E213" s="266">
        <f>'Syn prin concurents par cat (2)'!D24</f>
        <v>524957.66599999997</v>
      </c>
      <c r="F213" s="266">
        <f>'Syn prin concurents par cat (2)'!D22</f>
        <v>168230.65100000001</v>
      </c>
      <c r="G213" s="266">
        <f>'Syn prin concurents par cat (2)'!D26</f>
        <v>57604.135999999999</v>
      </c>
      <c r="H213" s="266"/>
      <c r="I213" s="265">
        <f>'Syn prin concurents'!$F$37</f>
        <v>45992</v>
      </c>
      <c r="J213" s="266">
        <f>'Syn prin concurents par cat (2)'!D30</f>
        <v>3143356.64243</v>
      </c>
    </row>
    <row r="214" spans="1:10" x14ac:dyDescent="0.35">
      <c r="A214" s="265">
        <f>'Syn prin concurents'!$B$2</f>
        <v>46082</v>
      </c>
      <c r="B214" s="266">
        <f>'Syn prin concurents par cat (2)'!C16</f>
        <v>459172.33399999997</v>
      </c>
      <c r="C214" s="266">
        <f>'Syn prin concurents par cat (2)'!C18</f>
        <v>1477587.7146600005</v>
      </c>
      <c r="D214" s="266">
        <f>'Syn prin concurents par cat (2)'!C20</f>
        <v>346945.91100000002</v>
      </c>
      <c r="E214" s="266">
        <f>'Syn prin concurents par cat (2)'!C24</f>
        <v>669033.28399999999</v>
      </c>
      <c r="F214" s="266">
        <f>'Syn prin concurents par cat (2)'!C22</f>
        <v>234377.663</v>
      </c>
      <c r="G214" s="266">
        <f>'Syn prin concurents par cat (2)'!C26</f>
        <v>52268.239000000001</v>
      </c>
      <c r="H214" s="266"/>
      <c r="I214" s="265">
        <f>'Syn prin concurents'!$B$2</f>
        <v>46082</v>
      </c>
      <c r="J214" s="266">
        <f>'Syn prin concurents par cat (2)'!C30</f>
        <v>3450116.1576600005</v>
      </c>
    </row>
    <row r="217" spans="1:10" x14ac:dyDescent="0.35">
      <c r="F217" s="265">
        <f>'Syn prin concurents'!$F$37</f>
        <v>45992</v>
      </c>
      <c r="G217" s="265">
        <f>'Syn prin concurents'!$B$2</f>
        <v>46082</v>
      </c>
    </row>
    <row r="218" spans="1:10" x14ac:dyDescent="0.35">
      <c r="B218" s="268"/>
      <c r="D218" s="264" t="s">
        <v>3</v>
      </c>
      <c r="F218" s="271">
        <f>'Syn prin concurents par cat (2)'!D17</f>
        <v>0.14882279302496221</v>
      </c>
      <c r="G218" s="271">
        <f>'Syn prin concurents par cat (2)'!C17</f>
        <v>0.13308894918814212</v>
      </c>
    </row>
    <row r="219" spans="1:10" x14ac:dyDescent="0.35">
      <c r="B219" s="268"/>
      <c r="D219" s="264" t="s">
        <v>6</v>
      </c>
      <c r="F219" s="271">
        <f>'Syn prin concurents par cat (2)'!D19</f>
        <v>0.38479250082642685</v>
      </c>
      <c r="G219" s="271">
        <f>'Syn prin concurents par cat (2)'!C19</f>
        <v>0.42827187466701311</v>
      </c>
    </row>
    <row r="220" spans="1:10" x14ac:dyDescent="0.35">
      <c r="B220" s="268"/>
      <c r="D220" s="264" t="s">
        <v>2</v>
      </c>
      <c r="F220" s="271">
        <f>'Syn prin concurents par cat (2)'!D21</f>
        <v>0.17337105552830567</v>
      </c>
      <c r="G220" s="271">
        <f>'Syn prin concurents par cat (2)'!C21</f>
        <v>0.10056064640887682</v>
      </c>
    </row>
    <row r="221" spans="1:10" x14ac:dyDescent="0.35">
      <c r="B221" s="268"/>
      <c r="D221" s="264" t="s">
        <v>5</v>
      </c>
      <c r="F221" s="271">
        <f>'Syn prin concurents par cat (2)'!D25</f>
        <v>0.16700544218048918</v>
      </c>
      <c r="G221" s="271">
        <f>'Syn prin concurents par cat (2)'!C25</f>
        <v>0.19391616207315285</v>
      </c>
    </row>
    <row r="222" spans="1:10" x14ac:dyDescent="0.35">
      <c r="B222" s="268"/>
      <c r="D222" s="264" t="s">
        <v>7</v>
      </c>
      <c r="F222" s="271">
        <f>'Syn prin concurents par cat (2)'!D23</f>
        <v>5.3519428476288898E-2</v>
      </c>
      <c r="G222" s="271">
        <f>'Syn prin concurents par cat (2)'!C23</f>
        <v>6.7933267255257807E-2</v>
      </c>
    </row>
    <row r="223" spans="1:10" x14ac:dyDescent="0.35">
      <c r="B223" s="268"/>
      <c r="D223" s="264" t="s">
        <v>4</v>
      </c>
      <c r="F223" s="271">
        <f>'Syn prin concurents par cat (2)'!D27</f>
        <v>1.8325676196725996E-2</v>
      </c>
      <c r="G223" s="271">
        <f>'Syn prin concurents par cat (2)'!C27</f>
        <v>1.5149704129222797E-2</v>
      </c>
    </row>
    <row r="224" spans="1:10" x14ac:dyDescent="0.35">
      <c r="B224" s="269"/>
      <c r="D224" s="264" t="s">
        <v>12</v>
      </c>
      <c r="F224" s="271">
        <f>('Syn prin concurents par cat (2)'!D30-'Syn prin concurents par cat (2)'!D16-'Syn prin concurents par cat (2)'!D18-'Syn prin concurents par cat (2)'!D20-'Syn prin concurents par cat (2)'!D24-'Syn prin concurents par cat (2)'!D22-'Syn prin concurents par cat (2)'!D26)/'Syn prin concurents par cat (2)'!D30</f>
        <v>5.4163103766801134E-2</v>
      </c>
      <c r="G224" s="271">
        <f>('Syn prin concurents par cat (2)'!C30-'Syn prin concurents par cat (2)'!C16-'Syn prin concurents par cat (2)'!C18-'Syn prin concurents par cat (2)'!C20-'Syn prin concurents par cat (2)'!C24-'Syn prin concurents par cat (2)'!C22-'Syn prin concurents par cat (2)'!C26)/'Syn prin concurents par cat (2)'!C30</f>
        <v>6.1079396278334544E-2</v>
      </c>
    </row>
    <row r="227" spans="1:10" x14ac:dyDescent="0.35">
      <c r="A227" s="276" t="s">
        <v>20</v>
      </c>
    </row>
    <row r="229" spans="1:10" x14ac:dyDescent="0.35">
      <c r="B229" s="264" t="s">
        <v>3</v>
      </c>
      <c r="C229" s="264" t="s">
        <v>6</v>
      </c>
      <c r="D229" s="264" t="s">
        <v>2</v>
      </c>
      <c r="E229" s="264" t="s">
        <v>5</v>
      </c>
      <c r="F229" s="264" t="s">
        <v>7</v>
      </c>
      <c r="G229" s="264" t="s">
        <v>4</v>
      </c>
      <c r="J229" s="264" t="s">
        <v>8</v>
      </c>
    </row>
    <row r="231" spans="1:10" x14ac:dyDescent="0.35">
      <c r="A231" s="265">
        <f>'Syn prin concurents'!$F$37</f>
        <v>45992</v>
      </c>
      <c r="B231" s="266">
        <f>'Syn prin concurents par cat (2)'!H16</f>
        <v>926717.39599999995</v>
      </c>
      <c r="C231" s="266">
        <f>'Syn prin concurents par cat (2)'!H18</f>
        <v>1165306.3545366684</v>
      </c>
      <c r="D231" s="266">
        <f>'Syn prin concurents par cat (2)'!H20</f>
        <v>489315.14800000004</v>
      </c>
      <c r="E231" s="266">
        <f>'Syn prin concurents par cat (2)'!H24</f>
        <v>251180.28499999997</v>
      </c>
      <c r="F231" s="266">
        <f>'Syn prin concurents par cat (2)'!H22</f>
        <v>375553.52</v>
      </c>
      <c r="G231" s="266">
        <f>'Syn prin concurents par cat (2)'!H26</f>
        <v>84957.421999999991</v>
      </c>
      <c r="H231" s="266"/>
      <c r="I231" s="265">
        <f>'Syn prin concurents'!$F$37</f>
        <v>45992</v>
      </c>
      <c r="J231" s="266">
        <f>'Syn prin concurents par cat (2)'!H30</f>
        <v>3294311.6805366687</v>
      </c>
    </row>
    <row r="232" spans="1:10" x14ac:dyDescent="0.35">
      <c r="A232" s="265">
        <f>'Syn prin concurents'!$B$2</f>
        <v>46082</v>
      </c>
      <c r="B232" s="266">
        <f>'Syn prin concurents par cat (2)'!G16</f>
        <v>951200.32100000011</v>
      </c>
      <c r="C232" s="266">
        <f>'Syn prin concurents par cat (2)'!G18</f>
        <v>1393341.4098533413</v>
      </c>
      <c r="D232" s="266">
        <f>'Syn prin concurents par cat (2)'!G20</f>
        <v>434119.86899999995</v>
      </c>
      <c r="E232" s="266">
        <f>'Syn prin concurents par cat (2)'!G24</f>
        <v>209701.78000000003</v>
      </c>
      <c r="F232" s="266">
        <f>'Syn prin concurents par cat (2)'!G22</f>
        <v>420953.54300000001</v>
      </c>
      <c r="G232" s="266">
        <f>'Syn prin concurents par cat (2)'!G26</f>
        <v>98756.197</v>
      </c>
      <c r="H232" s="266"/>
      <c r="I232" s="265">
        <f>'Syn prin concurents'!$B$2</f>
        <v>46082</v>
      </c>
      <c r="J232" s="266">
        <f>'Syn prin concurents par cat (2)'!G30</f>
        <v>3508765.9748533415</v>
      </c>
    </row>
    <row r="235" spans="1:10" x14ac:dyDescent="0.35">
      <c r="F235" s="265">
        <f>'Syn prin concurents'!$F$37</f>
        <v>45992</v>
      </c>
      <c r="G235" s="265">
        <f>'Syn prin concurents'!$B$2</f>
        <v>46082</v>
      </c>
    </row>
    <row r="236" spans="1:10" x14ac:dyDescent="0.35">
      <c r="B236" s="268"/>
      <c r="D236" s="264" t="s">
        <v>3</v>
      </c>
      <c r="F236" s="271">
        <f>'Syn prin concurents par cat (2)'!H17</f>
        <v>0.28130835387410291</v>
      </c>
      <c r="G236" s="271">
        <f>'Syn prin concurents par cat (2)'!G17</f>
        <v>0.27109255157427764</v>
      </c>
    </row>
    <row r="237" spans="1:10" x14ac:dyDescent="0.35">
      <c r="B237" s="268"/>
      <c r="D237" s="264" t="s">
        <v>6</v>
      </c>
      <c r="F237" s="271">
        <f>'Syn prin concurents par cat (2)'!H19</f>
        <v>0.3537328788352021</v>
      </c>
      <c r="G237" s="271">
        <f>'Syn prin concurents par cat (2)'!G19</f>
        <v>0.39710297575818798</v>
      </c>
    </row>
    <row r="238" spans="1:10" x14ac:dyDescent="0.35">
      <c r="B238" s="268"/>
      <c r="D238" s="264" t="s">
        <v>2</v>
      </c>
      <c r="F238" s="271">
        <f>'Syn prin concurents par cat (2)'!H21</f>
        <v>0.14853334943713853</v>
      </c>
      <c r="G238" s="271">
        <f>'Syn prin concurents par cat (2)'!G21</f>
        <v>0.12372437264589731</v>
      </c>
    </row>
    <row r="239" spans="1:10" x14ac:dyDescent="0.35">
      <c r="B239" s="268"/>
      <c r="D239" s="264" t="s">
        <v>5</v>
      </c>
      <c r="F239" s="271">
        <f>'Syn prin concurents par cat (2)'!H25</f>
        <v>7.6246666787485262E-2</v>
      </c>
      <c r="G239" s="271">
        <f>'Syn prin concurents par cat (2)'!G25</f>
        <v>5.9765108731358207E-2</v>
      </c>
    </row>
    <row r="240" spans="1:10" x14ac:dyDescent="0.35">
      <c r="B240" s="268"/>
      <c r="D240" s="264" t="s">
        <v>7</v>
      </c>
      <c r="F240" s="271">
        <f>'Syn prin concurents par cat (2)'!H23</f>
        <v>0.11400060359158835</v>
      </c>
      <c r="G240" s="271">
        <f>'Syn prin concurents par cat (2)'!G23</f>
        <v>0.11997196336743288</v>
      </c>
    </row>
    <row r="241" spans="1:13" x14ac:dyDescent="0.35">
      <c r="B241" s="268"/>
      <c r="D241" s="264" t="s">
        <v>4</v>
      </c>
      <c r="F241" s="271">
        <f>'Syn prin concurents par cat (2)'!H27</f>
        <v>2.5789126906826186E-2</v>
      </c>
      <c r="G241" s="271">
        <f>'Syn prin concurents par cat (2)'!G27</f>
        <v>2.8145563912716574E-2</v>
      </c>
    </row>
    <row r="242" spans="1:13" x14ac:dyDescent="0.35">
      <c r="B242" s="269"/>
      <c r="D242" s="264" t="s">
        <v>12</v>
      </c>
      <c r="F242" s="271">
        <f>('Syn prin concurents par cat (2)'!H30-'Syn prin concurents par cat (2)'!H16-'Syn prin concurents par cat (2)'!H18-'Syn prin concurents par cat (2)'!H20-'Syn prin concurents par cat (2)'!H24-'Syn prin concurents par cat (2)'!H22-'Syn prin concurents par cat (2)'!H26)/'Syn prin concurents par cat (2)'!H30</f>
        <v>3.8902056765674004E-4</v>
      </c>
      <c r="G242" s="271">
        <f>('Syn prin concurents par cat (2)'!G30-'Syn prin concurents par cat (2)'!G16-'Syn prin concurents par cat (2)'!G18-'Syn prin concurents par cat (2)'!G20-'Syn prin concurents par cat (2)'!G24-'Syn prin concurents par cat (2)'!G22-'Syn prin concurents par cat (2)'!G26)/'Syn prin concurents par cat (2)'!G30</f>
        <v>1.9746401012941863E-4</v>
      </c>
    </row>
    <row r="243" spans="1:13" x14ac:dyDescent="0.35">
      <c r="A243" s="264" t="s">
        <v>21</v>
      </c>
    </row>
    <row r="245" spans="1:13" x14ac:dyDescent="0.35">
      <c r="B245" s="264" t="s">
        <v>3</v>
      </c>
      <c r="C245" s="264" t="s">
        <v>2</v>
      </c>
      <c r="D245" s="264" t="s">
        <v>5</v>
      </c>
      <c r="E245" s="264" t="s">
        <v>6</v>
      </c>
      <c r="F245" s="264" t="s">
        <v>7</v>
      </c>
      <c r="G245" s="264" t="s">
        <v>4</v>
      </c>
      <c r="J245" s="264" t="s">
        <v>8</v>
      </c>
    </row>
    <row r="247" spans="1:13" x14ac:dyDescent="0.35">
      <c r="A247" s="265">
        <f>'Syn prin concurents'!$F$37</f>
        <v>45992</v>
      </c>
      <c r="B247" s="266">
        <f>'Syn prin concurents'!V64</f>
        <v>2773578.341</v>
      </c>
      <c r="C247" s="266">
        <f>'Syn prin concurents'!V70</f>
        <v>2198275.9036399941</v>
      </c>
      <c r="D247" s="266">
        <f>'Syn prin concurents'!V68</f>
        <v>2358307.7659999998</v>
      </c>
      <c r="E247" s="266">
        <f>'Syn prin concurents'!V66</f>
        <v>1755230.2760000001</v>
      </c>
      <c r="F247" s="266">
        <f>'Syn prin concurents'!V72</f>
        <v>1126288.7660000003</v>
      </c>
      <c r="G247" s="266">
        <f>'Syn prin concurents'!V74</f>
        <v>850884.12300000002</v>
      </c>
      <c r="I247" s="265">
        <f>I231</f>
        <v>45992</v>
      </c>
      <c r="J247" s="266">
        <f>'Syn prin concurents'!V78</f>
        <v>11643025.077639993</v>
      </c>
    </row>
    <row r="248" spans="1:13" x14ac:dyDescent="0.35">
      <c r="A248" s="265">
        <f>'Syn prin concurents'!$B$2</f>
        <v>46082</v>
      </c>
      <c r="B248" s="266">
        <f>'Syn prin concurents'!U64</f>
        <v>2924633.773</v>
      </c>
      <c r="C248" s="266">
        <f>'Syn prin concurents'!U70</f>
        <v>2423278.5512999985</v>
      </c>
      <c r="D248" s="266">
        <f>'Syn prin concurents'!U68</f>
        <v>3143451.267</v>
      </c>
      <c r="E248" s="266">
        <f>'Syn prin concurents'!U66</f>
        <v>1791025.152</v>
      </c>
      <c r="F248" s="266">
        <f>'Syn prin concurents'!U72</f>
        <v>960018.39500000002</v>
      </c>
      <c r="G248" s="266">
        <f>'Syn prin concurents'!U74</f>
        <v>860697.12000000011</v>
      </c>
      <c r="I248" s="265">
        <f>I232</f>
        <v>46082</v>
      </c>
      <c r="J248" s="266">
        <f>'Syn prin concurents'!U78</f>
        <v>12632457.961300001</v>
      </c>
    </row>
    <row r="250" spans="1:13" x14ac:dyDescent="0.35">
      <c r="B250" s="266"/>
    </row>
    <row r="251" spans="1:13" x14ac:dyDescent="0.35">
      <c r="B251" s="266"/>
    </row>
    <row r="252" spans="1:13" x14ac:dyDescent="0.35">
      <c r="A252" s="276" t="s">
        <v>22</v>
      </c>
    </row>
    <row r="254" spans="1:13" x14ac:dyDescent="0.35">
      <c r="A254" s="264" t="s">
        <v>16</v>
      </c>
    </row>
    <row r="255" spans="1:13" x14ac:dyDescent="0.35">
      <c r="B255" s="264" t="s">
        <v>3</v>
      </c>
      <c r="C255" s="264" t="s">
        <v>2</v>
      </c>
      <c r="D255" s="264" t="s">
        <v>5</v>
      </c>
      <c r="E255" s="264" t="s">
        <v>6</v>
      </c>
      <c r="F255" s="264" t="s">
        <v>4</v>
      </c>
      <c r="G255" s="264" t="s">
        <v>7</v>
      </c>
      <c r="J255" s="264" t="s">
        <v>8</v>
      </c>
    </row>
    <row r="256" spans="1:13" x14ac:dyDescent="0.35">
      <c r="M256" s="272"/>
    </row>
    <row r="257" spans="1:10" x14ac:dyDescent="0.35">
      <c r="A257" s="265">
        <f>'Syn prin concurents'!$F$37</f>
        <v>45992</v>
      </c>
      <c r="B257" s="266">
        <f>'Syn prin concurents'!V87</f>
        <v>27132443.925999999</v>
      </c>
      <c r="C257" s="266">
        <f>'Syn prin concurents'!V91</f>
        <v>19661451.341292165</v>
      </c>
      <c r="D257" s="266">
        <f>'Syn prin concurents'!V89</f>
        <v>19341659.116</v>
      </c>
      <c r="E257" s="266">
        <f>'Syn prin concurents'!V93</f>
        <v>11375596.318</v>
      </c>
      <c r="F257" s="266">
        <f>'Syn prin concurents'!V95</f>
        <v>6901755.9539999999</v>
      </c>
      <c r="G257" s="266">
        <f>'Syn prin concurents'!V97</f>
        <v>3439422.4790000003</v>
      </c>
      <c r="I257" s="265">
        <f>'Syn prin concurents'!$F$37</f>
        <v>45992</v>
      </c>
      <c r="J257" s="266">
        <f>'Syn prin concurents'!V101</f>
        <v>91680629.177292168</v>
      </c>
    </row>
    <row r="258" spans="1:10" x14ac:dyDescent="0.35">
      <c r="A258" s="265">
        <f>'Syn prin concurents'!$B$2</f>
        <v>46082</v>
      </c>
      <c r="B258" s="266">
        <f>'Syn prin concurents'!U87</f>
        <v>28081839.52</v>
      </c>
      <c r="C258" s="266">
        <f>'Syn prin concurents'!U91</f>
        <v>21948703.333776996</v>
      </c>
      <c r="D258" s="266">
        <f>'Syn prin concurents'!U89</f>
        <v>19476123.535999998</v>
      </c>
      <c r="E258" s="266">
        <f>'Syn prin concurents'!U93</f>
        <v>11784138.243999999</v>
      </c>
      <c r="F258" s="266">
        <f>'Syn prin concurents'!U95</f>
        <v>7141121.727</v>
      </c>
      <c r="G258" s="266">
        <f>'Syn prin concurents'!U97</f>
        <v>3465981.8049999997</v>
      </c>
      <c r="I258" s="265">
        <f>'Syn prin concurents'!$B$2</f>
        <v>46082</v>
      </c>
      <c r="J258" s="266">
        <f>'Syn prin concurents'!U101</f>
        <v>95803907.069776997</v>
      </c>
    </row>
    <row r="260" spans="1:10" x14ac:dyDescent="0.35">
      <c r="A260" s="326"/>
    </row>
    <row r="261" spans="1:10" x14ac:dyDescent="0.35">
      <c r="A261" s="265"/>
      <c r="F261" s="265">
        <f>'Syn prin concurents'!$F$37</f>
        <v>45992</v>
      </c>
      <c r="G261" s="265">
        <f>'Syn prin concurents'!$B$2</f>
        <v>46082</v>
      </c>
    </row>
    <row r="262" spans="1:10" x14ac:dyDescent="0.35">
      <c r="B262" s="270"/>
      <c r="D262" s="264" t="s">
        <v>3</v>
      </c>
      <c r="F262" s="268">
        <f>'Syn prin concurents'!V88</f>
        <v>0.2959452195024887</v>
      </c>
      <c r="G262" s="268">
        <f>'Syn prin concurents'!U88</f>
        <v>0.29311789444607006</v>
      </c>
    </row>
    <row r="263" spans="1:10" x14ac:dyDescent="0.35">
      <c r="B263" s="270"/>
      <c r="D263" s="264" t="s">
        <v>2</v>
      </c>
      <c r="F263" s="268">
        <f>'Syn prin concurents'!V92</f>
        <v>0.21445589453003006</v>
      </c>
      <c r="G263" s="268">
        <f>'Syn prin concurents'!U92</f>
        <v>0.22910029460271453</v>
      </c>
    </row>
    <row r="264" spans="1:10" x14ac:dyDescent="0.35">
      <c r="B264" s="270"/>
      <c r="D264" s="264" t="s">
        <v>5</v>
      </c>
      <c r="F264" s="268">
        <f>'Syn prin concurents'!V90</f>
        <v>0.21096778337545072</v>
      </c>
      <c r="G264" s="268">
        <f>'Syn prin concurents'!U90</f>
        <v>0.20329153717932325</v>
      </c>
    </row>
    <row r="265" spans="1:10" x14ac:dyDescent="0.35">
      <c r="B265" s="270"/>
      <c r="D265" s="264" t="s">
        <v>6</v>
      </c>
      <c r="F265" s="268">
        <f>'Syn prin concurents'!V94</f>
        <v>0.12407851494999943</v>
      </c>
      <c r="G265" s="268">
        <f>'Syn prin concurents'!U94</f>
        <v>0.12300268960239003</v>
      </c>
    </row>
    <row r="266" spans="1:10" x14ac:dyDescent="0.35">
      <c r="B266" s="270"/>
      <c r="D266" s="264" t="s">
        <v>4</v>
      </c>
      <c r="F266" s="268">
        <f>'Syn prin concurents'!V96</f>
        <v>7.5280416549644E-2</v>
      </c>
      <c r="G266" s="268">
        <f>'Syn prin concurents'!U96</f>
        <v>7.4538940481820817E-2</v>
      </c>
    </row>
    <row r="267" spans="1:10" x14ac:dyDescent="0.35">
      <c r="B267" s="270"/>
      <c r="D267" s="264" t="s">
        <v>7</v>
      </c>
      <c r="F267" s="268">
        <f>'Syn prin concurents'!V98</f>
        <v>3.7515258237908015E-2</v>
      </c>
      <c r="G267" s="268">
        <f>F267</f>
        <v>3.7515258237908015E-2</v>
      </c>
    </row>
    <row r="268" spans="1:10" x14ac:dyDescent="0.35">
      <c r="B268" s="271"/>
      <c r="D268" s="264" t="s">
        <v>12</v>
      </c>
      <c r="F268" s="269">
        <f>('Syn prin concurents'!V101-'Syn prin concurents'!V87-'Syn prin concurents'!V91-'Syn prin concurents'!V89-'Syn prin concurents'!V93-'Syn prin concurents'!V95-'Syn prin concurents'!V97)/'Syn prin concurents'!V101</f>
        <v>4.1756912854479106E-2</v>
      </c>
      <c r="G268" s="269">
        <f>('Syn prin concurents'!U101-'Syn prin concurents'!U87-'Syn prin concurents'!U91-'Syn prin concurents'!U89-'Syn prin concurents'!U93-'Syn prin concurents'!U95-'Syn prin concurents'!U97)/'Syn prin concurents'!U101</f>
        <v>4.0770768369134951E-2</v>
      </c>
    </row>
    <row r="271" spans="1:10" x14ac:dyDescent="0.35">
      <c r="A271" s="276" t="s">
        <v>22</v>
      </c>
    </row>
    <row r="273" spans="1:10" x14ac:dyDescent="0.35">
      <c r="A273" s="264" t="s">
        <v>13</v>
      </c>
    </row>
    <row r="274" spans="1:10" x14ac:dyDescent="0.35">
      <c r="B274" s="264" t="s">
        <v>3</v>
      </c>
      <c r="C274" s="264" t="s">
        <v>5</v>
      </c>
      <c r="D274" s="264" t="s">
        <v>6</v>
      </c>
      <c r="E274" s="264" t="s">
        <v>2</v>
      </c>
      <c r="F274" s="264" t="s">
        <v>7</v>
      </c>
      <c r="J274" s="264" t="s">
        <v>8</v>
      </c>
    </row>
    <row r="276" spans="1:10" x14ac:dyDescent="0.35">
      <c r="A276" s="265">
        <f>'Syn prin concurents'!$F$37</f>
        <v>45992</v>
      </c>
      <c r="B276" s="266">
        <f>'Syn prin concurents'!J87</f>
        <v>10245593.552000001</v>
      </c>
      <c r="C276" s="266">
        <f>'Syn prin concurents'!J89</f>
        <v>6143621.3500000006</v>
      </c>
      <c r="D276" s="266">
        <f>'Syn prin concurents'!J93</f>
        <v>5630014.8309999993</v>
      </c>
      <c r="E276" s="266">
        <f>'Syn prin concurents'!J91</f>
        <v>4483495.5052299928</v>
      </c>
      <c r="F276" s="266">
        <f>'Syn prin concurents'!J97</f>
        <v>1552322.598</v>
      </c>
      <c r="G276" s="266"/>
      <c r="I276" s="265">
        <f>'Syn prin concurents'!$F$37</f>
        <v>45992</v>
      </c>
      <c r="J276" s="266">
        <f>'Syn prin concurents'!J101</f>
        <v>30685898.390229993</v>
      </c>
    </row>
    <row r="277" spans="1:10" x14ac:dyDescent="0.35">
      <c r="A277" s="265">
        <f>'Syn prin concurents'!$B$2</f>
        <v>46082</v>
      </c>
      <c r="B277" s="266">
        <f>'Syn prin concurents'!I87</f>
        <v>10255185.9</v>
      </c>
      <c r="C277" s="266">
        <f>'Syn prin concurents'!I89</f>
        <v>6069761.1150000002</v>
      </c>
      <c r="D277" s="266">
        <f>'Syn prin concurents'!I93</f>
        <v>5581964.875</v>
      </c>
      <c r="E277" s="266">
        <f>'Syn prin concurents'!I91</f>
        <v>4659231.3230700027</v>
      </c>
      <c r="F277" s="266">
        <f>'Syn prin concurents'!I97</f>
        <v>1509366.341</v>
      </c>
      <c r="G277" s="266"/>
      <c r="I277" s="265">
        <f>'Syn prin concurents'!$B$2</f>
        <v>46082</v>
      </c>
      <c r="J277" s="266">
        <f>'Syn prin concurents'!I101</f>
        <v>30704356.440070003</v>
      </c>
    </row>
    <row r="279" spans="1:10" x14ac:dyDescent="0.35">
      <c r="A279" s="326"/>
    </row>
    <row r="280" spans="1:10" x14ac:dyDescent="0.35">
      <c r="A280" s="265"/>
      <c r="F280" s="265">
        <f>'Syn prin concurents'!$F$37</f>
        <v>45992</v>
      </c>
      <c r="G280" s="265">
        <f>'Syn prin concurents'!$B$2</f>
        <v>46082</v>
      </c>
    </row>
    <row r="281" spans="1:10" x14ac:dyDescent="0.35">
      <c r="B281" s="270"/>
      <c r="D281" s="264" t="s">
        <v>3</v>
      </c>
      <c r="F281" s="268">
        <f>'Syn prin concurents'!J88</f>
        <v>0.33388605481604772</v>
      </c>
      <c r="G281" s="268">
        <f>'Syn prin concurents'!I88</f>
        <v>0.33399774784456027</v>
      </c>
    </row>
    <row r="282" spans="1:10" x14ac:dyDescent="0.35">
      <c r="B282" s="270"/>
      <c r="D282" s="264" t="s">
        <v>5</v>
      </c>
      <c r="F282" s="268">
        <f>'Syn prin concurents'!J90</f>
        <v>0.20020992287310882</v>
      </c>
      <c r="G282" s="268">
        <f>'Syn prin concurents'!I90</f>
        <v>0.19768403636295728</v>
      </c>
    </row>
    <row r="283" spans="1:10" x14ac:dyDescent="0.35">
      <c r="B283" s="270"/>
      <c r="D283" s="264" t="s">
        <v>6</v>
      </c>
      <c r="F283" s="268">
        <f>'Syn prin concurents'!J94</f>
        <v>0.18347238068130101</v>
      </c>
      <c r="G283" s="268">
        <f>'Syn prin concurents'!I94</f>
        <v>0.18179716242856622</v>
      </c>
    </row>
    <row r="284" spans="1:10" x14ac:dyDescent="0.35">
      <c r="B284" s="270"/>
      <c r="D284" s="264" t="s">
        <v>2</v>
      </c>
      <c r="F284" s="268">
        <f>'Syn prin concurents'!J92</f>
        <v>0.14610931210857042</v>
      </c>
      <c r="G284" s="268">
        <f>'Syn prin concurents'!I92</f>
        <v>0.15174495945433925</v>
      </c>
    </row>
    <row r="285" spans="1:10" x14ac:dyDescent="0.35">
      <c r="B285" s="270"/>
      <c r="D285" s="264" t="s">
        <v>7</v>
      </c>
      <c r="F285" s="268">
        <f>'Syn prin concurents'!J98</f>
        <v>5.0587490653173778E-2</v>
      </c>
      <c r="G285" s="268">
        <f>F285</f>
        <v>5.0587490653173778E-2</v>
      </c>
    </row>
    <row r="286" spans="1:10" x14ac:dyDescent="0.35">
      <c r="B286" s="270"/>
      <c r="D286" s="264" t="s">
        <v>12</v>
      </c>
      <c r="F286" s="269">
        <f>('Syn prin concurents'!J101-'Syn prin concurents'!J87-'Syn prin concurents'!J91-'Syn prin concurents'!J89-'Syn prin concurents'!J93-'Syn prin concurents'!J95-'Syn prin concurents'!J97)/'Syn prin concurents'!J101</f>
        <v>8.5734838867798299E-2</v>
      </c>
      <c r="G286" s="269">
        <f>('Syn prin concurents'!I101-'Syn prin concurents'!I87-'Syn prin concurents'!I91-'Syn prin concurents'!I89-'Syn prin concurents'!I93-'Syn prin concurents'!I95-'Syn prin concurents'!I97)/'Syn prin concurents'!I101</f>
        <v>8.5618042219223547E-2</v>
      </c>
    </row>
    <row r="289" spans="1:10" x14ac:dyDescent="0.35">
      <c r="A289" s="276" t="s">
        <v>22</v>
      </c>
    </row>
    <row r="291" spans="1:10" x14ac:dyDescent="0.35">
      <c r="A291" s="264" t="s">
        <v>1</v>
      </c>
    </row>
    <row r="292" spans="1:10" x14ac:dyDescent="0.35">
      <c r="B292" s="264" t="s">
        <v>2</v>
      </c>
      <c r="C292" s="264" t="s">
        <v>3</v>
      </c>
      <c r="D292" s="264" t="s">
        <v>5</v>
      </c>
      <c r="E292" s="264" t="s">
        <v>4</v>
      </c>
      <c r="F292" s="264" t="s">
        <v>6</v>
      </c>
      <c r="G292" s="264" t="s">
        <v>7</v>
      </c>
      <c r="J292" s="264" t="s">
        <v>8</v>
      </c>
    </row>
    <row r="294" spans="1:10" x14ac:dyDescent="0.35">
      <c r="A294" s="265">
        <f>'Syn prin concurents'!$F$37</f>
        <v>45992</v>
      </c>
      <c r="B294" s="266">
        <f>'Syn prin concurents'!F91</f>
        <v>15173069.538882174</v>
      </c>
      <c r="C294" s="266">
        <f>'Syn prin concurents'!F87</f>
        <v>16185800.396</v>
      </c>
      <c r="D294" s="266">
        <f>'Syn prin concurents'!F89</f>
        <v>13198037.766000001</v>
      </c>
      <c r="E294" s="266">
        <f>'Syn prin concurents'!F95</f>
        <v>6901755.9539999999</v>
      </c>
      <c r="F294" s="266">
        <f>'Syn prin concurents'!F93</f>
        <v>5738752.1009999998</v>
      </c>
      <c r="G294" s="266">
        <f>'Syn prin concurents'!F97</f>
        <v>1745721.1040000001</v>
      </c>
      <c r="I294" s="265">
        <f>'Syn prin concurents'!$F$37</f>
        <v>45992</v>
      </c>
      <c r="J294" s="266">
        <f>'Syn prin concurents'!F101</f>
        <v>60072173.348882176</v>
      </c>
    </row>
    <row r="295" spans="1:10" x14ac:dyDescent="0.35">
      <c r="A295" s="265">
        <f>'Syn prin concurents'!$B$2</f>
        <v>46082</v>
      </c>
      <c r="B295" s="266">
        <f>'Syn prin concurents'!E91</f>
        <v>17284726.87471699</v>
      </c>
      <c r="C295" s="266">
        <f>'Syn prin concurents'!E87</f>
        <v>17040672.953000002</v>
      </c>
      <c r="D295" s="266">
        <f>'Syn prin concurents'!E89</f>
        <v>13406362.421</v>
      </c>
      <c r="E295" s="266">
        <f>'Syn prin concurents'!E95</f>
        <v>7141121.727</v>
      </c>
      <c r="F295" s="266">
        <f>'Syn prin concurents'!E93</f>
        <v>6195648.5319999997</v>
      </c>
      <c r="G295" s="266">
        <f>'Syn prin concurents'!E97</f>
        <v>1760541.8289999999</v>
      </c>
      <c r="I295" s="265">
        <f>'Syn prin concurents'!$B$2</f>
        <v>46082</v>
      </c>
      <c r="J295" s="266">
        <f>'Syn prin concurents'!E101</f>
        <v>64106157.941716991</v>
      </c>
    </row>
    <row r="297" spans="1:10" x14ac:dyDescent="0.35">
      <c r="A297" s="326"/>
    </row>
    <row r="298" spans="1:10" x14ac:dyDescent="0.35">
      <c r="A298" s="265"/>
      <c r="F298" s="265">
        <f>'Syn prin concurents'!$F$37</f>
        <v>45992</v>
      </c>
      <c r="G298" s="265">
        <f>'Syn prin concurents'!$B$2</f>
        <v>46082</v>
      </c>
    </row>
    <row r="299" spans="1:10" x14ac:dyDescent="0.35">
      <c r="B299" s="270"/>
      <c r="D299" s="264" t="s">
        <v>2</v>
      </c>
      <c r="F299" s="268">
        <f>'Syn prin concurents'!F92</f>
        <v>0.252580665772841</v>
      </c>
      <c r="G299" s="268">
        <f>'Syn prin concurents'!E92</f>
        <v>0.26962662292804446</v>
      </c>
    </row>
    <row r="300" spans="1:10" x14ac:dyDescent="0.35">
      <c r="B300" s="270"/>
      <c r="D300" s="264" t="s">
        <v>3</v>
      </c>
      <c r="F300" s="268">
        <f>'Syn prin concurents'!F88</f>
        <v>0.26943923440221568</v>
      </c>
      <c r="G300" s="268">
        <f>'Syn prin concurents'!E88</f>
        <v>0.26581959518604698</v>
      </c>
    </row>
    <row r="301" spans="1:10" x14ac:dyDescent="0.35">
      <c r="B301" s="270"/>
      <c r="D301" s="264" t="s">
        <v>5</v>
      </c>
      <c r="F301" s="268">
        <f>'Syn prin concurents'!F90</f>
        <v>0.21970301772418876</v>
      </c>
      <c r="G301" s="268">
        <f>'Syn prin concurents'!E90</f>
        <v>0.20912752926463915</v>
      </c>
    </row>
    <row r="302" spans="1:10" x14ac:dyDescent="0.35">
      <c r="B302" s="270"/>
      <c r="D302" s="264" t="s">
        <v>4</v>
      </c>
      <c r="F302" s="268">
        <f>'Syn prin concurents'!F96</f>
        <v>0.11489106468508398</v>
      </c>
      <c r="G302" s="268">
        <f>'Syn prin concurents'!E96</f>
        <v>0.11139525368986315</v>
      </c>
    </row>
    <row r="303" spans="1:10" x14ac:dyDescent="0.35">
      <c r="B303" s="270"/>
      <c r="D303" s="264" t="s">
        <v>6</v>
      </c>
      <c r="F303" s="268">
        <f>'Syn prin concurents'!F94</f>
        <v>9.5530955200687551E-2</v>
      </c>
      <c r="G303" s="268">
        <f>'Syn prin concurents'!E94</f>
        <v>9.6646698709238824E-2</v>
      </c>
    </row>
    <row r="304" spans="1:10" x14ac:dyDescent="0.35">
      <c r="B304" s="270"/>
      <c r="D304" s="264" t="s">
        <v>7</v>
      </c>
      <c r="F304" s="268">
        <f>'Syn prin concurents'!F98</f>
        <v>2.9060395299190293E-2</v>
      </c>
      <c r="G304" s="268">
        <f>F304</f>
        <v>2.9060395299190293E-2</v>
      </c>
    </row>
    <row r="305" spans="1:10" x14ac:dyDescent="0.35">
      <c r="D305" s="264" t="s">
        <v>12</v>
      </c>
      <c r="F305" s="268">
        <f>('Syn prin concurents'!F101-'Syn prin concurents'!F87-'Syn prin concurents'!F91-'Syn prin concurents'!F89-'Syn prin concurents'!F93-'Syn prin concurents'!F95-'Syn prin concurents'!F97)/'Syn prin concurents'!F101</f>
        <v>1.879466691579277E-2</v>
      </c>
      <c r="G305" s="268">
        <f>('Syn prin concurents'!E101-'Syn prin concurents'!E87-'Syn prin concurents'!E91-'Syn prin concurents'!E89-'Syn prin concurents'!E93-'Syn prin concurents'!E95-'Syn prin concurents'!E97)/'Syn prin concurents'!E101</f>
        <v>1.9921387367514348E-2</v>
      </c>
    </row>
    <row r="309" spans="1:10" x14ac:dyDescent="0.35">
      <c r="A309" s="276" t="s">
        <v>21</v>
      </c>
    </row>
    <row r="311" spans="1:10" x14ac:dyDescent="0.35">
      <c r="A311" s="264" t="s">
        <v>16</v>
      </c>
    </row>
    <row r="312" spans="1:10" x14ac:dyDescent="0.35">
      <c r="B312" s="264" t="s">
        <v>5</v>
      </c>
      <c r="C312" s="264" t="s">
        <v>3</v>
      </c>
      <c r="D312" s="264" t="s">
        <v>2</v>
      </c>
      <c r="E312" s="264" t="s">
        <v>6</v>
      </c>
      <c r="F312" s="264" t="s">
        <v>7</v>
      </c>
      <c r="G312" s="264" t="s">
        <v>4</v>
      </c>
      <c r="J312" s="264" t="s">
        <v>8</v>
      </c>
    </row>
    <row r="314" spans="1:10" x14ac:dyDescent="0.35">
      <c r="A314" s="265">
        <f>'Syn prin concurents'!$F$37</f>
        <v>45992</v>
      </c>
      <c r="B314" s="266">
        <f>'Syn prin concurents'!V68</f>
        <v>2358307.7659999998</v>
      </c>
      <c r="C314" s="266">
        <f>'Syn prin concurents'!V64</f>
        <v>2773578.341</v>
      </c>
      <c r="D314" s="266">
        <f>'Syn prin concurents'!V70</f>
        <v>2198275.9036399941</v>
      </c>
      <c r="E314" s="266">
        <f>'Syn prin concurents'!V66</f>
        <v>1755230.2760000001</v>
      </c>
      <c r="F314" s="266">
        <f>'Syn prin concurents'!V72</f>
        <v>1126288.7660000003</v>
      </c>
      <c r="G314" s="266">
        <f>'Syn prin concurents'!V74</f>
        <v>850884.12300000002</v>
      </c>
      <c r="I314" s="265">
        <f>'Syn prin concurents'!$F$37</f>
        <v>45992</v>
      </c>
      <c r="J314" s="266">
        <f>'Syn prin concurents'!V78</f>
        <v>11643025.077639993</v>
      </c>
    </row>
    <row r="315" spans="1:10" x14ac:dyDescent="0.35">
      <c r="A315" s="265">
        <f>'Syn prin concurents'!$B$2</f>
        <v>46082</v>
      </c>
      <c r="B315" s="266">
        <f>'Syn prin concurents'!U68</f>
        <v>3143451.267</v>
      </c>
      <c r="C315" s="266">
        <f>'Syn prin concurents'!U64</f>
        <v>2924633.773</v>
      </c>
      <c r="D315" s="266">
        <f>'Syn prin concurents'!U70</f>
        <v>2423278.5512999985</v>
      </c>
      <c r="E315" s="266">
        <f>'Syn prin concurents'!U66</f>
        <v>1791025.152</v>
      </c>
      <c r="F315" s="266">
        <f>'Syn prin concurents'!U72</f>
        <v>960018.39500000002</v>
      </c>
      <c r="G315" s="266">
        <f>'Syn prin concurents'!U74</f>
        <v>860697.12000000011</v>
      </c>
      <c r="I315" s="265">
        <f>'Syn prin concurents'!$B$2</f>
        <v>46082</v>
      </c>
      <c r="J315" s="266">
        <f>'Syn prin concurents'!U78</f>
        <v>12632457.961300001</v>
      </c>
    </row>
    <row r="317" spans="1:10" x14ac:dyDescent="0.35">
      <c r="A317" s="326"/>
    </row>
    <row r="318" spans="1:10" x14ac:dyDescent="0.35">
      <c r="A318" s="265"/>
      <c r="F318" s="265">
        <f>'Syn prin concurents'!$F$37</f>
        <v>45992</v>
      </c>
      <c r="G318" s="265">
        <f>'Syn prin concurents'!$B$2</f>
        <v>46082</v>
      </c>
    </row>
    <row r="319" spans="1:10" x14ac:dyDescent="0.35">
      <c r="B319" s="270"/>
      <c r="D319" s="264" t="s">
        <v>5</v>
      </c>
      <c r="F319" s="268">
        <f>'Syn prin concurents'!V69</f>
        <v>0.20255111968529932</v>
      </c>
      <c r="G319" s="268">
        <f>'Syn prin concurents'!U69</f>
        <v>0.2488392422622801</v>
      </c>
    </row>
    <row r="320" spans="1:10" x14ac:dyDescent="0.35">
      <c r="B320" s="270"/>
      <c r="D320" s="264" t="s">
        <v>3</v>
      </c>
      <c r="F320" s="268">
        <f>'Syn prin concurents'!V65</f>
        <v>0.23821801658115094</v>
      </c>
      <c r="G320" s="268">
        <f>'Syn prin concurents'!U65</f>
        <v>0.23151739605702415</v>
      </c>
    </row>
    <row r="321" spans="1:10" x14ac:dyDescent="0.35">
      <c r="B321" s="270"/>
      <c r="D321" s="264" t="s">
        <v>2</v>
      </c>
      <c r="F321" s="268">
        <f>'Syn prin concurents'!V71</f>
        <v>0.18880625000642687</v>
      </c>
      <c r="G321" s="268">
        <f>'Syn prin concurents'!U71</f>
        <v>0.19182953616183021</v>
      </c>
    </row>
    <row r="322" spans="1:10" x14ac:dyDescent="0.35">
      <c r="B322" s="270"/>
      <c r="D322" s="264" t="s">
        <v>6</v>
      </c>
      <c r="F322" s="268">
        <f>'Syn prin concurents'!V67</f>
        <v>0.15075380017611198</v>
      </c>
      <c r="G322" s="268">
        <f>'Syn prin concurents'!U67</f>
        <v>0.14177962495397739</v>
      </c>
    </row>
    <row r="323" spans="1:10" x14ac:dyDescent="0.35">
      <c r="B323" s="270"/>
      <c r="D323" s="264" t="s">
        <v>7</v>
      </c>
      <c r="F323" s="268">
        <f>'Syn prin concurents'!V73</f>
        <v>9.6735063137757635E-2</v>
      </c>
      <c r="G323" s="268">
        <f>F323</f>
        <v>9.6735063137757635E-2</v>
      </c>
    </row>
    <row r="324" spans="1:10" x14ac:dyDescent="0.35">
      <c r="B324" s="270"/>
      <c r="D324" s="264" t="s">
        <v>4</v>
      </c>
      <c r="F324" s="268">
        <f>'Syn prin concurents'!V75</f>
        <v>7.3081017804736331E-2</v>
      </c>
      <c r="G324" s="268">
        <f>'Syn prin concurents'!U75</f>
        <v>6.8133780665392066E-2</v>
      </c>
    </row>
    <row r="325" spans="1:10" x14ac:dyDescent="0.35">
      <c r="B325" s="271"/>
      <c r="D325" s="264" t="s">
        <v>12</v>
      </c>
      <c r="F325" s="272">
        <f>('Syn prin concurents'!V78-'Syn prin concurents'!V64-'Syn prin concurents'!V70-'Syn prin concurents'!V68-'Syn prin concurents'!V66-'Syn prin concurents'!V74-'Syn prin concurents'!V72)/'Syn prin concurents'!V78</f>
        <v>4.9854732608516882E-2</v>
      </c>
      <c r="G325" s="272">
        <f>('Syn prin concurents'!U78-'Syn prin concurents'!U64-'Syn prin concurents'!U70-'Syn prin concurents'!U68-'Syn prin concurents'!U66-'Syn prin concurents'!U74-'Syn prin concurents'!U72)/'Syn prin concurents'!U78</f>
        <v>4.1904252095807212E-2</v>
      </c>
    </row>
    <row r="328" spans="1:10" x14ac:dyDescent="0.35">
      <c r="A328" s="276" t="s">
        <v>21</v>
      </c>
    </row>
    <row r="330" spans="1:10" x14ac:dyDescent="0.35">
      <c r="A330" s="264" t="s">
        <v>13</v>
      </c>
    </row>
    <row r="331" spans="1:10" x14ac:dyDescent="0.35">
      <c r="B331" s="264" t="s">
        <v>3</v>
      </c>
      <c r="C331" s="264" t="s">
        <v>6</v>
      </c>
      <c r="D331" s="264" t="s">
        <v>2</v>
      </c>
      <c r="E331" s="264" t="s">
        <v>7</v>
      </c>
      <c r="F331" s="264" t="s">
        <v>5</v>
      </c>
      <c r="J331" s="264" t="s">
        <v>8</v>
      </c>
    </row>
    <row r="333" spans="1:10" x14ac:dyDescent="0.35">
      <c r="A333" s="265">
        <f>'Syn prin concurents'!$F$37</f>
        <v>45992</v>
      </c>
      <c r="B333" s="266">
        <f>'Syn prin concurents'!J64</f>
        <v>1452431.0660000001</v>
      </c>
      <c r="C333" s="266">
        <f>'Syn prin concurents'!J66</f>
        <v>922707.46100000013</v>
      </c>
      <c r="D333" s="266">
        <f>'Syn prin concurents'!J70</f>
        <v>734509.68415999995</v>
      </c>
      <c r="E333" s="266">
        <f>'Syn prin concurents'!J72</f>
        <v>660571.49200000009</v>
      </c>
      <c r="F333" s="266">
        <f>'Syn prin concurents'!J68</f>
        <v>474914.71499999997</v>
      </c>
      <c r="I333" s="265">
        <f>'Syn prin concurents'!$F$37</f>
        <v>45992</v>
      </c>
      <c r="J333" s="266">
        <f>'Syn prin concurents'!J78</f>
        <v>4685848.4201600002</v>
      </c>
    </row>
    <row r="334" spans="1:10" x14ac:dyDescent="0.35">
      <c r="A334" s="265">
        <f>'Syn prin concurents'!$B$2</f>
        <v>46082</v>
      </c>
      <c r="B334" s="266">
        <f>'Syn prin concurents'!I64</f>
        <v>1461907.2880000002</v>
      </c>
      <c r="C334" s="266">
        <f>'Syn prin concurents'!I66</f>
        <v>900163.571</v>
      </c>
      <c r="D334" s="266">
        <f>'Syn prin concurents'!I70</f>
        <v>784208.58958999848</v>
      </c>
      <c r="E334" s="266">
        <f>'Syn prin concurents'!I72</f>
        <v>550058.27799999993</v>
      </c>
      <c r="F334" s="266">
        <f>'Syn prin concurents'!I68</f>
        <v>633267.11399999994</v>
      </c>
      <c r="I334" s="265">
        <f>'Syn prin concurents'!$B$2</f>
        <v>46082</v>
      </c>
      <c r="J334" s="266">
        <f>'Syn prin concurents'!I78</f>
        <v>4769848.7095899992</v>
      </c>
    </row>
    <row r="336" spans="1:10" x14ac:dyDescent="0.35">
      <c r="A336" s="326"/>
    </row>
    <row r="337" spans="1:10" x14ac:dyDescent="0.35">
      <c r="A337" s="265"/>
      <c r="F337" s="265">
        <f>'Syn prin concurents'!$F$37</f>
        <v>45992</v>
      </c>
      <c r="G337" s="265">
        <f>'Syn prin concurents'!$B$2</f>
        <v>46082</v>
      </c>
    </row>
    <row r="338" spans="1:10" x14ac:dyDescent="0.35">
      <c r="B338" s="270"/>
      <c r="D338" s="264" t="s">
        <v>3</v>
      </c>
      <c r="F338" s="268">
        <f>'Syn prin concurents'!J65</f>
        <v>0.30996117154604974</v>
      </c>
      <c r="G338" s="268">
        <f>'Syn prin concurents'!I65</f>
        <v>0.30648923624365038</v>
      </c>
    </row>
    <row r="339" spans="1:10" x14ac:dyDescent="0.35">
      <c r="B339" s="270"/>
      <c r="D339" s="264" t="s">
        <v>6</v>
      </c>
      <c r="F339" s="268">
        <f>'Syn prin concurents'!J67</f>
        <v>0.19691363831365546</v>
      </c>
      <c r="G339" s="268">
        <f>'Syn prin concurents'!I67</f>
        <v>0.18871952252703109</v>
      </c>
    </row>
    <row r="340" spans="1:10" x14ac:dyDescent="0.35">
      <c r="B340" s="270"/>
      <c r="D340" s="264" t="s">
        <v>2</v>
      </c>
      <c r="F340" s="268">
        <f>'Syn prin concurents'!J71</f>
        <v>0.15675062833870324</v>
      </c>
      <c r="G340" s="268">
        <f>'Syn prin concurents'!I71</f>
        <v>0.16440953106401701</v>
      </c>
    </row>
    <row r="341" spans="1:10" x14ac:dyDescent="0.35">
      <c r="B341" s="270"/>
      <c r="D341" s="264" t="s">
        <v>7</v>
      </c>
      <c r="F341" s="268">
        <f>'Syn prin concurents'!J73</f>
        <v>0.14097158780425181</v>
      </c>
      <c r="G341" s="268">
        <f>F341</f>
        <v>0.14097158780425181</v>
      </c>
    </row>
    <row r="342" spans="1:10" x14ac:dyDescent="0.35">
      <c r="B342" s="270"/>
      <c r="D342" s="264" t="s">
        <v>5</v>
      </c>
      <c r="F342" s="268">
        <f>'Syn prin concurents'!J69</f>
        <v>0.10135084885733112</v>
      </c>
      <c r="G342" s="268">
        <f>'Syn prin concurents'!I69</f>
        <v>0.13276461216197222</v>
      </c>
    </row>
    <row r="343" spans="1:10" x14ac:dyDescent="0.35">
      <c r="B343" s="270"/>
      <c r="D343" s="264" t="s">
        <v>12</v>
      </c>
      <c r="F343" s="268">
        <f>('Syn prin concurents'!J78-'Syn prin concurents'!J64-'Syn prin concurents'!J70-'Syn prin concurents'!J68-'Syn prin concurents'!J66-'Syn prin concurents'!J74-'Syn prin concurents'!J72)/'Syn prin concurents'!J78</f>
        <v>9.4052125140008588E-2</v>
      </c>
      <c r="G343" s="268">
        <f>('Syn prin concurents'!I78-'Syn prin concurents'!I64-'Syn prin concurents'!I70-'Syn prin concurents'!I68-'Syn prin concurents'!I66-'Syn prin concurents'!I74-'Syn prin concurents'!I72)/'Syn prin concurents'!I78</f>
        <v>9.2297239557068117E-2</v>
      </c>
    </row>
    <row r="346" spans="1:10" x14ac:dyDescent="0.35">
      <c r="A346" s="276" t="s">
        <v>21</v>
      </c>
    </row>
    <row r="348" spans="1:10" x14ac:dyDescent="0.35">
      <c r="A348" s="264" t="s">
        <v>1</v>
      </c>
    </row>
    <row r="349" spans="1:10" x14ac:dyDescent="0.35">
      <c r="B349" s="264" t="s">
        <v>5</v>
      </c>
      <c r="C349" s="264" t="s">
        <v>2</v>
      </c>
      <c r="D349" s="264" t="s">
        <v>3</v>
      </c>
      <c r="E349" s="264" t="s">
        <v>6</v>
      </c>
      <c r="F349" s="264" t="s">
        <v>4</v>
      </c>
      <c r="G349" s="264" t="s">
        <v>7</v>
      </c>
      <c r="J349" s="264" t="s">
        <v>8</v>
      </c>
    </row>
    <row r="351" spans="1:10" x14ac:dyDescent="0.35">
      <c r="A351" s="265">
        <f>'Syn prin concurents'!$F$37</f>
        <v>45992</v>
      </c>
      <c r="B351" s="266">
        <f>'Syn prin concurents'!F68</f>
        <v>1883393.051</v>
      </c>
      <c r="C351" s="266">
        <f>'Syn prin concurents'!F70</f>
        <v>1463519.5664999941</v>
      </c>
      <c r="D351" s="266">
        <f>'Syn prin concurents'!F64</f>
        <v>1222020.3030000001</v>
      </c>
      <c r="E351" s="266">
        <f>'Syn prin concurents'!F66</f>
        <v>827543.04799999995</v>
      </c>
      <c r="F351" s="266">
        <f>'Syn prin concurents'!F74</f>
        <v>850884.12300000002</v>
      </c>
      <c r="G351" s="266">
        <f>'Syn prin concurents'!F72</f>
        <v>422167.64300000004</v>
      </c>
      <c r="I351" s="265">
        <f>'Syn prin concurents'!$F$37</f>
        <v>45992</v>
      </c>
      <c r="J351" s="266">
        <f>'Syn prin concurents'!F78</f>
        <v>6740860.6344999941</v>
      </c>
    </row>
    <row r="352" spans="1:10" x14ac:dyDescent="0.35">
      <c r="A352" s="265">
        <f>'Syn prin concurents'!$B$2</f>
        <v>46082</v>
      </c>
      <c r="B352" s="266">
        <f>'Syn prin concurents'!E68</f>
        <v>2510184.1529999999</v>
      </c>
      <c r="C352" s="266">
        <f>'Syn prin concurents'!E70</f>
        <v>1638748.3236000002</v>
      </c>
      <c r="D352" s="266">
        <f>'Syn prin concurents'!E64</f>
        <v>1355921.4210000001</v>
      </c>
      <c r="E352" s="266">
        <f>'Syn prin concurents'!E66</f>
        <v>885886.18799999997</v>
      </c>
      <c r="F352" s="266">
        <f>'Syn prin concurents'!E74</f>
        <v>860697.12000000011</v>
      </c>
      <c r="G352" s="266">
        <f>'Syn prin concurents'!E72</f>
        <v>365618.13400000002</v>
      </c>
      <c r="I352" s="265">
        <f>'Syn prin concurents'!$B$2</f>
        <v>46082</v>
      </c>
      <c r="J352" s="266">
        <f>'Syn prin concurents'!E78</f>
        <v>7706096.7606000006</v>
      </c>
    </row>
    <row r="354" spans="1:7" x14ac:dyDescent="0.35">
      <c r="A354" s="326"/>
    </row>
    <row r="355" spans="1:7" x14ac:dyDescent="0.35">
      <c r="A355" s="265"/>
      <c r="F355" s="265">
        <f>'Syn prin concurents'!$F$37</f>
        <v>45992</v>
      </c>
      <c r="G355" s="265">
        <f>'Syn prin concurents'!$B$2</f>
        <v>46082</v>
      </c>
    </row>
    <row r="356" spans="1:7" x14ac:dyDescent="0.35">
      <c r="B356" s="270"/>
      <c r="D356" s="264" t="s">
        <v>5</v>
      </c>
      <c r="F356" s="268">
        <f>'Syn prin concurents'!F69</f>
        <v>0.27939949408844311</v>
      </c>
      <c r="G356" s="268">
        <f>'Syn prin concurents'!E69</f>
        <v>0.32574002520110529</v>
      </c>
    </row>
    <row r="357" spans="1:7" x14ac:dyDescent="0.35">
      <c r="B357" s="270"/>
      <c r="D357" s="264" t="s">
        <v>2</v>
      </c>
      <c r="F357" s="268">
        <f>'Syn prin concurents'!F71</f>
        <v>0.21711167844201415</v>
      </c>
      <c r="G357" s="268">
        <f>'Syn prin concurents'!E71</f>
        <v>0.21265607927201871</v>
      </c>
    </row>
    <row r="358" spans="1:7" x14ac:dyDescent="0.35">
      <c r="B358" s="270"/>
      <c r="D358" s="264" t="s">
        <v>3</v>
      </c>
      <c r="F358" s="268">
        <f>'Syn prin concurents'!F65</f>
        <v>0.1812855018461072</v>
      </c>
      <c r="G358" s="268">
        <f>'Syn prin concurents'!E65</f>
        <v>0.17595437263811717</v>
      </c>
    </row>
    <row r="359" spans="1:7" x14ac:dyDescent="0.35">
      <c r="B359" s="270"/>
      <c r="D359" s="264" t="s">
        <v>6</v>
      </c>
      <c r="F359" s="268">
        <f>'Syn prin concurents'!F67</f>
        <v>0.12276519169742237</v>
      </c>
      <c r="G359" s="268">
        <f>'Syn prin concurents'!E67</f>
        <v>0.11495913112970364</v>
      </c>
    </row>
    <row r="360" spans="1:7" x14ac:dyDescent="0.35">
      <c r="B360" s="270"/>
      <c r="D360" s="264" t="s">
        <v>4</v>
      </c>
      <c r="F360" s="268">
        <f>'Syn prin concurents'!F75</f>
        <v>0.12622781706020461</v>
      </c>
      <c r="G360" s="268">
        <f>'Syn prin concurents'!E75</f>
        <v>0.11169041172706295</v>
      </c>
    </row>
    <row r="361" spans="1:7" x14ac:dyDescent="0.35">
      <c r="B361" s="270"/>
      <c r="D361" s="264" t="s">
        <v>7</v>
      </c>
      <c r="F361" s="268">
        <f>'Syn prin concurents'!F73</f>
        <v>6.2628151788115774E-2</v>
      </c>
      <c r="G361" s="268">
        <f>F361</f>
        <v>6.2628151788115774E-2</v>
      </c>
    </row>
    <row r="362" spans="1:7" x14ac:dyDescent="0.35">
      <c r="D362" s="264" t="s">
        <v>12</v>
      </c>
      <c r="F362" s="268">
        <f>('Syn prin concurents'!F78-'Syn prin concurents'!F64-'Syn prin concurents'!F70-'Syn prin concurents'!F68-'Syn prin concurents'!F66-'Syn prin concurents'!F74-'Syn prin concurents'!F72)/'Syn prin concurents'!F78</f>
        <v>1.0582165077692756E-2</v>
      </c>
      <c r="G362" s="268">
        <f>('Syn prin concurents'!E78-'Syn prin concurents'!E64-'Syn prin concurents'!E70-'Syn prin concurents'!E68-'Syn prin concurents'!E66-'Syn prin concurents'!E74-'Syn prin concurents'!E72)/'Syn prin concurents'!E78</f>
        <v>1.1554672068907139E-2</v>
      </c>
    </row>
  </sheetData>
  <sortState xmlns:xlrd2="http://schemas.microsoft.com/office/spreadsheetml/2017/richdata2" ref="F166:J171">
    <sortCondition descending="1" ref="G166"/>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2:U38"/>
  <sheetViews>
    <sheetView showGridLines="0" zoomScale="80" zoomScaleNormal="80" workbookViewId="0">
      <selection activeCell="A34" sqref="A34"/>
    </sheetView>
  </sheetViews>
  <sheetFormatPr baseColWidth="10" defaultColWidth="11.453125" defaultRowHeight="12.5" x14ac:dyDescent="0.25"/>
  <cols>
    <col min="1" max="1" width="25.54296875" bestFit="1" customWidth="1"/>
    <col min="2" max="2" width="16" bestFit="1" customWidth="1"/>
    <col min="3" max="3" width="19" customWidth="1"/>
    <col min="4" max="4" width="14.453125" bestFit="1" customWidth="1"/>
    <col min="5" max="5" width="20" bestFit="1" customWidth="1"/>
    <col min="6" max="6" width="15.7265625" bestFit="1" customWidth="1"/>
    <col min="7" max="7" width="2.7265625" customWidth="1"/>
    <col min="8" max="9" width="15" bestFit="1" customWidth="1"/>
    <col min="10" max="10" width="2.7265625" customWidth="1"/>
    <col min="11" max="12" width="15.7265625" bestFit="1" customWidth="1"/>
    <col min="13" max="13" width="2.7265625" customWidth="1"/>
    <col min="14" max="15" width="16.54296875" bestFit="1" customWidth="1"/>
    <col min="16" max="16" width="2.7265625" customWidth="1"/>
    <col min="17" max="18" width="10.7265625" bestFit="1" customWidth="1"/>
    <col min="19" max="19" width="2.7265625" customWidth="1"/>
    <col min="20" max="21" width="14.54296875" bestFit="1" customWidth="1"/>
  </cols>
  <sheetData>
    <row r="2" spans="1:21" ht="15.5" x14ac:dyDescent="0.35">
      <c r="A2" s="264"/>
      <c r="B2" s="264" t="s">
        <v>23</v>
      </c>
      <c r="C2" s="264" t="s">
        <v>24</v>
      </c>
      <c r="E2" s="264" t="s">
        <v>25</v>
      </c>
      <c r="F2" s="264" t="s">
        <v>26</v>
      </c>
      <c r="H2" s="264" t="s">
        <v>27</v>
      </c>
      <c r="I2" s="264" t="s">
        <v>28</v>
      </c>
      <c r="K2" s="264" t="s">
        <v>29</v>
      </c>
      <c r="L2" s="264" t="s">
        <v>30</v>
      </c>
      <c r="N2" s="264" t="s">
        <v>31</v>
      </c>
      <c r="O2" s="264" t="s">
        <v>32</v>
      </c>
      <c r="Q2" s="264" t="s">
        <v>33</v>
      </c>
      <c r="R2" s="264" t="s">
        <v>34</v>
      </c>
      <c r="T2" s="264" t="s">
        <v>35</v>
      </c>
      <c r="U2" s="264" t="s">
        <v>36</v>
      </c>
    </row>
    <row r="3" spans="1:21" ht="15.5" x14ac:dyDescent="0.35">
      <c r="A3" s="264"/>
      <c r="B3" s="264"/>
      <c r="C3" s="264"/>
    </row>
    <row r="4" spans="1:21" ht="15.5" x14ac:dyDescent="0.35">
      <c r="A4" s="264" t="s">
        <v>19</v>
      </c>
      <c r="B4" s="266">
        <f>'Syn prin concurents par cat (2)'!D16</f>
        <v>467803.11499999999</v>
      </c>
      <c r="C4" s="266">
        <f>'Syn prin concurents par cat (2)'!C16</f>
        <v>459172.33399999997</v>
      </c>
      <c r="D4" s="266"/>
      <c r="E4" s="266">
        <f>'Syn prin concurents par cat (2)'!D18</f>
        <v>1209540.0634300001</v>
      </c>
      <c r="F4" s="266">
        <f>'Syn prin concurents par cat (2)'!C18</f>
        <v>1477587.7146600005</v>
      </c>
      <c r="G4" s="266"/>
      <c r="H4" s="266">
        <f>'Syn prin concurents par cat (2)'!D20</f>
        <v>544967.05900000001</v>
      </c>
      <c r="I4" s="266">
        <f>'Syn prin concurents par cat (2)'!C20</f>
        <v>346945.91100000002</v>
      </c>
      <c r="J4" s="266"/>
      <c r="K4" s="266">
        <f>'Syn prin concurents par cat (2)'!D24</f>
        <v>524957.66599999997</v>
      </c>
      <c r="L4" s="266">
        <f>'Syn prin concurents par cat (2)'!C24</f>
        <v>669033.28399999999</v>
      </c>
      <c r="M4" s="266"/>
      <c r="N4" s="266">
        <f>'Syn prin concurents par cat (2)'!D22</f>
        <v>168230.65100000001</v>
      </c>
      <c r="O4" s="266">
        <f>'Syn prin concurents par cat (2)'!C22</f>
        <v>234377.663</v>
      </c>
      <c r="P4" s="266"/>
      <c r="Q4" s="266">
        <f>'Syn prin concurents par cat (2)'!D26</f>
        <v>57604.135999999999</v>
      </c>
      <c r="R4" s="266">
        <f>'Syn prin concurents par cat (2)'!C26</f>
        <v>52268.239000000001</v>
      </c>
      <c r="T4" s="266">
        <f>'Syn prin concurents par cat (2)'!D30</f>
        <v>3143356.64243</v>
      </c>
      <c r="U4" s="266">
        <f>'Syn prin concurents par cat (2)'!C30</f>
        <v>3450116.1576600005</v>
      </c>
    </row>
    <row r="5" spans="1:21" ht="15.5" x14ac:dyDescent="0.35">
      <c r="A5" s="264" t="s">
        <v>20</v>
      </c>
      <c r="B5" s="266">
        <f>'Syn prin concurents par cat (2)'!H16</f>
        <v>926717.39599999995</v>
      </c>
      <c r="C5" s="266">
        <f>'Syn prin concurents par cat (2)'!G16</f>
        <v>951200.32100000011</v>
      </c>
      <c r="D5" s="266"/>
      <c r="E5" s="266">
        <f>'Syn prin concurents par cat (2)'!H18</f>
        <v>1165306.3545366684</v>
      </c>
      <c r="F5" s="266">
        <f>'Syn prin concurents par cat (2)'!G18</f>
        <v>1393341.4098533413</v>
      </c>
      <c r="G5" s="266"/>
      <c r="H5" s="266">
        <f>'Syn prin concurents par cat (2)'!H20</f>
        <v>489315.14800000004</v>
      </c>
      <c r="I5" s="266">
        <f>'Syn prin concurents par cat (2)'!G20</f>
        <v>434119.86899999995</v>
      </c>
      <c r="J5" s="266"/>
      <c r="K5" s="266">
        <f>'Syn prin concurents par cat (2)'!H24</f>
        <v>251180.28499999997</v>
      </c>
      <c r="L5" s="266">
        <f>'Syn prin concurents par cat (2)'!G24</f>
        <v>209701.78000000003</v>
      </c>
      <c r="M5" s="266"/>
      <c r="N5" s="266">
        <f>'Syn prin concurents par cat (2)'!H22</f>
        <v>375553.52</v>
      </c>
      <c r="O5" s="266">
        <f>'Syn prin concurents par cat (2)'!G22</f>
        <v>420953.54300000001</v>
      </c>
      <c r="P5" s="266"/>
      <c r="Q5" s="266">
        <f>'Syn prin concurents par cat (2)'!H26</f>
        <v>84957.421999999991</v>
      </c>
      <c r="R5" s="266">
        <f>'Syn prin concurents par cat (2)'!G26</f>
        <v>98756.197</v>
      </c>
      <c r="T5" s="266">
        <f>'Syn prin concurents par cat (2)'!H30</f>
        <v>3294311.6805366687</v>
      </c>
      <c r="U5" s="266">
        <f>'Syn prin concurents par cat (2)'!G30</f>
        <v>3508765.9748533415</v>
      </c>
    </row>
    <row r="6" spans="1:21" ht="15.5" x14ac:dyDescent="0.35">
      <c r="A6" s="264"/>
      <c r="B6" s="264"/>
      <c r="C6" s="264"/>
    </row>
    <row r="7" spans="1:21" ht="15.5" x14ac:dyDescent="0.35">
      <c r="A7" s="264"/>
      <c r="B7" s="266"/>
      <c r="C7" s="266"/>
    </row>
    <row r="8" spans="1:21" ht="15.5" x14ac:dyDescent="0.35">
      <c r="A8" s="264"/>
      <c r="B8" s="266"/>
      <c r="C8" s="266"/>
    </row>
    <row r="9" spans="1:21" ht="15.5" x14ac:dyDescent="0.35">
      <c r="A9" s="264"/>
      <c r="B9" s="269"/>
      <c r="C9" s="269"/>
      <c r="E9" s="269"/>
      <c r="F9" s="269"/>
      <c r="H9" s="269"/>
      <c r="I9" s="269"/>
      <c r="K9" s="269"/>
      <c r="L9" s="269"/>
      <c r="N9" s="269"/>
      <c r="O9" s="269"/>
      <c r="Q9" s="269"/>
      <c r="R9" s="269"/>
    </row>
    <row r="10" spans="1:21" ht="15.5" x14ac:dyDescent="0.35">
      <c r="A10" s="264"/>
      <c r="B10" s="269"/>
      <c r="C10" s="269"/>
      <c r="E10" s="269"/>
      <c r="F10" s="269"/>
      <c r="H10" s="269"/>
      <c r="I10" s="269"/>
      <c r="K10" s="269"/>
      <c r="L10" s="269"/>
      <c r="N10" s="269"/>
      <c r="O10" s="269"/>
      <c r="Q10" s="269"/>
      <c r="R10" s="269"/>
    </row>
    <row r="11" spans="1:21" ht="15.5" x14ac:dyDescent="0.35">
      <c r="A11" s="264"/>
      <c r="B11" s="266"/>
      <c r="C11" s="266"/>
    </row>
    <row r="12" spans="1:21" ht="18.5" x14ac:dyDescent="0.45">
      <c r="A12" s="327" t="s">
        <v>37</v>
      </c>
      <c r="B12" s="328"/>
      <c r="C12" s="328"/>
      <c r="D12" s="328"/>
      <c r="E12" s="328"/>
      <c r="F12" s="328"/>
    </row>
    <row r="13" spans="1:21" ht="17.5" x14ac:dyDescent="0.35">
      <c r="A13" s="328"/>
      <c r="B13" s="328"/>
      <c r="C13" s="328"/>
      <c r="D13" s="328"/>
      <c r="E13" s="328"/>
      <c r="F13" s="328"/>
    </row>
    <row r="14" spans="1:21" ht="17.5" x14ac:dyDescent="0.35">
      <c r="A14" s="328"/>
      <c r="B14" s="328"/>
      <c r="C14" s="328"/>
      <c r="D14" s="328"/>
      <c r="E14" s="328"/>
      <c r="F14" s="328"/>
    </row>
    <row r="15" spans="1:21" ht="17.5" x14ac:dyDescent="0.35">
      <c r="A15" s="328"/>
      <c r="B15" s="331">
        <v>43465</v>
      </c>
      <c r="C15" s="328" t="s">
        <v>38</v>
      </c>
      <c r="D15" s="328" t="s">
        <v>39</v>
      </c>
      <c r="E15" s="331">
        <v>43555</v>
      </c>
      <c r="F15" s="328"/>
    </row>
    <row r="16" spans="1:21" ht="17.5" x14ac:dyDescent="0.35">
      <c r="A16" s="328"/>
      <c r="B16" s="329"/>
      <c r="C16" s="329"/>
      <c r="D16" s="329"/>
      <c r="E16" s="329"/>
      <c r="F16" s="328"/>
    </row>
    <row r="17" spans="1:6" ht="17.5" x14ac:dyDescent="0.35">
      <c r="A17" s="328"/>
      <c r="B17" s="330">
        <f>'Syn prin concurents'!V54+54077000</f>
        <v>134114604.09965217</v>
      </c>
      <c r="C17" s="330">
        <v>727000</v>
      </c>
      <c r="D17" s="330">
        <f>'Syn prin concurents'!U54-'Syn prin concurents'!V54</f>
        <v>3133845.0088248253</v>
      </c>
      <c r="E17" s="330" t="s">
        <v>40</v>
      </c>
      <c r="F17" s="328"/>
    </row>
    <row r="18" spans="1:6" ht="17.5" x14ac:dyDescent="0.35">
      <c r="A18" s="328"/>
      <c r="B18" s="328"/>
      <c r="C18" s="328"/>
      <c r="D18" s="328"/>
      <c r="E18" s="328"/>
      <c r="F18" s="328"/>
    </row>
    <row r="19" spans="1:6" ht="17.5" x14ac:dyDescent="0.35">
      <c r="A19" s="328"/>
      <c r="B19" s="330"/>
      <c r="C19" s="328"/>
      <c r="D19" s="328"/>
      <c r="E19" s="328"/>
      <c r="F19" s="328"/>
    </row>
    <row r="20" spans="1:6" ht="17.5" x14ac:dyDescent="0.35">
      <c r="A20" s="328"/>
      <c r="B20" s="330"/>
      <c r="C20" s="330"/>
      <c r="D20" s="328"/>
      <c r="E20" s="328"/>
      <c r="F20" s="328"/>
    </row>
    <row r="21" spans="1:6" ht="18.5" x14ac:dyDescent="0.45">
      <c r="A21" s="327" t="s">
        <v>41</v>
      </c>
      <c r="B21" s="328"/>
      <c r="C21" s="328"/>
      <c r="D21" s="328"/>
      <c r="E21" s="328"/>
      <c r="F21" s="328"/>
    </row>
    <row r="22" spans="1:6" ht="17.5" x14ac:dyDescent="0.35">
      <c r="A22" s="328"/>
      <c r="B22" s="328"/>
      <c r="C22" s="328"/>
      <c r="D22" s="328"/>
      <c r="E22" s="328"/>
      <c r="F22" s="328"/>
    </row>
    <row r="23" spans="1:6" ht="17.5" x14ac:dyDescent="0.35">
      <c r="A23" s="328"/>
      <c r="B23" s="328"/>
      <c r="C23" s="328"/>
      <c r="D23" s="328"/>
      <c r="E23" s="328"/>
      <c r="F23" s="328"/>
    </row>
    <row r="24" spans="1:6" ht="17.5" x14ac:dyDescent="0.35">
      <c r="A24" s="328"/>
      <c r="B24" s="331">
        <v>43190</v>
      </c>
      <c r="C24" s="328" t="s">
        <v>13</v>
      </c>
      <c r="D24" s="328" t="s">
        <v>1</v>
      </c>
      <c r="E24" s="328" t="s">
        <v>42</v>
      </c>
      <c r="F24" s="333">
        <v>43555</v>
      </c>
    </row>
    <row r="25" spans="1:6" ht="17.5" x14ac:dyDescent="0.35">
      <c r="A25" s="328"/>
      <c r="B25" s="329"/>
      <c r="C25" s="329"/>
      <c r="D25" s="329"/>
      <c r="E25" s="328"/>
      <c r="F25" s="329"/>
    </row>
    <row r="26" spans="1:6" ht="17.5" x14ac:dyDescent="0.35">
      <c r="A26" s="328"/>
      <c r="B26" s="329">
        <f>'Syn prin concurents'!V30</f>
        <v>8681416.5394166689</v>
      </c>
      <c r="C26" s="329">
        <f>'Syn prin concurents'!I30-'Syn prin concurents'!J30</f>
        <v>-281575.51042999979</v>
      </c>
      <c r="D26" s="329">
        <f>'Syn prin concurents'!E30-'Syn prin concurents'!F30</f>
        <v>520725.68454667367</v>
      </c>
      <c r="E26" s="329">
        <f>'Syn prin concurents'!M30-'Syn prin concurents'!N30+('Syn prin concurents'!Q30-'Syn prin concurents'!R30)</f>
        <v>94957.706299999976</v>
      </c>
      <c r="F26" s="329" t="s">
        <v>40</v>
      </c>
    </row>
    <row r="27" spans="1:6" ht="17.5" x14ac:dyDescent="0.35">
      <c r="A27" s="328"/>
      <c r="B27" s="328"/>
      <c r="C27" s="328"/>
      <c r="D27" s="328"/>
      <c r="E27" s="328"/>
      <c r="F27" s="328"/>
    </row>
    <row r="28" spans="1:6" ht="17.5" x14ac:dyDescent="0.35">
      <c r="A28" s="328"/>
      <c r="B28" s="328"/>
      <c r="C28" s="328"/>
      <c r="D28" s="328"/>
      <c r="E28" s="328"/>
      <c r="F28" s="328"/>
    </row>
    <row r="29" spans="1:6" ht="17.5" x14ac:dyDescent="0.35">
      <c r="A29" s="328"/>
      <c r="B29" s="328"/>
      <c r="C29" s="328"/>
      <c r="D29" s="328"/>
      <c r="E29" s="328"/>
      <c r="F29" s="328"/>
    </row>
    <row r="30" spans="1:6" ht="17.5" x14ac:dyDescent="0.35">
      <c r="A30" s="328"/>
      <c r="B30" s="328"/>
      <c r="C30" s="328"/>
      <c r="D30" s="328"/>
      <c r="E30" s="328"/>
      <c r="F30" s="328"/>
    </row>
    <row r="31" spans="1:6" ht="17.5" x14ac:dyDescent="0.35">
      <c r="A31" s="328"/>
      <c r="B31" s="328"/>
      <c r="C31" s="328"/>
      <c r="D31" s="328"/>
      <c r="E31" s="328"/>
      <c r="F31" s="328"/>
    </row>
    <row r="32" spans="1:6" ht="17.5" x14ac:dyDescent="0.35">
      <c r="A32" s="328"/>
      <c r="B32" s="328"/>
      <c r="C32" s="328"/>
      <c r="D32" s="328"/>
      <c r="E32" s="328"/>
      <c r="F32" s="328"/>
    </row>
    <row r="33" spans="1:6" ht="17.5" x14ac:dyDescent="0.35">
      <c r="A33" s="328"/>
      <c r="B33" s="328"/>
      <c r="C33" s="328"/>
      <c r="D33" s="328"/>
      <c r="E33" s="328"/>
      <c r="F33" s="328"/>
    </row>
    <row r="34" spans="1:6" ht="17.5" x14ac:dyDescent="0.35">
      <c r="A34" s="328"/>
      <c r="B34" s="328"/>
      <c r="C34" s="328"/>
      <c r="D34" s="328"/>
      <c r="E34" s="328"/>
      <c r="F34" s="328"/>
    </row>
    <row r="35" spans="1:6" ht="17.5" x14ac:dyDescent="0.35">
      <c r="A35" s="328"/>
      <c r="B35" s="328"/>
      <c r="C35" s="328"/>
      <c r="D35" s="328"/>
      <c r="E35" s="328"/>
      <c r="F35" s="328"/>
    </row>
    <row r="36" spans="1:6" ht="17.5" x14ac:dyDescent="0.35">
      <c r="A36" s="328"/>
      <c r="B36" s="328"/>
      <c r="C36" s="328"/>
      <c r="D36" s="328"/>
      <c r="E36" s="328"/>
      <c r="F36" s="328"/>
    </row>
    <row r="37" spans="1:6" ht="17.5" x14ac:dyDescent="0.35">
      <c r="A37" s="328"/>
      <c r="B37" s="328"/>
      <c r="C37" s="328"/>
      <c r="D37" s="328"/>
      <c r="E37" s="328"/>
      <c r="F37" s="328"/>
    </row>
    <row r="38" spans="1:6" ht="17.5" x14ac:dyDescent="0.35">
      <c r="A38" s="328"/>
      <c r="B38" s="328"/>
      <c r="C38" s="328"/>
      <c r="D38" s="328"/>
      <c r="E38" s="328"/>
      <c r="F38" s="32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AA58"/>
  <sheetViews>
    <sheetView showGridLines="0" topLeftCell="A49" workbookViewId="0">
      <selection activeCell="F19" sqref="F19"/>
    </sheetView>
  </sheetViews>
  <sheetFormatPr baseColWidth="10" defaultColWidth="11.453125" defaultRowHeight="12.5" x14ac:dyDescent="0.25"/>
  <cols>
    <col min="13" max="13" width="22.1796875" bestFit="1" customWidth="1"/>
    <col min="14" max="16" width="14" bestFit="1" customWidth="1"/>
    <col min="17" max="18" width="12.81640625" bestFit="1" customWidth="1"/>
    <col min="19" max="19" width="14.1796875" bestFit="1" customWidth="1"/>
    <col min="20" max="20" width="13" bestFit="1" customWidth="1"/>
    <col min="21" max="21" width="22.1796875" bestFit="1" customWidth="1"/>
    <col min="24" max="24" width="14.1796875" bestFit="1" customWidth="1"/>
    <col min="25" max="25" width="13" bestFit="1" customWidth="1"/>
    <col min="26" max="26" width="19.453125" bestFit="1" customWidth="1"/>
  </cols>
  <sheetData>
    <row r="1" spans="1:27" ht="15.5" x14ac:dyDescent="0.35">
      <c r="A1" s="322" t="s">
        <v>43</v>
      </c>
      <c r="M1" s="322" t="s">
        <v>44</v>
      </c>
    </row>
    <row r="4" spans="1:27" ht="15.5" x14ac:dyDescent="0.35">
      <c r="A4" s="264"/>
      <c r="B4" s="264" t="s">
        <v>3</v>
      </c>
      <c r="C4" s="264" t="s">
        <v>2</v>
      </c>
      <c r="D4" s="264" t="s">
        <v>5</v>
      </c>
      <c r="E4" s="264" t="s">
        <v>6</v>
      </c>
      <c r="F4" s="264" t="s">
        <v>4</v>
      </c>
      <c r="G4" s="264" t="s">
        <v>7</v>
      </c>
      <c r="H4" s="264"/>
      <c r="I4" s="264"/>
      <c r="J4" s="264" t="s">
        <v>8</v>
      </c>
      <c r="M4" s="264"/>
      <c r="N4" s="266" t="s">
        <v>45</v>
      </c>
      <c r="O4" s="266" t="s">
        <v>46</v>
      </c>
      <c r="P4" s="266" t="s">
        <v>47</v>
      </c>
      <c r="Q4" s="266" t="s">
        <v>48</v>
      </c>
      <c r="S4" s="266" t="s">
        <v>49</v>
      </c>
      <c r="T4" s="266" t="s">
        <v>50</v>
      </c>
      <c r="U4" s="266" t="s">
        <v>51</v>
      </c>
      <c r="V4" s="264"/>
      <c r="W4" s="264"/>
      <c r="X4" s="266" t="s">
        <v>49</v>
      </c>
      <c r="Y4" s="266" t="s">
        <v>50</v>
      </c>
      <c r="Z4" s="266" t="s">
        <v>51</v>
      </c>
      <c r="AA4" s="266"/>
    </row>
    <row r="5" spans="1:27" ht="15.5" x14ac:dyDescent="0.35">
      <c r="A5" s="264"/>
      <c r="B5" s="264"/>
      <c r="C5" s="264"/>
      <c r="D5" s="264"/>
      <c r="E5" s="264"/>
      <c r="F5" s="264"/>
      <c r="G5" s="264"/>
      <c r="H5" s="264"/>
      <c r="I5" s="264"/>
      <c r="J5" s="264"/>
      <c r="M5" s="264"/>
      <c r="N5" s="266"/>
      <c r="O5" s="266"/>
      <c r="P5" s="266"/>
      <c r="Q5" s="264"/>
      <c r="V5" s="264"/>
      <c r="W5" s="264"/>
      <c r="X5" s="264"/>
      <c r="Y5" s="264"/>
      <c r="Z5" s="264"/>
      <c r="AA5" s="266"/>
    </row>
    <row r="6" spans="1:27" ht="15.5" x14ac:dyDescent="0.35">
      <c r="A6" s="265" t="str">
        <f>'Syn prin concurents par trim'!E13</f>
        <v>T1</v>
      </c>
      <c r="B6" s="266">
        <f>'Syn prin concurents par trim'!$Y$16</f>
        <v>1634995.3940300001</v>
      </c>
      <c r="C6" s="266">
        <f>'Syn prin concurents par trim'!$Y$18</f>
        <v>1704033.941463334</v>
      </c>
      <c r="D6" s="266">
        <f>'Syn prin concurents par trim'!$Y$20</f>
        <v>1046761.6078699999</v>
      </c>
      <c r="E6" s="266">
        <f>'Syn prin concurents par trim'!$Y$22</f>
        <v>705744.72009000008</v>
      </c>
      <c r="F6" s="266">
        <f>'Syn prin concurents par trim'!$Y$24</f>
        <v>593032.68648000003</v>
      </c>
      <c r="G6" s="266">
        <f>'Syn prin concurents par trim'!$Y$26</f>
        <v>246169.62301000001</v>
      </c>
      <c r="H6" s="264"/>
      <c r="I6" s="265" t="str">
        <f>A6</f>
        <v>T1</v>
      </c>
      <c r="J6" s="266">
        <f>'Syn prin concurents par trim'!$Y$30</f>
        <v>6241732.4338133344</v>
      </c>
      <c r="M6" s="264" t="s">
        <v>3</v>
      </c>
      <c r="N6" s="266" t="e">
        <f>#REF!</f>
        <v>#REF!</v>
      </c>
      <c r="O6" s="266">
        <f>'Syn prin concurents'!$U$42</f>
        <v>19525424.782476995</v>
      </c>
      <c r="P6" s="266">
        <f>'Syn prin concurents'!U40</f>
        <v>25157205.747000001</v>
      </c>
      <c r="Q6" s="266"/>
      <c r="V6" s="266"/>
      <c r="W6" s="264" t="s">
        <v>8</v>
      </c>
      <c r="X6" s="266">
        <f>'[1]Syn prin concurents'!$U$54</f>
        <v>62726433.118865341</v>
      </c>
      <c r="Y6" s="266">
        <f>'Syn prin concurents'!$U$54</f>
        <v>83171449.108476996</v>
      </c>
      <c r="Z6" s="266">
        <f>'Syn prin concurents'!U54</f>
        <v>83171449.108476996</v>
      </c>
      <c r="AA6" s="266"/>
    </row>
    <row r="7" spans="1:27" ht="15.5" x14ac:dyDescent="0.35">
      <c r="A7" s="265" t="str">
        <f>'Syn prin concurents par trim'!F13</f>
        <v>T2</v>
      </c>
      <c r="B7" s="266">
        <f>'Syn prin concurents par trim'!$Z$16</f>
        <v>1945128.2169700002</v>
      </c>
      <c r="C7" s="266">
        <f>'Syn prin concurents par trim'!$Z$18</f>
        <v>1571495.4998466661</v>
      </c>
      <c r="D7" s="266">
        <f>'Syn prin concurents par trim'!$Z$20</f>
        <v>1582837.66313</v>
      </c>
      <c r="E7" s="266">
        <f>'Syn prin concurents par trim'!$Z$22</f>
        <v>747398.61790999991</v>
      </c>
      <c r="F7" s="266">
        <f>'Syn prin concurents par trim'!$Z$24</f>
        <v>675311.68952000013</v>
      </c>
      <c r="G7" s="266">
        <f>'Syn prin concurents par trim'!$Z$26</f>
        <v>268512.78998999996</v>
      </c>
      <c r="H7" s="264"/>
      <c r="I7" s="265" t="str">
        <f>A7</f>
        <v>T2</v>
      </c>
      <c r="J7" s="266">
        <f>'Syn prin concurents par trim'!$Z$30</f>
        <v>7057059.0124966651</v>
      </c>
      <c r="M7" s="264" t="s">
        <v>4</v>
      </c>
      <c r="N7" s="266">
        <f>'[1]Syn prin concurents'!$U$46</f>
        <v>8199878.3830400007</v>
      </c>
      <c r="O7" s="266">
        <f>'Syn prin concurents'!$U$46</f>
        <v>9993113.0920000002</v>
      </c>
      <c r="P7" s="266">
        <f>'Syn prin concurents'!U48</f>
        <v>6280424.6069999998</v>
      </c>
      <c r="Q7" s="266"/>
      <c r="R7" s="266"/>
      <c r="S7" s="266"/>
      <c r="T7" s="264"/>
      <c r="U7" s="265"/>
      <c r="V7" s="266"/>
      <c r="Y7" s="266"/>
      <c r="Z7" s="266"/>
      <c r="AA7" s="266"/>
    </row>
    <row r="8" spans="1:27" ht="15.5" x14ac:dyDescent="0.35">
      <c r="A8" s="265" t="s">
        <v>52</v>
      </c>
      <c r="B8" s="266">
        <f>'Syn prin concurents par trim'!$AA$16</f>
        <v>1880202.03348</v>
      </c>
      <c r="C8" s="266">
        <f>'Syn prin concurents par trim'!$AA$18</f>
        <v>1502086.233233334</v>
      </c>
      <c r="D8" s="266">
        <f>'Syn prin concurents par trim'!$AA$20</f>
        <v>1182918.5870000003</v>
      </c>
      <c r="E8" s="266">
        <f>'Syn prin concurents par trim'!$AA$22</f>
        <v>708407.57699999982</v>
      </c>
      <c r="F8" s="266">
        <f>'Syn prin concurents par trim'!$AA$24</f>
        <v>566978.84900000005</v>
      </c>
      <c r="G8" s="266">
        <f>'Syn prin concurents par trim'!$AA$26</f>
        <v>221282.97425000009</v>
      </c>
      <c r="I8" s="265" t="s">
        <v>52</v>
      </c>
      <c r="J8" s="266">
        <f>'Syn prin concurents par trim'!$AA$30</f>
        <v>6331990.9319633357</v>
      </c>
      <c r="M8" s="264" t="s">
        <v>6</v>
      </c>
      <c r="N8" s="266">
        <f>'[1]Syn prin concurents'!$U$48</f>
        <v>4441192.5110100005</v>
      </c>
      <c r="O8" s="266">
        <f>'Syn prin concurents'!$U$48</f>
        <v>6280424.6069999998</v>
      </c>
      <c r="P8" s="266">
        <f>'Syn prin concurents'!U46</f>
        <v>9993113.0920000002</v>
      </c>
      <c r="Q8" s="266"/>
      <c r="R8" s="264"/>
      <c r="S8" s="266" t="s">
        <v>49</v>
      </c>
      <c r="T8" s="266" t="s">
        <v>50</v>
      </c>
      <c r="U8" s="266" t="s">
        <v>51</v>
      </c>
      <c r="V8" s="266"/>
      <c r="Y8" s="266"/>
      <c r="Z8" s="266"/>
      <c r="AA8" s="266"/>
    </row>
    <row r="9" spans="1:27" ht="15.5" x14ac:dyDescent="0.35">
      <c r="A9" s="265" t="s">
        <v>53</v>
      </c>
      <c r="B9" s="266">
        <f>'Syn prin concurents par trim'!$AB$16</f>
        <v>-3123492.8314800002</v>
      </c>
      <c r="C9" s="266">
        <f>'Syn prin concurents par trim'!$AB$18</f>
        <v>-1477598.6437099923</v>
      </c>
      <c r="D9" s="266">
        <f>'Syn prin concurents par trim'!$AB$20</f>
        <v>-2818794.5870000003</v>
      </c>
      <c r="E9" s="266">
        <f>'Syn prin concurents par trim'!$AB$22</f>
        <v>-1221240.2089999998</v>
      </c>
      <c r="F9" s="266">
        <f>'Syn prin concurents par trim'!$AB$24</f>
        <v>-956588.1610000002</v>
      </c>
      <c r="G9" s="266">
        <f>'Syn prin concurents par trim'!$AB$26</f>
        <v>-482846.35825000005</v>
      </c>
      <c r="I9" s="265" t="s">
        <v>53</v>
      </c>
      <c r="J9" s="266">
        <f>'Syn prin concurents par trim'!$AB$30</f>
        <v>-10615257.958439993</v>
      </c>
      <c r="M9" s="264" t="s">
        <v>7</v>
      </c>
      <c r="N9" s="266">
        <f>'[1]Syn prin concurents'!$U$50</f>
        <v>2667926.0102599999</v>
      </c>
      <c r="O9" s="266">
        <f>'Syn prin concurents'!$U$50</f>
        <v>2505963.4099999997</v>
      </c>
      <c r="P9" s="266">
        <f>'Syn prin concurents'!U50</f>
        <v>2505963.4099999997</v>
      </c>
      <c r="Q9" s="266"/>
      <c r="R9" s="264"/>
      <c r="S9" s="266"/>
      <c r="T9" s="266"/>
      <c r="U9" s="266"/>
      <c r="V9" s="266"/>
      <c r="Y9" s="266"/>
      <c r="Z9" s="266"/>
      <c r="AA9" s="266"/>
    </row>
    <row r="10" spans="1:27" ht="15.5" x14ac:dyDescent="0.35">
      <c r="M10" s="264" t="s">
        <v>2</v>
      </c>
      <c r="N10" s="266">
        <f>'[1]Syn prin concurents'!$U$42</f>
        <v>13503208.884485336</v>
      </c>
      <c r="O10" s="266">
        <f>'Syn prin concurents'!$U$40</f>
        <v>25157205.747000001</v>
      </c>
      <c r="P10" s="266">
        <f>'Syn prin concurents'!U42</f>
        <v>19525424.782476995</v>
      </c>
    </row>
    <row r="11" spans="1:27" ht="15.5" x14ac:dyDescent="0.35">
      <c r="M11" s="264" t="s">
        <v>5</v>
      </c>
      <c r="N11" s="266">
        <f>'[1]Syn prin concurents'!$U$44</f>
        <v>13568645.909390001</v>
      </c>
      <c r="O11" s="266">
        <f>'Syn prin concurents'!$U$44</f>
        <v>16332672.268999999</v>
      </c>
      <c r="P11" s="266">
        <f>'Syn prin concurents'!U44</f>
        <v>16332672.268999999</v>
      </c>
    </row>
    <row r="12" spans="1:27" ht="15.5" x14ac:dyDescent="0.35">
      <c r="A12" s="264"/>
      <c r="B12" s="264"/>
      <c r="C12" s="265" t="s">
        <v>54</v>
      </c>
      <c r="D12" s="265" t="s">
        <v>55</v>
      </c>
      <c r="E12" s="265" t="s">
        <v>52</v>
      </c>
      <c r="F12" s="265" t="s">
        <v>53</v>
      </c>
      <c r="R12" s="264"/>
      <c r="S12" s="266" t="s">
        <v>49</v>
      </c>
      <c r="T12" s="266" t="s">
        <v>50</v>
      </c>
      <c r="U12" s="266" t="s">
        <v>51</v>
      </c>
    </row>
    <row r="13" spans="1:27" ht="15.5" x14ac:dyDescent="0.35">
      <c r="A13" s="264" t="s">
        <v>3</v>
      </c>
      <c r="B13" s="264"/>
      <c r="C13" s="270">
        <f>'Syn prin concurents par trim'!$Y$17</f>
        <v>0.26194576768025818</v>
      </c>
      <c r="D13" s="270">
        <f>'Syn prin concurents par trim'!$Z$17</f>
        <v>0.27562873054137144</v>
      </c>
      <c r="E13" s="270">
        <f>'Syn prin concurents par trim'!$AA$17</f>
        <v>0.29693694347995742</v>
      </c>
      <c r="F13" s="270">
        <f>'Syn prin concurents par trim'!$AB$17</f>
        <v>0.29424558910474424</v>
      </c>
      <c r="M13" s="264"/>
      <c r="N13" s="266" t="s">
        <v>45</v>
      </c>
      <c r="O13" s="266" t="s">
        <v>46</v>
      </c>
      <c r="P13" s="266" t="s">
        <v>47</v>
      </c>
      <c r="R13" s="264"/>
      <c r="S13" s="266"/>
      <c r="T13" s="266"/>
      <c r="U13" s="266"/>
    </row>
    <row r="14" spans="1:27" ht="15.5" x14ac:dyDescent="0.35">
      <c r="A14" s="264" t="s">
        <v>2</v>
      </c>
      <c r="B14" s="264"/>
      <c r="C14" s="270">
        <f>'Syn prin concurents par trim'!$Y$19</f>
        <v>0.27300656661155032</v>
      </c>
      <c r="D14" s="270">
        <f>'Syn prin concurents par trim'!$Z$19</f>
        <v>0.22268419423216618</v>
      </c>
      <c r="E14" s="270">
        <f>'Syn prin concurents par trim'!$AA$19</f>
        <v>0.23722179159337298</v>
      </c>
      <c r="F14" s="270">
        <f>'Syn prin concurents par trim'!$AB$19</f>
        <v>0.13919573593924595</v>
      </c>
    </row>
    <row r="15" spans="1:27" ht="15.5" x14ac:dyDescent="0.35">
      <c r="A15" s="264" t="s">
        <v>5</v>
      </c>
      <c r="B15" s="264"/>
      <c r="C15" s="270">
        <f>'Syn prin concurents par trim'!$Y$21</f>
        <v>0.16770369748619449</v>
      </c>
      <c r="D15" s="270">
        <f>'Syn prin concurents par trim'!$Z$21</f>
        <v>0.22429140245633564</v>
      </c>
      <c r="E15" s="270">
        <f>'Syn prin concurents par trim'!$AA$21</f>
        <v>0.18681621621230232</v>
      </c>
      <c r="F15" s="270">
        <f>'Syn prin concurents par trim'!$AB$21</f>
        <v>0.26554178881341545</v>
      </c>
      <c r="M15" t="s">
        <v>8</v>
      </c>
      <c r="N15" s="266">
        <v>53521667.407983914</v>
      </c>
      <c r="O15" s="266">
        <v>55862868.911523916</v>
      </c>
      <c r="P15" s="266">
        <v>55874221.947113901</v>
      </c>
    </row>
    <row r="16" spans="1:27" ht="15.5" x14ac:dyDescent="0.35">
      <c r="A16" s="264" t="s">
        <v>6</v>
      </c>
      <c r="B16" s="264"/>
      <c r="C16" s="270">
        <f>'Syn prin concurents par trim'!$Y$23</f>
        <v>0.11306872371951888</v>
      </c>
      <c r="D16" s="270">
        <f>'Syn prin concurents par trim'!$Z$23</f>
        <v>0.10590794502164483</v>
      </c>
      <c r="E16" s="270">
        <f>'Syn prin concurents par trim'!$AA$23</f>
        <v>0.11187754129969145</v>
      </c>
      <c r="F16" s="270">
        <f>'Syn prin concurents par trim'!$AB$23</f>
        <v>0.1150457401771395</v>
      </c>
    </row>
    <row r="17" spans="1:22" ht="15.5" x14ac:dyDescent="0.35">
      <c r="A17" s="264" t="s">
        <v>4</v>
      </c>
      <c r="B17" s="264"/>
      <c r="C17" s="270">
        <f>'Syn prin concurents par trim'!$Y$25</f>
        <v>9.5010911276389276E-2</v>
      </c>
      <c r="D17" s="270">
        <f>'Syn prin concurents par trim'!$Z$25</f>
        <v>9.5693076722775841E-2</v>
      </c>
      <c r="E17" s="270">
        <f>'Syn prin concurents par trim'!$AA$25</f>
        <v>8.954195530160039E-2</v>
      </c>
      <c r="F17" s="270">
        <f>'Syn prin concurents par trim'!$AB$25</f>
        <v>9.011445268171131E-2</v>
      </c>
      <c r="M17" s="322" t="s">
        <v>56</v>
      </c>
    </row>
    <row r="18" spans="1:22" ht="15.5" x14ac:dyDescent="0.35">
      <c r="A18" s="264" t="s">
        <v>7</v>
      </c>
      <c r="B18" s="264"/>
      <c r="C18" s="270">
        <f>'Syn prin concurents par trim'!$Y$27</f>
        <v>3.9439310419079394E-2</v>
      </c>
      <c r="D18" s="270">
        <f>'Syn prin concurents par trim'!$Z$27</f>
        <v>3.8048823102444881E-2</v>
      </c>
      <c r="E18" s="270">
        <f>'Syn prin concurents par trim'!$AA$27</f>
        <v>3.4946824249697361E-2</v>
      </c>
      <c r="F18" s="270">
        <f>'Syn prin concurents par trim'!$AB$27</f>
        <v>4.5486069216631515E-2</v>
      </c>
    </row>
    <row r="19" spans="1:22" ht="15.5" x14ac:dyDescent="0.35">
      <c r="A19" s="264" t="s">
        <v>12</v>
      </c>
      <c r="B19" s="264"/>
      <c r="C19" s="270">
        <f>('Syn prin concurents par trim'!$Y$30-'Syn prin concurents par trim'!$Y$18-'Syn prin concurents par trim'!$Y$16-'Syn prin concurents par trim'!$Y$24-'Syn prin concurents par trim'!$Y$20-'Syn prin concurents par trim'!$Y$22-'Syn prin concurents par trim'!$Y$26-'Syn prin concurents par trim'!$Y$28)/'Syn prin concurents par trim'!$Y$30</f>
        <v>2.6563788351738758E-2</v>
      </c>
      <c r="D19" s="270">
        <f>('Syn prin concurents par trim'!$Z$30-'Syn prin concurents par trim'!$Z$18-'Syn prin concurents par trim'!$Z$16-'Syn prin concurents par trim'!$Z$24-'Syn prin concurents par trim'!$Z$20-'Syn prin concurents par trim'!$Z$22-'Syn prin concurents par trim'!$Z$26-'Syn prin concurents par trim'!$Z$28)/'Syn prin concurents par trim'!$Z$30</f>
        <v>1.9183248069808125E-2</v>
      </c>
      <c r="E19" s="270">
        <f>('Syn prin concurents par trim'!$AA$30-'Syn prin concurents par trim'!$AA$18-'Syn prin concurents par trim'!$AA$16-'Syn prin concurents par trim'!$AA$24-'Syn prin concurents par trim'!$AA$20-'Syn prin concurents par trim'!$AA$22-'Syn prin concurents par trim'!$AA$26-'Syn prin concurents par trim'!$AA$28)/'Syn prin concurents par trim'!$AA$30</f>
        <v>1.954025445226551E-2</v>
      </c>
      <c r="F19" s="270">
        <f>('Syn prin concurents par trim'!$AB$30-'Syn prin concurents par trim'!$AB$18-'Syn prin concurents par trim'!$AB$16-'Syn prin concurents par trim'!$AB$24-'Syn prin concurents par trim'!$AB$20-'Syn prin concurents par trim'!$AB$22-'Syn prin concurents par trim'!$AB$26-'Syn prin concurents par trim'!$AB$28)/'Syn prin concurents par trim'!$AB$30</f>
        <v>1.9440632230319038E-2</v>
      </c>
    </row>
    <row r="20" spans="1:22" ht="15.5" x14ac:dyDescent="0.35">
      <c r="M20" s="265"/>
      <c r="N20" s="266" t="s">
        <v>45</v>
      </c>
      <c r="O20" s="266" t="s">
        <v>46</v>
      </c>
      <c r="P20" s="266" t="s">
        <v>47</v>
      </c>
      <c r="Q20" s="264"/>
      <c r="R20" s="264"/>
      <c r="S20" s="264"/>
      <c r="T20" s="264"/>
      <c r="U20" s="264"/>
      <c r="V20" s="264"/>
    </row>
    <row r="21" spans="1:22" ht="15.5" x14ac:dyDescent="0.35">
      <c r="M21" s="264"/>
      <c r="N21" s="264"/>
      <c r="O21" s="264"/>
      <c r="P21" s="264"/>
      <c r="Q21" s="264"/>
      <c r="R21" s="264"/>
      <c r="S21" s="264"/>
      <c r="T21" s="264"/>
      <c r="U21" s="264"/>
      <c r="V21" s="264"/>
    </row>
    <row r="22" spans="1:22" s="264" customFormat="1" ht="15.5" x14ac:dyDescent="0.35">
      <c r="A22" s="322" t="s">
        <v>1</v>
      </c>
      <c r="M22" s="264" t="s">
        <v>3</v>
      </c>
      <c r="N22" s="271">
        <f>+'[1]Syn prin concurents'!$U$110</f>
        <v>0.22893223943598948</v>
      </c>
      <c r="O22" s="271">
        <f>+'Syn prin concurents'!$U$115</f>
        <v>0.11040645611036166</v>
      </c>
      <c r="P22" s="271" t="e">
        <f>+'Syn prin concurents'!#REF!</f>
        <v>#REF!</v>
      </c>
      <c r="Q22" s="267"/>
      <c r="R22" s="267"/>
      <c r="S22" s="267"/>
      <c r="U22" s="265"/>
      <c r="V22" s="267"/>
    </row>
    <row r="23" spans="1:22" s="264" customFormat="1" ht="15.5" x14ac:dyDescent="0.35">
      <c r="M23" s="264" t="s">
        <v>2</v>
      </c>
      <c r="N23" s="271">
        <f>+'[1]Syn prin concurents'!$U$111</f>
        <v>0.18823776308522466</v>
      </c>
      <c r="O23" s="271" t="e">
        <f>+'Syn prin concurents'!#REF!</f>
        <v>#REF!</v>
      </c>
      <c r="P23" s="271">
        <f>+'Syn prin concurents'!U115</f>
        <v>0.11040645611036166</v>
      </c>
      <c r="Q23" s="267"/>
      <c r="R23" s="267"/>
      <c r="S23" s="267"/>
      <c r="U23" s="265"/>
      <c r="V23" s="267"/>
    </row>
    <row r="24" spans="1:22" s="264" customFormat="1" ht="15.5" x14ac:dyDescent="0.35">
      <c r="B24" s="264" t="s">
        <v>2</v>
      </c>
      <c r="C24" s="264" t="s">
        <v>5</v>
      </c>
      <c r="D24" s="264" t="s">
        <v>3</v>
      </c>
      <c r="E24" s="264" t="s">
        <v>4</v>
      </c>
      <c r="F24" s="264" t="s">
        <v>6</v>
      </c>
      <c r="G24" s="264" t="s">
        <v>7</v>
      </c>
      <c r="J24" s="264" t="s">
        <v>8</v>
      </c>
      <c r="M24" s="264" t="s">
        <v>5</v>
      </c>
      <c r="N24" s="271">
        <f>+'[1]Syn prin concurents'!$U$112</f>
        <v>0.187651806826131</v>
      </c>
      <c r="O24" s="271">
        <f>+'Syn prin concurents'!$U$116</f>
        <v>0.16140025304263403</v>
      </c>
      <c r="P24" s="271">
        <f>+'Syn prin concurents'!U116</f>
        <v>0.16140025304263403</v>
      </c>
      <c r="Q24" s="267"/>
      <c r="R24" s="267"/>
      <c r="S24" s="267"/>
      <c r="T24"/>
      <c r="U24" s="265"/>
      <c r="V24" s="267"/>
    </row>
    <row r="25" spans="1:22" s="264" customFormat="1" ht="15.5" x14ac:dyDescent="0.35">
      <c r="M25" s="264" t="s">
        <v>6</v>
      </c>
      <c r="N25" s="271">
        <f>+'[1]Syn prin concurents'!$U$114</f>
        <v>0.12345176425610196</v>
      </c>
      <c r="O25" s="271">
        <f>+'Syn prin concurents'!$U$113</f>
        <v>0.12052687979617745</v>
      </c>
      <c r="P25" s="271">
        <f>+'Syn prin concurents'!U111</f>
        <v>0.15198609477548489</v>
      </c>
      <c r="Q25" s="267"/>
      <c r="R25" s="267"/>
      <c r="S25" s="267"/>
      <c r="T25"/>
      <c r="U25" s="265"/>
      <c r="V25" s="267"/>
    </row>
    <row r="26" spans="1:22" s="264" customFormat="1" ht="15.5" x14ac:dyDescent="0.35">
      <c r="A26" s="265" t="s">
        <v>54</v>
      </c>
      <c r="B26" s="266">
        <f>'Syn prin concurents par trim'!$E$18</f>
        <v>1394379.611353334</v>
      </c>
      <c r="C26" s="266">
        <f>'Syn prin concurents par trim'!$E$20</f>
        <v>768372.06414999999</v>
      </c>
      <c r="D26" s="266">
        <f>'Syn prin concurents par trim'!$E$16</f>
        <v>826975.06347000017</v>
      </c>
      <c r="E26" s="266">
        <f>'Syn prin concurents par trim'!$E$24</f>
        <v>593032.68648000003</v>
      </c>
      <c r="F26" s="266">
        <f>'Syn prin concurents par trim'!$E$22</f>
        <v>368706.85749000002</v>
      </c>
      <c r="G26" s="266">
        <f>'Syn prin concurents par trim'!$E$26</f>
        <v>121150.02389</v>
      </c>
      <c r="H26" s="266"/>
      <c r="I26" s="265" t="s">
        <v>54</v>
      </c>
      <c r="J26" s="266">
        <f>'Syn prin concurents par trim'!$E$30</f>
        <v>4217809.5379933342</v>
      </c>
      <c r="M26" s="264" t="s">
        <v>4</v>
      </c>
      <c r="N26" s="271">
        <f>+'[1]Syn prin concurents'!$U$113</f>
        <v>0.13799757915660688</v>
      </c>
      <c r="O26" s="271">
        <f>+'Syn prin concurents'!$U$111</f>
        <v>0.15198609477548489</v>
      </c>
      <c r="P26" s="271">
        <f>+'Syn prin concurents'!U113</f>
        <v>0.12052687979617745</v>
      </c>
    </row>
    <row r="27" spans="1:22" s="264" customFormat="1" ht="15.5" x14ac:dyDescent="0.35">
      <c r="A27" s="265" t="s">
        <v>55</v>
      </c>
      <c r="B27" s="266">
        <f>'Syn prin concurents par trim'!$F$18</f>
        <v>1288206.3933066661</v>
      </c>
      <c r="C27" s="266">
        <f>'Syn prin concurents par trim'!$F$20</f>
        <v>1264426.1538499999</v>
      </c>
      <c r="D27" s="266">
        <f>'Syn prin concurents par trim'!$F$16</f>
        <v>1014273.70753</v>
      </c>
      <c r="E27" s="266">
        <f>'Syn prin concurents par trim'!$F$24</f>
        <v>675311.68952000013</v>
      </c>
      <c r="F27" s="266">
        <f>'Syn prin concurents par trim'!$F$22</f>
        <v>374165.15850999992</v>
      </c>
      <c r="G27" s="266">
        <f>'Syn prin concurents par trim'!$F$26</f>
        <v>144083.32610999997</v>
      </c>
      <c r="H27" s="266"/>
      <c r="I27" s="265" t="s">
        <v>55</v>
      </c>
      <c r="J27" s="266">
        <f>'Syn prin concurents par trim'!$F$30</f>
        <v>4897586.825666666</v>
      </c>
      <c r="M27" s="264" t="s">
        <v>7</v>
      </c>
      <c r="N27" s="271">
        <f>+'[1]Syn prin concurents'!$U$115</f>
        <v>0.1048285144167045</v>
      </c>
      <c r="O27" s="271">
        <f>+'Syn prin concurents'!$U$110</f>
        <v>0.27698310291620243</v>
      </c>
      <c r="P27" s="271">
        <f>+'Syn prin concurents'!U110</f>
        <v>0.27698310291620243</v>
      </c>
    </row>
    <row r="28" spans="1:22" ht="15.5" x14ac:dyDescent="0.35">
      <c r="A28" s="265" t="s">
        <v>52</v>
      </c>
      <c r="B28" s="266">
        <f>'Syn prin concurents par trim'!$G$18</f>
        <v>1208298.083523334</v>
      </c>
      <c r="C28" s="266">
        <f>'Syn prin concurents par trim'!$G$20</f>
        <v>843832.47100000037</v>
      </c>
      <c r="D28" s="266">
        <f>'Syn prin concurents par trim'!$G$16</f>
        <v>997576.37399999984</v>
      </c>
      <c r="E28" s="266">
        <f>'Syn prin concurents par trim'!$G$24</f>
        <v>566978.84900000005</v>
      </c>
      <c r="F28" s="266">
        <f>'Syn prin concurents par trim'!$G$22</f>
        <v>319322.7759999999</v>
      </c>
      <c r="G28" s="266">
        <f>'Syn prin concurents par trim'!$G$26</f>
        <v>111793.54000000005</v>
      </c>
      <c r="I28" s="265" t="s">
        <v>52</v>
      </c>
      <c r="J28" s="266">
        <f>'Syn prin concurents par trim'!$G$30</f>
        <v>4170695.0865233354</v>
      </c>
      <c r="M28" s="264" t="s">
        <v>8</v>
      </c>
      <c r="N28" s="271">
        <f>+'[1]Syn prin concurents'!$U$117</f>
        <v>0.13351451078723792</v>
      </c>
      <c r="O28" s="271">
        <f>+'Syn prin concurents'!$U$117</f>
        <v>0.13185744034530225</v>
      </c>
      <c r="P28" s="271">
        <f>+'Syn prin concurents'!U117</f>
        <v>0.13185744034530225</v>
      </c>
    </row>
    <row r="29" spans="1:22" ht="15.5" x14ac:dyDescent="0.35">
      <c r="A29" s="265" t="s">
        <v>53</v>
      </c>
      <c r="B29" s="266">
        <f>'Syn prin concurents par trim'!$H$18</f>
        <v>-1019954.9636699921</v>
      </c>
      <c r="C29" s="266">
        <f>'Syn prin concurents par trim'!$H$20</f>
        <v>-2095564.9090000002</v>
      </c>
      <c r="D29" s="266">
        <f>'Syn prin concurents par trim'!$H$16</f>
        <v>-1428452.49</v>
      </c>
      <c r="E29" s="266">
        <f>'Syn prin concurents par trim'!$H$24</f>
        <v>-956588.1610000002</v>
      </c>
      <c r="F29" s="266">
        <f>'Syn prin concurents par trim'!$H$22</f>
        <v>-406863.58599999984</v>
      </c>
      <c r="G29" s="266">
        <f>'Syn prin concurents par trim'!$H$26</f>
        <v>-226002.45400000003</v>
      </c>
      <c r="I29" s="265" t="s">
        <v>53</v>
      </c>
      <c r="J29" s="266">
        <f>'Syn prin concurents par trim'!$H$30</f>
        <v>-6327209.3176699933</v>
      </c>
    </row>
    <row r="32" spans="1:22" ht="15.5" x14ac:dyDescent="0.35">
      <c r="A32" s="264"/>
      <c r="B32" s="264"/>
      <c r="C32" s="265" t="s">
        <v>54</v>
      </c>
      <c r="D32" s="265" t="s">
        <v>55</v>
      </c>
      <c r="E32" s="265" t="s">
        <v>52</v>
      </c>
      <c r="F32" s="265" t="s">
        <v>53</v>
      </c>
    </row>
    <row r="33" spans="1:10" ht="15.5" x14ac:dyDescent="0.35">
      <c r="A33" s="264" t="s">
        <v>2</v>
      </c>
      <c r="B33" s="264"/>
      <c r="C33" s="271">
        <f>'Syn prin concurents par trim'!$E$19</f>
        <v>0.33059330887110761</v>
      </c>
      <c r="D33" s="271">
        <f>'Syn prin concurents par trim'!$F$19</f>
        <v>0.26302880156316855</v>
      </c>
      <c r="E33" s="271">
        <f>'Syn prin concurents par trim'!$G$19</f>
        <v>0.28971144100840118</v>
      </c>
      <c r="F33" s="271">
        <f>'Syn prin concurents par trim'!$H$19</f>
        <v>0.16120139424209731</v>
      </c>
    </row>
    <row r="34" spans="1:10" ht="15.5" x14ac:dyDescent="0.35">
      <c r="A34" s="264" t="s">
        <v>5</v>
      </c>
      <c r="B34" s="264"/>
      <c r="C34" s="271">
        <f>'Syn prin concurents par trim'!$E$21</f>
        <v>0.18217324827700987</v>
      </c>
      <c r="D34" s="271">
        <f>'Syn prin concurents par trim'!$F$21</f>
        <v>0.2581733002105347</v>
      </c>
      <c r="E34" s="271">
        <f>'Syn prin concurents par trim'!$G$21</f>
        <v>0.20232418181963374</v>
      </c>
      <c r="F34" s="271">
        <f>'Syn prin concurents par trim'!$H$21</f>
        <v>0.33119892258783307</v>
      </c>
    </row>
    <row r="35" spans="1:10" ht="15.5" x14ac:dyDescent="0.35">
      <c r="A35" s="264" t="s">
        <v>3</v>
      </c>
      <c r="C35" s="271">
        <f>'Syn prin concurents par trim'!$E$17</f>
        <v>0.19606742694774262</v>
      </c>
      <c r="D35" s="271">
        <f>'Syn prin concurents par trim'!$F$17</f>
        <v>0.20709662608011767</v>
      </c>
      <c r="E35" s="271">
        <f>'Syn prin concurents par trim'!$G$17</f>
        <v>0.23918707872542488</v>
      </c>
      <c r="F35" s="271">
        <f>'Syn prin concurents par trim'!$H$17</f>
        <v>0.22576343191472451</v>
      </c>
    </row>
    <row r="36" spans="1:10" ht="15.5" x14ac:dyDescent="0.35">
      <c r="A36" s="264" t="s">
        <v>4</v>
      </c>
      <c r="B36" s="264"/>
      <c r="C36" s="271">
        <f>'Syn prin concurents par trim'!$E$25</f>
        <v>0.14060205448777599</v>
      </c>
      <c r="D36" s="271">
        <f>'Syn prin concurents par trim'!$F$25</f>
        <v>0.13788661917761424</v>
      </c>
      <c r="E36" s="271">
        <f>'Syn prin concurents par trim'!$G$25</f>
        <v>0.13594349077017517</v>
      </c>
      <c r="F36" s="271">
        <f>'Syn prin concurents par trim'!$H$25</f>
        <v>0.15118642563768786</v>
      </c>
    </row>
    <row r="37" spans="1:10" ht="15.5" x14ac:dyDescent="0.35">
      <c r="A37" s="264" t="s">
        <v>6</v>
      </c>
      <c r="B37" s="264"/>
      <c r="C37" s="271">
        <f>'Syn prin concurents par trim'!$E$23</f>
        <v>8.7416668336668432E-2</v>
      </c>
      <c r="D37" s="271">
        <f>'Syn prin concurents par trim'!$F$23</f>
        <v>7.639786119750272E-2</v>
      </c>
      <c r="E37" s="271">
        <f>'Syn prin concurents par trim'!$G$23</f>
        <v>7.6563443113312146E-2</v>
      </c>
      <c r="F37" s="271">
        <f>'Syn prin concurents par trim'!$H$23</f>
        <v>6.4303797388803333E-2</v>
      </c>
    </row>
    <row r="38" spans="1:10" ht="15.5" x14ac:dyDescent="0.35">
      <c r="A38" s="264" t="s">
        <v>7</v>
      </c>
      <c r="B38" s="264"/>
      <c r="C38" s="271">
        <f>'Syn prin concurents par trim'!$E$27</f>
        <v>2.8723445854702663E-2</v>
      </c>
      <c r="D38" s="271">
        <f>'Syn prin concurents par trim'!$F$27</f>
        <v>2.9419248956426034E-2</v>
      </c>
      <c r="E38" s="271">
        <f>'Syn prin concurents par trim'!$G$27</f>
        <v>2.6804534419510976E-2</v>
      </c>
      <c r="F38" s="271">
        <f>'Syn prin concurents par trim'!$H$27</f>
        <v>3.5719136613489792E-2</v>
      </c>
    </row>
    <row r="39" spans="1:10" ht="15.5" x14ac:dyDescent="0.35">
      <c r="A39" s="264" t="s">
        <v>12</v>
      </c>
      <c r="B39" s="264"/>
      <c r="C39" s="271">
        <f>('Syn prin concurents par trim'!$E$30-'Syn prin concurents par trim'!$E$18-'Syn prin concurents par trim'!$E$16-'Syn prin concurents par trim'!$E$24-'Syn prin concurents par trim'!E20-'Syn prin concurents par trim'!$E$22-'Syn prin concurents par trim'!$E$26-'Syn prin concurents par trim'!$E$28)/'Syn prin concurents par trim'!$E$30</f>
        <v>3.3672825441892811E-2</v>
      </c>
      <c r="D39" s="271">
        <f>('Syn prin concurents par trim'!$F$30-'Syn prin concurents par trim'!$F$18-'Syn prin concurents par trim'!$F$16-'Syn prin concurents par trim'!$F$24-'Syn prin concurents par trim'!F20-'Syn prin concurents par trim'!$F$22-'Syn prin concurents par trim'!$F$26-'Syn prin concurents par trim'!$F$28)/'Syn prin concurents par trim'!$F$30</f>
        <v>2.7320858505001811E-2</v>
      </c>
      <c r="E39" s="271">
        <f>('Syn prin concurents par trim'!$G$30-'Syn prin concurents par trim'!$G$18-'Syn prin concurents par trim'!$G$16-'Syn prin concurents par trim'!$G$24-'Syn prin concurents par trim'!G20-'Syn prin concurents par trim'!$G$22-'Syn prin concurents par trim'!$G$26-'Syn prin concurents par trim'!$G$28)/'Syn prin concurents par trim'!$G$30</f>
        <v>2.9246496439921145E-2</v>
      </c>
      <c r="F39" s="271">
        <f>('Syn prin concurents par trim'!$H$30-'Syn prin concurents par trim'!$H$18-'Syn prin concurents par trim'!$H$16-'Syn prin concurents par trim'!$H$24-'Syn prin concurents par trim'!H20-'Syn prin concurents par trim'!$H$22-'Syn prin concurents par trim'!$H$26-'Syn prin concurents par trim'!$H$28)/'Syn prin concurents par trim'!$H$30</f>
        <v>2.960570444174622E-2</v>
      </c>
    </row>
    <row r="42" spans="1:10" ht="15.5" x14ac:dyDescent="0.35">
      <c r="A42" s="322" t="s">
        <v>13</v>
      </c>
    </row>
    <row r="44" spans="1:10" s="264" customFormat="1" ht="15.5" x14ac:dyDescent="0.35">
      <c r="B44" s="264" t="s">
        <v>3</v>
      </c>
      <c r="C44" s="264" t="s">
        <v>6</v>
      </c>
      <c r="D44" s="264" t="s">
        <v>2</v>
      </c>
      <c r="E44" s="264" t="s">
        <v>5</v>
      </c>
      <c r="F44" s="264" t="s">
        <v>7</v>
      </c>
      <c r="J44" s="264" t="s">
        <v>8</v>
      </c>
    </row>
    <row r="45" spans="1:10" s="264" customFormat="1" ht="15.5" x14ac:dyDescent="0.35"/>
    <row r="46" spans="1:10" s="264" customFormat="1" ht="15.5" x14ac:dyDescent="0.35">
      <c r="A46" s="265" t="s">
        <v>54</v>
      </c>
      <c r="B46" s="266">
        <f>'Syn prin concurents par trim'!$J$16</f>
        <v>638934.88188999996</v>
      </c>
      <c r="C46" s="266">
        <f>'Syn prin concurents par trim'!$J$22</f>
        <v>336925.96260000003</v>
      </c>
      <c r="D46" s="266">
        <f>'Syn prin concurents par trim'!$J$18</f>
        <v>307507.00661000004</v>
      </c>
      <c r="E46" s="266">
        <f>'Syn prin concurents par trim'!$J$20</f>
        <v>278389.54372000002</v>
      </c>
      <c r="F46" s="266">
        <f>'Syn prin concurents par trim'!$J$26</f>
        <v>119043.47170000001</v>
      </c>
      <c r="G46" s="266"/>
      <c r="H46" s="266"/>
      <c r="I46" s="265" t="s">
        <v>54</v>
      </c>
      <c r="J46" s="266">
        <f>'Syn prin concurents par trim'!$J$30</f>
        <v>1846602.0962300003</v>
      </c>
    </row>
    <row r="47" spans="1:10" s="264" customFormat="1" ht="15.5" x14ac:dyDescent="0.35">
      <c r="A47" s="265" t="s">
        <v>55</v>
      </c>
      <c r="B47" s="266">
        <f>'Syn prin concurents par trim'!$K$16</f>
        <v>775244.44811000011</v>
      </c>
      <c r="C47" s="266">
        <f>'Syn prin concurents par trim'!$K$22</f>
        <v>373055.23839999997</v>
      </c>
      <c r="D47" s="266">
        <f>'Syn prin concurents par trim'!$K$18</f>
        <v>282195.05194000003</v>
      </c>
      <c r="E47" s="266">
        <f>'Syn prin concurents par trim'!$K$20</f>
        <v>318411.50928000006</v>
      </c>
      <c r="F47" s="266">
        <f>'Syn prin concurents par trim'!$K$26</f>
        <v>129162.56929999999</v>
      </c>
      <c r="G47" s="266"/>
      <c r="H47" s="266"/>
      <c r="I47" s="265" t="s">
        <v>55</v>
      </c>
      <c r="J47" s="266">
        <f>'Syn prin concurents par trim'!$K$30</f>
        <v>2006517.9943199996</v>
      </c>
    </row>
    <row r="48" spans="1:10" ht="15.5" x14ac:dyDescent="0.35">
      <c r="A48" s="265" t="s">
        <v>52</v>
      </c>
      <c r="B48" s="266">
        <f>'Syn prin concurents par trim'!$L$16</f>
        <v>740352.67200000014</v>
      </c>
      <c r="C48" s="266">
        <f>'Syn prin concurents par trim'!$L$22</f>
        <v>388462.16899999994</v>
      </c>
      <c r="D48" s="266">
        <f>'Syn prin concurents par trim'!$L$18</f>
        <v>293267.66671000014</v>
      </c>
      <c r="E48" s="266">
        <f>'Syn prin concurents par trim'!$L$20</f>
        <v>339086.11599999986</v>
      </c>
      <c r="F48" s="266">
        <f>'Syn prin concurents par trim'!$L$26</f>
        <v>111958.99100000002</v>
      </c>
      <c r="I48" s="265" t="s">
        <v>52</v>
      </c>
      <c r="J48" s="266">
        <f>'Syn prin concurents par trim'!$L$30</f>
        <v>2020349.2997099999</v>
      </c>
    </row>
    <row r="49" spans="1:10" ht="15.5" x14ac:dyDescent="0.35">
      <c r="A49" s="265" t="s">
        <v>53</v>
      </c>
      <c r="B49" s="266">
        <f>'Syn prin concurents par trim'!$M$16</f>
        <v>-1492146.2290000003</v>
      </c>
      <c r="C49" s="266">
        <f>'Syn prin concurents par trim'!$M$22</f>
        <v>-813635.15099999995</v>
      </c>
      <c r="D49" s="266">
        <f>'Syn prin concurents par trim'!$M$18</f>
        <v>-455024.92124000023</v>
      </c>
      <c r="E49" s="266">
        <f>'Syn prin concurents par trim'!$M$20</f>
        <v>-723229.67799999984</v>
      </c>
      <c r="F49" s="266">
        <f>'Syn prin concurents par trim'!$M$26</f>
        <v>-259313.46100000001</v>
      </c>
      <c r="I49" s="265" t="s">
        <v>53</v>
      </c>
      <c r="J49" s="266">
        <f>'Syn prin concurents par trim'!$M$30</f>
        <v>-4083458.8932399997</v>
      </c>
    </row>
    <row r="52" spans="1:10" ht="15.5" x14ac:dyDescent="0.35">
      <c r="A52" s="264"/>
      <c r="B52" s="264"/>
      <c r="C52" s="265" t="s">
        <v>54</v>
      </c>
      <c r="D52" s="265" t="s">
        <v>55</v>
      </c>
      <c r="E52" s="265" t="s">
        <v>52</v>
      </c>
      <c r="F52" s="265" t="s">
        <v>53</v>
      </c>
    </row>
    <row r="53" spans="1:10" ht="15.5" x14ac:dyDescent="0.35">
      <c r="A53" s="264" t="s">
        <v>3</v>
      </c>
      <c r="B53" s="264"/>
      <c r="C53" s="270">
        <f>'Syn prin concurents par trim'!$J$17</f>
        <v>0.34600571676726755</v>
      </c>
      <c r="D53" s="270">
        <f>'Syn prin concurents par trim'!$K$17</f>
        <v>0.38636306791393971</v>
      </c>
      <c r="E53" s="270">
        <f>'Syn prin concurents par trim'!$L$17</f>
        <v>0.36644785736123453</v>
      </c>
      <c r="F53" s="270">
        <f>'Syn prin concurents par trim'!$M$17</f>
        <v>0.36541233008863827</v>
      </c>
    </row>
    <row r="54" spans="1:10" ht="15.5" x14ac:dyDescent="0.35">
      <c r="A54" s="264" t="s">
        <v>6</v>
      </c>
      <c r="B54" s="264"/>
      <c r="C54" s="270">
        <f>'Syn prin concurents par trim'!$J$23</f>
        <v>0.18245726206412516</v>
      </c>
      <c r="D54" s="270">
        <f>'Syn prin concurents par trim'!$K$23</f>
        <v>0.18592170090476901</v>
      </c>
      <c r="E54" s="270">
        <f>'Syn prin concurents par trim'!$L$23</f>
        <v>0.19227475617991385</v>
      </c>
      <c r="F54" s="270">
        <f>'Syn prin concurents par trim'!$M$23</f>
        <v>0.19925146114411482</v>
      </c>
    </row>
    <row r="55" spans="1:10" ht="15.5" x14ac:dyDescent="0.35">
      <c r="A55" s="264" t="s">
        <v>2</v>
      </c>
      <c r="B55" s="264"/>
      <c r="C55" s="270">
        <f>'Syn prin concurents par trim'!$J$19</f>
        <v>0.16652586241389117</v>
      </c>
      <c r="D55" s="270">
        <f>'Syn prin concurents par trim'!$K$19</f>
        <v>0.1406391832711347</v>
      </c>
      <c r="E55" s="270">
        <f>'Syn prin concurents par trim'!$L$19</f>
        <v>0.14515691259530997</v>
      </c>
      <c r="F55" s="270">
        <f>'Syn prin concurents par trim'!$M$19</f>
        <v>0.11143124814927745</v>
      </c>
    </row>
    <row r="56" spans="1:10" ht="15.5" x14ac:dyDescent="0.35">
      <c r="A56" s="264" t="s">
        <v>5</v>
      </c>
      <c r="B56" s="264"/>
      <c r="C56" s="270">
        <f>'Syn prin concurents par trim'!$J$21</f>
        <v>0.15075773188406782</v>
      </c>
      <c r="D56" s="270">
        <f>'Syn prin concurents par trim'!$K$21</f>
        <v>0.15868858897919247</v>
      </c>
      <c r="E56" s="270">
        <f>'Syn prin concurents par trim'!$L$21</f>
        <v>0.16783539165661707</v>
      </c>
      <c r="F56" s="270">
        <f>'Syn prin concurents par trim'!$M$21</f>
        <v>0.1771120260809475</v>
      </c>
    </row>
    <row r="57" spans="1:10" ht="15.5" x14ac:dyDescent="0.35">
      <c r="A57" s="264" t="s">
        <v>7</v>
      </c>
      <c r="B57" s="264"/>
      <c r="C57" s="270">
        <f>'Syn prin concurents par trim'!$J$27</f>
        <v>6.4466227967052384E-2</v>
      </c>
      <c r="D57" s="270">
        <f>'Syn prin concurents par trim'!$K$27</f>
        <v>6.4371498120440546E-2</v>
      </c>
      <c r="E57" s="270">
        <f>'Syn prin concurents par trim'!$L$27</f>
        <v>5.5415660557345488E-2</v>
      </c>
      <c r="F57" s="270">
        <f>'Syn prin concurents par trim'!$M$27</f>
        <v>6.3503384699006751E-2</v>
      </c>
    </row>
    <row r="58" spans="1:10" ht="15.5" x14ac:dyDescent="0.35">
      <c r="A58" s="264" t="s">
        <v>12</v>
      </c>
      <c r="B58" s="264"/>
      <c r="C58" s="270">
        <f>('Syn prin concurents par trim'!$J$30-'Syn prin concurents par trim'!$J$18-'Syn prin concurents par trim'!$J$16-'Syn prin concurents par trim'!$J$24-'Syn prin concurents par trim'!$J$20-'Syn prin concurents par trim'!$J$22-'Syn prin concurents par trim'!$J$26-'Syn prin concurents par trim'!$J$28)/'Syn prin concurents par trim'!$J$30</f>
        <v>1.2876891588364405E-2</v>
      </c>
      <c r="D58" s="270">
        <f>('Syn prin concurents par trim'!$K$30-'Syn prin concurents par trim'!$K$18-'Syn prin concurents par trim'!$K$16-'Syn prin concurents par trim'!$K$24-'Syn prin concurents par trim'!$K$20-'Syn prin concurents par trim'!$K$22-'Syn prin concurents par trim'!$K$26-'Syn prin concurents par trim'!$K$28)/'Syn prin concurents par trim'!$K$30</f>
        <v>3.8179373530062259E-4</v>
      </c>
      <c r="E58" s="270">
        <f>('Syn prin concurents par trim'!$L$30-'Syn prin concurents par trim'!$L$18-'Syn prin concurents par trim'!$L$16-'Syn prin concurents par trim'!$L$24-'Syn prin concurents par trim'!$L$20-'Syn prin concurents par trim'!$L$22-'Syn prin concurents par trim'!$L$26-'Syn prin concurents par trim'!$L$28)/'Syn prin concurents par trim'!$L$30</f>
        <v>8.66431859209355E-4</v>
      </c>
      <c r="F58" s="270">
        <f>('Syn prin concurents par trim'!$M$30-'Syn prin concurents par trim'!$M$18-'Syn prin concurents par trim'!$M$16-'Syn prin concurents par trim'!$M$24-'Syn prin concurents par trim'!$M$20-'Syn prin concurents par trim'!$M$22-'Syn prin concurents par trim'!$M$26-'Syn prin concurents par trim'!$M$28)/'Syn prin concurents par trim'!$M$30</f>
        <v>4.4670159482189499E-3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J52"/>
  <sheetViews>
    <sheetView showGridLines="0" workbookViewId="0">
      <selection activeCell="M29" sqref="M29"/>
    </sheetView>
  </sheetViews>
  <sheetFormatPr baseColWidth="10" defaultColWidth="11.453125" defaultRowHeight="12.5" x14ac:dyDescent="0.25"/>
  <sheetData>
    <row r="1" spans="1:10" ht="15.5" x14ac:dyDescent="0.35">
      <c r="A1" s="322" t="s">
        <v>43</v>
      </c>
    </row>
    <row r="4" spans="1:10" ht="15.5" x14ac:dyDescent="0.35">
      <c r="A4" s="264"/>
      <c r="B4" s="264" t="s">
        <v>3</v>
      </c>
      <c r="C4" s="264" t="s">
        <v>2</v>
      </c>
      <c r="D4" s="264" t="s">
        <v>6</v>
      </c>
      <c r="E4" s="264" t="s">
        <v>5</v>
      </c>
      <c r="F4" s="264" t="s">
        <v>4</v>
      </c>
      <c r="G4" s="264" t="s">
        <v>7</v>
      </c>
      <c r="H4" s="264"/>
      <c r="I4" s="264"/>
      <c r="J4" s="264" t="s">
        <v>8</v>
      </c>
    </row>
    <row r="5" spans="1:10" ht="15.5" x14ac:dyDescent="0.35">
      <c r="A5" s="264"/>
      <c r="B5" s="264"/>
      <c r="C5" s="264"/>
      <c r="D5" s="264"/>
      <c r="E5" s="264"/>
      <c r="F5" s="264"/>
      <c r="G5" s="264"/>
      <c r="H5" s="264"/>
      <c r="I5" s="264"/>
      <c r="J5" s="264"/>
    </row>
    <row r="6" spans="1:10" ht="15.5" x14ac:dyDescent="0.35">
      <c r="A6" s="264">
        <v>2019</v>
      </c>
      <c r="B6" s="266">
        <f>'Syn prin concurents par sem'!$Q$16</f>
        <v>3017981.8596599996</v>
      </c>
      <c r="C6" s="266">
        <f>'Syn prin concurents par sem'!$Q$18</f>
        <v>2450472.1616633353</v>
      </c>
      <c r="D6" s="266">
        <f>'Syn prin concurents par sem'!$Q$20</f>
        <v>1130208.0266599997</v>
      </c>
      <c r="E6" s="266">
        <f>'Syn prin concurents par sem'!$Q$22</f>
        <v>2273893.2507199999</v>
      </c>
      <c r="F6" s="266">
        <f>'Syn prin concurents par sem'!$Q$24</f>
        <v>879518.89307999983</v>
      </c>
      <c r="G6" s="266">
        <f>'Syn prin concurents par sem'!$Q$26</f>
        <v>474031.77770000004</v>
      </c>
      <c r="H6" s="264"/>
      <c r="I6" s="264">
        <v>2019</v>
      </c>
      <c r="J6" s="266">
        <f>'Syn prin concurents par sem'!$Q$30</f>
        <v>10793574.887853334</v>
      </c>
    </row>
    <row r="7" spans="1:10" ht="15.5" x14ac:dyDescent="0.35">
      <c r="A7" s="264">
        <v>2020</v>
      </c>
      <c r="B7" s="266" t="e">
        <f>'Syn prin concurents par sem'!$R$16</f>
        <v>#REF!</v>
      </c>
      <c r="C7" s="266" t="e">
        <f>'Syn prin concurents par sem'!$R$18</f>
        <v>#REF!</v>
      </c>
      <c r="D7" s="266" t="e">
        <f>'Syn prin concurents par sem'!$R$20</f>
        <v>#REF!</v>
      </c>
      <c r="E7" s="266" t="e">
        <f>'Syn prin concurents par sem'!$R$22</f>
        <v>#REF!</v>
      </c>
      <c r="F7" s="266" t="e">
        <f>'Syn prin concurents par sem'!$R$24</f>
        <v>#REF!</v>
      </c>
      <c r="G7" s="266" t="e">
        <f>'Syn prin concurents par sem'!$R$26</f>
        <v>#REF!</v>
      </c>
      <c r="H7" s="264"/>
      <c r="I7" s="264">
        <v>2020</v>
      </c>
      <c r="J7" s="266" t="e">
        <f>'Syn prin concurents par sem'!$R$30</f>
        <v>#REF!</v>
      </c>
    </row>
    <row r="10" spans="1:10" ht="15.5" x14ac:dyDescent="0.35">
      <c r="A10" s="264"/>
      <c r="B10" s="264"/>
      <c r="C10" s="264">
        <v>2019</v>
      </c>
      <c r="D10" s="264">
        <v>2020</v>
      </c>
      <c r="E10" s="265"/>
      <c r="F10" s="265"/>
    </row>
    <row r="11" spans="1:10" ht="15.5" x14ac:dyDescent="0.35">
      <c r="A11" s="264" t="s">
        <v>3</v>
      </c>
      <c r="B11" s="264"/>
      <c r="C11" s="270">
        <f>'Syn prin concurents par sem'!$Q$17</f>
        <v>0.27960910921703225</v>
      </c>
      <c r="D11" s="270" t="e">
        <f>'Syn prin concurents par sem'!$R$17</f>
        <v>#REF!</v>
      </c>
      <c r="E11" s="270"/>
      <c r="F11" s="270"/>
    </row>
    <row r="12" spans="1:10" ht="15.5" x14ac:dyDescent="0.35">
      <c r="A12" s="264" t="s">
        <v>2</v>
      </c>
      <c r="B12" s="264"/>
      <c r="C12" s="270">
        <f>'Syn prin concurents par sem'!$Q$19</f>
        <v>0.22703063508838028</v>
      </c>
      <c r="D12" s="270" t="e">
        <f>'Syn prin concurents par sem'!$R$19</f>
        <v>#REF!</v>
      </c>
      <c r="E12" s="270"/>
      <c r="F12" s="270"/>
    </row>
    <row r="13" spans="1:10" ht="15.5" x14ac:dyDescent="0.35">
      <c r="A13" s="264" t="s">
        <v>6</v>
      </c>
      <c r="B13" s="264"/>
      <c r="C13" s="270">
        <f>'Syn prin concurents par sem'!$Q$21</f>
        <v>0.10471118590485638</v>
      </c>
      <c r="D13" s="270" t="e">
        <f>'Syn prin concurents par sem'!$R$21</f>
        <v>#REF!</v>
      </c>
      <c r="E13" s="270"/>
      <c r="F13" s="270"/>
    </row>
    <row r="14" spans="1:10" ht="15.5" x14ac:dyDescent="0.35">
      <c r="A14" s="264" t="s">
        <v>5</v>
      </c>
      <c r="B14" s="264"/>
      <c r="C14" s="270">
        <f>'Syn prin concurents par sem'!$Q$23</f>
        <v>0.21067100329094399</v>
      </c>
      <c r="D14" s="270" t="e">
        <f>'Syn prin concurents par sem'!$R$23</f>
        <v>#REF!</v>
      </c>
      <c r="E14" s="270"/>
      <c r="F14" s="270"/>
    </row>
    <row r="15" spans="1:10" ht="15.5" x14ac:dyDescent="0.35">
      <c r="A15" s="264" t="s">
        <v>4</v>
      </c>
      <c r="B15" s="264"/>
      <c r="C15" s="270">
        <f>'Syn prin concurents par sem'!$Q$25</f>
        <v>8.1485411665580418E-2</v>
      </c>
      <c r="D15" s="270" t="e">
        <f>'Syn prin concurents par sem'!$R$25</f>
        <v>#REF!</v>
      </c>
      <c r="E15" s="270"/>
      <c r="F15" s="270"/>
    </row>
    <row r="16" spans="1:10" ht="15.5" x14ac:dyDescent="0.35">
      <c r="A16" s="264" t="s">
        <v>7</v>
      </c>
      <c r="B16" s="264"/>
      <c r="C16" s="270">
        <f>'Syn prin concurents par sem'!$Q$27</f>
        <v>4.3917958843594701E-2</v>
      </c>
      <c r="D16" s="270" t="e">
        <f>'Syn prin concurents par sem'!$R$27</f>
        <v>#REF!</v>
      </c>
      <c r="E16" s="270"/>
      <c r="F16" s="270"/>
    </row>
    <row r="17" spans="1:10" ht="15.5" x14ac:dyDescent="0.35">
      <c r="A17" s="264" t="s">
        <v>12</v>
      </c>
      <c r="B17" s="264"/>
      <c r="C17" s="270">
        <f>('Syn prin concurents par sem'!$Q$30-'Syn prin concurents par sem'!$Q$16-'Syn prin concurents par sem'!$Q$18-'Syn prin concurents par sem'!$Q$20-'Syn prin concurents par sem'!$Q$22-'Syn prin concurents par sem'!$Q$24-'Syn prin concurents par sem'!$Q$26-'Syn prin concurents par sem'!$Q$28)/'Syn prin concurents par sem'!$Q$30</f>
        <v>2.5720909562819912E-2</v>
      </c>
      <c r="D17" s="270" t="e">
        <f>('Syn prin concurents par sem'!$R$30-'Syn prin concurents par sem'!$R$16-'Syn prin concurents par sem'!$R$18-'Syn prin concurents par sem'!$R$20-'Syn prin concurents par sem'!$R$22-'Syn prin concurents par sem'!$R$24-'Syn prin concurents par sem'!$R$26-'Syn prin concurents par sem'!$R$28)/'Syn prin concurents par sem'!$R$30</f>
        <v>#REF!</v>
      </c>
      <c r="E17" s="270"/>
      <c r="F17" s="270"/>
    </row>
    <row r="20" spans="1:10" s="264" customFormat="1" ht="15.5" x14ac:dyDescent="0.35">
      <c r="A20" s="322" t="s">
        <v>1</v>
      </c>
    </row>
    <row r="21" spans="1:10" s="264" customFormat="1" ht="15.5" x14ac:dyDescent="0.35"/>
    <row r="22" spans="1:10" ht="15.5" x14ac:dyDescent="0.35">
      <c r="A22" s="264"/>
      <c r="B22" s="264" t="s">
        <v>3</v>
      </c>
      <c r="C22" s="264" t="s">
        <v>2</v>
      </c>
      <c r="D22" s="264" t="s">
        <v>6</v>
      </c>
      <c r="E22" s="264" t="s">
        <v>5</v>
      </c>
      <c r="F22" s="264" t="s">
        <v>4</v>
      </c>
      <c r="G22" s="264" t="s">
        <v>7</v>
      </c>
      <c r="H22" s="264"/>
      <c r="I22" s="264"/>
      <c r="J22" s="264" t="s">
        <v>8</v>
      </c>
    </row>
    <row r="23" spans="1:10" ht="15.5" x14ac:dyDescent="0.35">
      <c r="A23" s="264"/>
      <c r="B23" s="264"/>
      <c r="C23" s="264"/>
      <c r="D23" s="264"/>
      <c r="E23" s="264"/>
      <c r="F23" s="264"/>
      <c r="G23" s="264"/>
      <c r="H23" s="264"/>
      <c r="I23" s="264"/>
      <c r="J23" s="264"/>
    </row>
    <row r="24" spans="1:10" ht="15.5" x14ac:dyDescent="0.35">
      <c r="A24" s="264">
        <v>2019</v>
      </c>
      <c r="B24" s="266">
        <f>'Syn prin concurents par sem'!$E$16</f>
        <v>1418652.2222</v>
      </c>
      <c r="C24" s="266">
        <f>'Syn prin concurents par sem'!$E$18</f>
        <v>1971219.5200933353</v>
      </c>
      <c r="D24" s="266">
        <f>'Syn prin concurents par sem'!$E$20</f>
        <v>512605.36289999989</v>
      </c>
      <c r="E24" s="266">
        <f>'Syn prin concurents par sem'!$E$22</f>
        <v>1679049.76902</v>
      </c>
      <c r="F24" s="266">
        <f>'Syn prin concurents par sem'!$E$24</f>
        <v>879518.89307999983</v>
      </c>
      <c r="G24" s="266">
        <f>'Syn prin concurents par sem'!$E$26</f>
        <v>227558.17511000004</v>
      </c>
      <c r="H24" s="264"/>
      <c r="I24" s="264">
        <v>2019</v>
      </c>
      <c r="J24" s="266">
        <f>'Syn prin concurents par sem'!$E$30</f>
        <v>6938253.7609133348</v>
      </c>
    </row>
    <row r="25" spans="1:10" ht="15.5" x14ac:dyDescent="0.35">
      <c r="A25" s="264">
        <v>2020</v>
      </c>
      <c r="B25" s="266" t="e">
        <f>'Syn prin concurents par sem'!$F$16</f>
        <v>#REF!</v>
      </c>
      <c r="C25" s="266" t="e">
        <f>'Syn prin concurents par sem'!$F$18</f>
        <v>#REF!</v>
      </c>
      <c r="D25" s="266" t="e">
        <f>'Syn prin concurents par sem'!$F$20</f>
        <v>#REF!</v>
      </c>
      <c r="E25" s="266" t="e">
        <f>'Syn prin concurents par sem'!$F$22</f>
        <v>#REF!</v>
      </c>
      <c r="F25" s="266" t="e">
        <f>'Syn prin concurents par sem'!$F$24</f>
        <v>#REF!</v>
      </c>
      <c r="G25" s="266" t="e">
        <f>'Syn prin concurents par sem'!$F$26</f>
        <v>#REF!</v>
      </c>
      <c r="H25" s="264"/>
      <c r="I25" s="264">
        <v>2020</v>
      </c>
      <c r="J25" s="266" t="e">
        <f>'Syn prin concurents par sem'!$F$30</f>
        <v>#REF!</v>
      </c>
    </row>
    <row r="28" spans="1:10" ht="15.5" x14ac:dyDescent="0.35">
      <c r="A28" s="264"/>
      <c r="B28" s="264"/>
      <c r="C28" s="264">
        <v>2019</v>
      </c>
      <c r="D28" s="264">
        <v>2020</v>
      </c>
      <c r="E28" s="265"/>
      <c r="F28" s="265"/>
    </row>
    <row r="29" spans="1:10" ht="15.5" x14ac:dyDescent="0.35">
      <c r="A29" s="264" t="s">
        <v>3</v>
      </c>
      <c r="B29" s="264"/>
      <c r="C29" s="270">
        <f>'Syn prin concurents par sem'!$E$17</f>
        <v>0.20446819489249296</v>
      </c>
      <c r="D29" s="270" t="e">
        <f>'Syn prin concurents par sem'!$F$17</f>
        <v>#REF!</v>
      </c>
      <c r="E29" s="270"/>
      <c r="F29" s="270"/>
    </row>
    <row r="30" spans="1:10" ht="15.5" x14ac:dyDescent="0.35">
      <c r="A30" s="264" t="s">
        <v>2</v>
      </c>
      <c r="B30" s="264"/>
      <c r="C30" s="270">
        <f>'Syn prin concurents par sem'!$E$19</f>
        <v>0.2841088821510398</v>
      </c>
      <c r="D30" s="270" t="e">
        <f>'Syn prin concurents par sem'!$F$19</f>
        <v>#REF!</v>
      </c>
      <c r="E30" s="270"/>
      <c r="F30" s="270"/>
    </row>
    <row r="31" spans="1:10" ht="15.5" x14ac:dyDescent="0.35">
      <c r="A31" s="264" t="s">
        <v>6</v>
      </c>
      <c r="B31" s="264"/>
      <c r="C31" s="270">
        <f>'Syn prin concurents par sem'!$E$21</f>
        <v>7.3881034128178355E-2</v>
      </c>
      <c r="D31" s="270" t="e">
        <f>'Syn prin concurents par sem'!$F$21</f>
        <v>#REF!</v>
      </c>
      <c r="E31" s="270"/>
      <c r="F31" s="270"/>
    </row>
    <row r="32" spans="1:10" ht="15.5" x14ac:dyDescent="0.35">
      <c r="A32" s="264" t="s">
        <v>5</v>
      </c>
      <c r="B32" s="264"/>
      <c r="C32" s="270">
        <f>'Syn prin concurents par sem'!$E$23</f>
        <v>0.2419988986968061</v>
      </c>
      <c r="D32" s="270" t="e">
        <f>'Syn prin concurents par sem'!$F$23</f>
        <v>#REF!</v>
      </c>
      <c r="E32" s="270"/>
      <c r="F32" s="270"/>
    </row>
    <row r="33" spans="1:10" ht="15.5" x14ac:dyDescent="0.35">
      <c r="A33" s="264" t="s">
        <v>4</v>
      </c>
      <c r="B33" s="264"/>
      <c r="C33" s="270">
        <f>'Syn prin concurents par sem'!$E$25</f>
        <v>0.12676372519477036</v>
      </c>
      <c r="D33" s="270" t="e">
        <f>'Syn prin concurents par sem'!$F$25</f>
        <v>#REF!</v>
      </c>
      <c r="E33" s="270"/>
      <c r="F33" s="270"/>
    </row>
    <row r="34" spans="1:10" ht="15.5" x14ac:dyDescent="0.35">
      <c r="A34" s="264" t="s">
        <v>7</v>
      </c>
      <c r="B34" s="264"/>
      <c r="C34" s="270">
        <f>'Syn prin concurents par sem'!$E$27</f>
        <v>3.2797614926099915E-2</v>
      </c>
      <c r="D34" s="270" t="e">
        <f>'Syn prin concurents par sem'!$F$27</f>
        <v>#REF!</v>
      </c>
      <c r="E34" s="270"/>
      <c r="F34" s="270"/>
    </row>
    <row r="35" spans="1:10" ht="15.5" x14ac:dyDescent="0.35">
      <c r="A35" s="264" t="s">
        <v>12</v>
      </c>
      <c r="B35" s="264"/>
      <c r="C35" s="270">
        <f>('Syn prin concurents par sem'!$E$30-'Syn prin concurents par sem'!$E$16-'Syn prin concurents par sem'!$E$18-'Syn prin concurents par sem'!$E$20-'Syn prin concurents par sem'!$E$22-'Syn prin concurents par sem'!$E$24-'Syn prin concurents par sem'!$E$26-'Syn prin concurents par sem'!$E$28)/'Syn prin concurents par sem'!$E$30</f>
        <v>3.5618518966862946E-2</v>
      </c>
      <c r="D35" s="270" t="e">
        <f>('Syn prin concurents par sem'!$F$30-'Syn prin concurents par sem'!$F$16-'Syn prin concurents par sem'!$F$18-'Syn prin concurents par sem'!$F$20-'Syn prin concurents par sem'!$F$22-'Syn prin concurents par sem'!$F$24-'Syn prin concurents par sem'!$F$26-'Syn prin concurents par sem'!$F$28)/'Syn prin concurents par sem'!$F$30</f>
        <v>#REF!</v>
      </c>
      <c r="E35" s="270"/>
      <c r="F35" s="270"/>
    </row>
    <row r="38" spans="1:10" ht="15.5" x14ac:dyDescent="0.35">
      <c r="A38" s="322" t="s">
        <v>13</v>
      </c>
    </row>
    <row r="40" spans="1:10" s="264" customFormat="1" ht="15.5" x14ac:dyDescent="0.35">
      <c r="B40" s="264" t="s">
        <v>3</v>
      </c>
      <c r="C40" s="264" t="s">
        <v>6</v>
      </c>
      <c r="D40" s="264" t="s">
        <v>5</v>
      </c>
      <c r="E40" s="264" t="s">
        <v>2</v>
      </c>
      <c r="F40" s="264" t="s">
        <v>7</v>
      </c>
      <c r="J40" s="264" t="s">
        <v>8</v>
      </c>
    </row>
    <row r="41" spans="1:10" s="264" customFormat="1" ht="15.5" x14ac:dyDescent="0.35"/>
    <row r="42" spans="1:10" s="264" customFormat="1" ht="15.5" x14ac:dyDescent="0.35">
      <c r="A42" s="264">
        <v>2019</v>
      </c>
      <c r="B42" s="266">
        <f>'Syn prin concurents par sem'!$H$16</f>
        <v>1325401.4412399998</v>
      </c>
      <c r="C42" s="266">
        <f>'Syn prin concurents par sem'!$H$20</f>
        <v>617498.16075999977</v>
      </c>
      <c r="D42" s="266">
        <f>'Syn prin concurents par sem'!$H$22</f>
        <v>594843.4817</v>
      </c>
      <c r="E42" s="266">
        <f>'Syn prin concurents par sem'!$H$18</f>
        <v>477896.65514000005</v>
      </c>
      <c r="F42" s="266">
        <f>'Syn prin concurents par sem'!$H$26</f>
        <v>243390.05713999999</v>
      </c>
      <c r="G42" s="266"/>
      <c r="H42" s="266"/>
      <c r="I42" s="264">
        <v>2019</v>
      </c>
      <c r="J42" s="266">
        <f>'Syn prin concurents par sem'!$H$30</f>
        <v>3576848.8958399994</v>
      </c>
    </row>
    <row r="43" spans="1:10" s="264" customFormat="1" ht="15.5" x14ac:dyDescent="0.35">
      <c r="A43" s="264">
        <v>2020</v>
      </c>
      <c r="B43" s="266" t="e">
        <f>'Syn prin concurents par sem'!$I$16</f>
        <v>#REF!</v>
      </c>
      <c r="C43" s="266" t="e">
        <f>'Syn prin concurents par sem'!$I$20</f>
        <v>#REF!</v>
      </c>
      <c r="D43" s="266" t="e">
        <f>'Syn prin concurents par sem'!$I$22</f>
        <v>#REF!</v>
      </c>
      <c r="E43" s="266" t="e">
        <f>'Syn prin concurents par sem'!$I$18</f>
        <v>#REF!</v>
      </c>
      <c r="F43" s="266" t="e">
        <f>'Syn prin concurents par sem'!$I$26</f>
        <v>#REF!</v>
      </c>
      <c r="G43" s="266"/>
      <c r="H43" s="266"/>
      <c r="I43" s="264">
        <v>2020</v>
      </c>
      <c r="J43" s="266" t="e">
        <f>'Syn prin concurents par sem'!$I$30</f>
        <v>#REF!</v>
      </c>
    </row>
    <row r="46" spans="1:10" ht="15.5" x14ac:dyDescent="0.35">
      <c r="A46" s="264"/>
      <c r="B46" s="264"/>
      <c r="C46" s="264">
        <v>2019</v>
      </c>
      <c r="D46" s="264">
        <v>2020</v>
      </c>
      <c r="E46" s="265"/>
      <c r="F46" s="265"/>
    </row>
    <row r="47" spans="1:10" ht="15.5" x14ac:dyDescent="0.35">
      <c r="A47" s="264" t="s">
        <v>3</v>
      </c>
      <c r="B47" s="264"/>
      <c r="C47" s="270">
        <f>'Syn prin concurents par sem'!$H$17</f>
        <v>0.37055002317304714</v>
      </c>
      <c r="D47" s="270" t="e">
        <f>'Syn prin concurents par sem'!$I$17</f>
        <v>#REF!</v>
      </c>
      <c r="E47" s="270"/>
      <c r="F47" s="270"/>
    </row>
    <row r="48" spans="1:10" ht="15.5" x14ac:dyDescent="0.35">
      <c r="A48" s="264" t="s">
        <v>6</v>
      </c>
      <c r="B48" s="264"/>
      <c r="C48" s="270">
        <f>'Syn prin concurents par sem'!$H$21</f>
        <v>0.17263747469963625</v>
      </c>
      <c r="D48" s="270" t="e">
        <f>'Syn prin concurents par sem'!$I$21</f>
        <v>#REF!</v>
      </c>
      <c r="E48" s="270"/>
      <c r="F48" s="270"/>
    </row>
    <row r="49" spans="1:6" ht="15.5" x14ac:dyDescent="0.35">
      <c r="A49" s="264" t="s">
        <v>5</v>
      </c>
      <c r="B49" s="264"/>
      <c r="C49" s="270">
        <f>'Syn prin concurents par sem'!$H$23</f>
        <v>0.16630377715754888</v>
      </c>
      <c r="D49" s="270" t="e">
        <f>'Syn prin concurents par sem'!$I$23</f>
        <v>#REF!</v>
      </c>
      <c r="E49" s="270"/>
      <c r="F49" s="270"/>
    </row>
    <row r="50" spans="1:6" ht="15.5" x14ac:dyDescent="0.35">
      <c r="A50" s="264" t="s">
        <v>2</v>
      </c>
      <c r="B50" s="264"/>
      <c r="C50" s="270">
        <f>'Syn prin concurents par sem'!$H$19</f>
        <v>0.13360828736595795</v>
      </c>
      <c r="D50" s="270" t="e">
        <f>'Syn prin concurents par sem'!$I$19</f>
        <v>#REF!</v>
      </c>
      <c r="E50" s="270"/>
      <c r="F50" s="270"/>
    </row>
    <row r="51" spans="1:6" ht="15.5" x14ac:dyDescent="0.35">
      <c r="A51" s="264" t="s">
        <v>7</v>
      </c>
      <c r="B51" s="264"/>
      <c r="C51" s="270">
        <f>'Syn prin concurents par sem'!$H$27</f>
        <v>6.8045943294689118E-2</v>
      </c>
      <c r="D51" s="270" t="e">
        <f>'Syn prin concurents par sem'!$I$27</f>
        <v>#REF!</v>
      </c>
      <c r="E51" s="270"/>
      <c r="F51" s="270"/>
    </row>
    <row r="52" spans="1:6" ht="15.5" x14ac:dyDescent="0.35">
      <c r="A52" s="264" t="s">
        <v>12</v>
      </c>
      <c r="B52" s="264"/>
      <c r="C52" s="270">
        <f>('Syn prin concurents par sem'!$H$30-'Syn prin concurents par sem'!$H$16-'Syn prin concurents par sem'!$H$18-'Syn prin concurents par sem'!$H$20-'Syn prin concurents par sem'!$H$22-'Syn prin concurents par sem'!$H$24-'Syn prin concurents par sem'!$H$26-'Syn prin concurents par sem'!$H$28)/'Syn prin concurents par sem'!$H$30</f>
        <v>8.5243300060735827E-3</v>
      </c>
      <c r="D52" s="270" t="e">
        <f>('Syn prin concurents par sem'!$I$30-'Syn prin concurents par sem'!$I$16-'Syn prin concurents par sem'!$I$18-'Syn prin concurents par sem'!$I$20-'Syn prin concurents par sem'!$I$22-'Syn prin concurents par sem'!$I$24-'Syn prin concurents par sem'!$I$26-'Syn prin concurents par sem'!$I$28)/'Syn prin concurents par sem'!$I$30</f>
        <v>#REF!</v>
      </c>
      <c r="E52" s="270"/>
      <c r="F52" s="270"/>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FF0000"/>
  </sheetPr>
  <dimension ref="B2:AM118"/>
  <sheetViews>
    <sheetView showGridLines="0" tabSelected="1" view="pageBreakPreview" topLeftCell="A51" zoomScale="60" zoomScaleNormal="60" workbookViewId="0">
      <pane xSplit="2" topLeftCell="C1" activePane="topRight" state="frozen"/>
      <selection activeCell="O41" sqref="O41"/>
      <selection pane="topRight" activeCell="B5" sqref="B5"/>
    </sheetView>
  </sheetViews>
  <sheetFormatPr baseColWidth="10" defaultColWidth="11.453125" defaultRowHeight="12.5" x14ac:dyDescent="0.25"/>
  <cols>
    <col min="1" max="1" width="2.453125" style="56" customWidth="1"/>
    <col min="2" max="2" width="26.26953125" style="56" customWidth="1"/>
    <col min="3" max="3" width="3" style="56" customWidth="1"/>
    <col min="4" max="4" width="1.453125" style="56" customWidth="1"/>
    <col min="5" max="7" width="18.7265625" style="56" customWidth="1"/>
    <col min="8" max="8" width="1.7265625" style="56" customWidth="1"/>
    <col min="9" max="11" width="18.7265625" style="56" customWidth="1"/>
    <col min="12" max="12" width="1.26953125" style="56" customWidth="1"/>
    <col min="13" max="15" width="19.26953125" style="56" hidden="1" customWidth="1"/>
    <col min="16" max="16" width="1.7265625" style="56" hidden="1" customWidth="1"/>
    <col min="17" max="17" width="17.1796875" style="56" hidden="1" customWidth="1"/>
    <col min="18" max="18" width="15.453125" style="56" hidden="1" customWidth="1"/>
    <col min="19" max="19" width="17" style="56" hidden="1" customWidth="1"/>
    <col min="20" max="20" width="1.7265625" style="56" customWidth="1"/>
    <col min="21" max="23" width="18.7265625" style="56" customWidth="1"/>
    <col min="24" max="24" width="2.54296875" style="56" customWidth="1"/>
    <col min="25" max="25" width="1.54296875" style="56" customWidth="1"/>
    <col min="26" max="26" width="23" style="56" customWidth="1"/>
    <col min="27" max="27" width="24.26953125" style="56" bestFit="1" customWidth="1"/>
    <col min="28" max="28" width="12.7265625" style="56" bestFit="1" customWidth="1"/>
    <col min="29" max="29" width="12.26953125" style="56" bestFit="1" customWidth="1"/>
    <col min="30" max="30" width="22.26953125" style="56" bestFit="1" customWidth="1"/>
    <col min="31" max="32" width="11.453125" style="56"/>
    <col min="33" max="33" width="16.26953125" style="56" bestFit="1" customWidth="1"/>
    <col min="34" max="34" width="15.1796875" style="56" bestFit="1" customWidth="1"/>
    <col min="35" max="35" width="12.54296875" style="56" bestFit="1" customWidth="1"/>
    <col min="36" max="37" width="11.453125" style="56"/>
    <col min="38" max="38" width="24.26953125" style="56" bestFit="1" customWidth="1"/>
    <col min="39" max="258" width="11.453125" style="56"/>
    <col min="259" max="259" width="35.7265625" style="56" customWidth="1"/>
    <col min="260" max="260" width="3" style="56" customWidth="1"/>
    <col min="261" max="261" width="1.453125" style="56" customWidth="1"/>
    <col min="262" max="264" width="18.7265625" style="56" customWidth="1"/>
    <col min="265" max="265" width="1.7265625" style="56" customWidth="1"/>
    <col min="266" max="268" width="18.7265625" style="56" customWidth="1"/>
    <col min="269" max="269" width="1.26953125" style="56" customWidth="1"/>
    <col min="270" max="276" width="11.453125" style="56" customWidth="1"/>
    <col min="277" max="277" width="1.7265625" style="56" customWidth="1"/>
    <col min="278" max="280" width="18.7265625" style="56" customWidth="1"/>
    <col min="281" max="281" width="12.54296875" style="56" bestFit="1" customWidth="1"/>
    <col min="282" max="514" width="11.453125" style="56"/>
    <col min="515" max="515" width="35.7265625" style="56" customWidth="1"/>
    <col min="516" max="516" width="3" style="56" customWidth="1"/>
    <col min="517" max="517" width="1.453125" style="56" customWidth="1"/>
    <col min="518" max="520" width="18.7265625" style="56" customWidth="1"/>
    <col min="521" max="521" width="1.7265625" style="56" customWidth="1"/>
    <col min="522" max="524" width="18.7265625" style="56" customWidth="1"/>
    <col min="525" max="525" width="1.26953125" style="56" customWidth="1"/>
    <col min="526" max="532" width="11.453125" style="56" customWidth="1"/>
    <col min="533" max="533" width="1.7265625" style="56" customWidth="1"/>
    <col min="534" max="536" width="18.7265625" style="56" customWidth="1"/>
    <col min="537" max="537" width="12.54296875" style="56" bestFit="1" customWidth="1"/>
    <col min="538" max="770" width="11.453125" style="56"/>
    <col min="771" max="771" width="35.7265625" style="56" customWidth="1"/>
    <col min="772" max="772" width="3" style="56" customWidth="1"/>
    <col min="773" max="773" width="1.453125" style="56" customWidth="1"/>
    <col min="774" max="776" width="18.7265625" style="56" customWidth="1"/>
    <col min="777" max="777" width="1.7265625" style="56" customWidth="1"/>
    <col min="778" max="780" width="18.7265625" style="56" customWidth="1"/>
    <col min="781" max="781" width="1.26953125" style="56" customWidth="1"/>
    <col min="782" max="788" width="11.453125" style="56" customWidth="1"/>
    <col min="789" max="789" width="1.7265625" style="56" customWidth="1"/>
    <col min="790" max="792" width="18.7265625" style="56" customWidth="1"/>
    <col min="793" max="793" width="12.54296875" style="56" bestFit="1" customWidth="1"/>
    <col min="794" max="1026" width="11.453125" style="56"/>
    <col min="1027" max="1027" width="35.7265625" style="56" customWidth="1"/>
    <col min="1028" max="1028" width="3" style="56" customWidth="1"/>
    <col min="1029" max="1029" width="1.453125" style="56" customWidth="1"/>
    <col min="1030" max="1032" width="18.7265625" style="56" customWidth="1"/>
    <col min="1033" max="1033" width="1.7265625" style="56" customWidth="1"/>
    <col min="1034" max="1036" width="18.7265625" style="56" customWidth="1"/>
    <col min="1037" max="1037" width="1.26953125" style="56" customWidth="1"/>
    <col min="1038" max="1044" width="11.453125" style="56" customWidth="1"/>
    <col min="1045" max="1045" width="1.7265625" style="56" customWidth="1"/>
    <col min="1046" max="1048" width="18.7265625" style="56" customWidth="1"/>
    <col min="1049" max="1049" width="12.54296875" style="56" bestFit="1" customWidth="1"/>
    <col min="1050" max="1282" width="11.453125" style="56"/>
    <col min="1283" max="1283" width="35.7265625" style="56" customWidth="1"/>
    <col min="1284" max="1284" width="3" style="56" customWidth="1"/>
    <col min="1285" max="1285" width="1.453125" style="56" customWidth="1"/>
    <col min="1286" max="1288" width="18.7265625" style="56" customWidth="1"/>
    <col min="1289" max="1289" width="1.7265625" style="56" customWidth="1"/>
    <col min="1290" max="1292" width="18.7265625" style="56" customWidth="1"/>
    <col min="1293" max="1293" width="1.26953125" style="56" customWidth="1"/>
    <col min="1294" max="1300" width="11.453125" style="56" customWidth="1"/>
    <col min="1301" max="1301" width="1.7265625" style="56" customWidth="1"/>
    <col min="1302" max="1304" width="18.7265625" style="56" customWidth="1"/>
    <col min="1305" max="1305" width="12.54296875" style="56" bestFit="1" customWidth="1"/>
    <col min="1306" max="1538" width="11.453125" style="56"/>
    <col min="1539" max="1539" width="35.7265625" style="56" customWidth="1"/>
    <col min="1540" max="1540" width="3" style="56" customWidth="1"/>
    <col min="1541" max="1541" width="1.453125" style="56" customWidth="1"/>
    <col min="1542" max="1544" width="18.7265625" style="56" customWidth="1"/>
    <col min="1545" max="1545" width="1.7265625" style="56" customWidth="1"/>
    <col min="1546" max="1548" width="18.7265625" style="56" customWidth="1"/>
    <col min="1549" max="1549" width="1.26953125" style="56" customWidth="1"/>
    <col min="1550" max="1556" width="11.453125" style="56" customWidth="1"/>
    <col min="1557" max="1557" width="1.7265625" style="56" customWidth="1"/>
    <col min="1558" max="1560" width="18.7265625" style="56" customWidth="1"/>
    <col min="1561" max="1561" width="12.54296875" style="56" bestFit="1" customWidth="1"/>
    <col min="1562" max="1794" width="11.453125" style="56"/>
    <col min="1795" max="1795" width="35.7265625" style="56" customWidth="1"/>
    <col min="1796" max="1796" width="3" style="56" customWidth="1"/>
    <col min="1797" max="1797" width="1.453125" style="56" customWidth="1"/>
    <col min="1798" max="1800" width="18.7265625" style="56" customWidth="1"/>
    <col min="1801" max="1801" width="1.7265625" style="56" customWidth="1"/>
    <col min="1802" max="1804" width="18.7265625" style="56" customWidth="1"/>
    <col min="1805" max="1805" width="1.26953125" style="56" customWidth="1"/>
    <col min="1806" max="1812" width="11.453125" style="56" customWidth="1"/>
    <col min="1813" max="1813" width="1.7265625" style="56" customWidth="1"/>
    <col min="1814" max="1816" width="18.7265625" style="56" customWidth="1"/>
    <col min="1817" max="1817" width="12.54296875" style="56" bestFit="1" customWidth="1"/>
    <col min="1818" max="2050" width="11.453125" style="56"/>
    <col min="2051" max="2051" width="35.7265625" style="56" customWidth="1"/>
    <col min="2052" max="2052" width="3" style="56" customWidth="1"/>
    <col min="2053" max="2053" width="1.453125" style="56" customWidth="1"/>
    <col min="2054" max="2056" width="18.7265625" style="56" customWidth="1"/>
    <col min="2057" max="2057" width="1.7265625" style="56" customWidth="1"/>
    <col min="2058" max="2060" width="18.7265625" style="56" customWidth="1"/>
    <col min="2061" max="2061" width="1.26953125" style="56" customWidth="1"/>
    <col min="2062" max="2068" width="11.453125" style="56" customWidth="1"/>
    <col min="2069" max="2069" width="1.7265625" style="56" customWidth="1"/>
    <col min="2070" max="2072" width="18.7265625" style="56" customWidth="1"/>
    <col min="2073" max="2073" width="12.54296875" style="56" bestFit="1" customWidth="1"/>
    <col min="2074" max="2306" width="11.453125" style="56"/>
    <col min="2307" max="2307" width="35.7265625" style="56" customWidth="1"/>
    <col min="2308" max="2308" width="3" style="56" customWidth="1"/>
    <col min="2309" max="2309" width="1.453125" style="56" customWidth="1"/>
    <col min="2310" max="2312" width="18.7265625" style="56" customWidth="1"/>
    <col min="2313" max="2313" width="1.7265625" style="56" customWidth="1"/>
    <col min="2314" max="2316" width="18.7265625" style="56" customWidth="1"/>
    <col min="2317" max="2317" width="1.26953125" style="56" customWidth="1"/>
    <col min="2318" max="2324" width="11.453125" style="56" customWidth="1"/>
    <col min="2325" max="2325" width="1.7265625" style="56" customWidth="1"/>
    <col min="2326" max="2328" width="18.7265625" style="56" customWidth="1"/>
    <col min="2329" max="2329" width="12.54296875" style="56" bestFit="1" customWidth="1"/>
    <col min="2330" max="2562" width="11.453125" style="56"/>
    <col min="2563" max="2563" width="35.7265625" style="56" customWidth="1"/>
    <col min="2564" max="2564" width="3" style="56" customWidth="1"/>
    <col min="2565" max="2565" width="1.453125" style="56" customWidth="1"/>
    <col min="2566" max="2568" width="18.7265625" style="56" customWidth="1"/>
    <col min="2569" max="2569" width="1.7265625" style="56" customWidth="1"/>
    <col min="2570" max="2572" width="18.7265625" style="56" customWidth="1"/>
    <col min="2573" max="2573" width="1.26953125" style="56" customWidth="1"/>
    <col min="2574" max="2580" width="11.453125" style="56" customWidth="1"/>
    <col min="2581" max="2581" width="1.7265625" style="56" customWidth="1"/>
    <col min="2582" max="2584" width="18.7265625" style="56" customWidth="1"/>
    <col min="2585" max="2585" width="12.54296875" style="56" bestFit="1" customWidth="1"/>
    <col min="2586" max="2818" width="11.453125" style="56"/>
    <col min="2819" max="2819" width="35.7265625" style="56" customWidth="1"/>
    <col min="2820" max="2820" width="3" style="56" customWidth="1"/>
    <col min="2821" max="2821" width="1.453125" style="56" customWidth="1"/>
    <col min="2822" max="2824" width="18.7265625" style="56" customWidth="1"/>
    <col min="2825" max="2825" width="1.7265625" style="56" customWidth="1"/>
    <col min="2826" max="2828" width="18.7265625" style="56" customWidth="1"/>
    <col min="2829" max="2829" width="1.26953125" style="56" customWidth="1"/>
    <col min="2830" max="2836" width="11.453125" style="56" customWidth="1"/>
    <col min="2837" max="2837" width="1.7265625" style="56" customWidth="1"/>
    <col min="2838" max="2840" width="18.7265625" style="56" customWidth="1"/>
    <col min="2841" max="2841" width="12.54296875" style="56" bestFit="1" customWidth="1"/>
    <col min="2842" max="3074" width="11.453125" style="56"/>
    <col min="3075" max="3075" width="35.7265625" style="56" customWidth="1"/>
    <col min="3076" max="3076" width="3" style="56" customWidth="1"/>
    <col min="3077" max="3077" width="1.453125" style="56" customWidth="1"/>
    <col min="3078" max="3080" width="18.7265625" style="56" customWidth="1"/>
    <col min="3081" max="3081" width="1.7265625" style="56" customWidth="1"/>
    <col min="3082" max="3084" width="18.7265625" style="56" customWidth="1"/>
    <col min="3085" max="3085" width="1.26953125" style="56" customWidth="1"/>
    <col min="3086" max="3092" width="11.453125" style="56" customWidth="1"/>
    <col min="3093" max="3093" width="1.7265625" style="56" customWidth="1"/>
    <col min="3094" max="3096" width="18.7265625" style="56" customWidth="1"/>
    <col min="3097" max="3097" width="12.54296875" style="56" bestFit="1" customWidth="1"/>
    <col min="3098" max="3330" width="11.453125" style="56"/>
    <col min="3331" max="3331" width="35.7265625" style="56" customWidth="1"/>
    <col min="3332" max="3332" width="3" style="56" customWidth="1"/>
    <col min="3333" max="3333" width="1.453125" style="56" customWidth="1"/>
    <col min="3334" max="3336" width="18.7265625" style="56" customWidth="1"/>
    <col min="3337" max="3337" width="1.7265625" style="56" customWidth="1"/>
    <col min="3338" max="3340" width="18.7265625" style="56" customWidth="1"/>
    <col min="3341" max="3341" width="1.26953125" style="56" customWidth="1"/>
    <col min="3342" max="3348" width="11.453125" style="56" customWidth="1"/>
    <col min="3349" max="3349" width="1.7265625" style="56" customWidth="1"/>
    <col min="3350" max="3352" width="18.7265625" style="56" customWidth="1"/>
    <col min="3353" max="3353" width="12.54296875" style="56" bestFit="1" customWidth="1"/>
    <col min="3354" max="3586" width="11.453125" style="56"/>
    <col min="3587" max="3587" width="35.7265625" style="56" customWidth="1"/>
    <col min="3588" max="3588" width="3" style="56" customWidth="1"/>
    <col min="3589" max="3589" width="1.453125" style="56" customWidth="1"/>
    <col min="3590" max="3592" width="18.7265625" style="56" customWidth="1"/>
    <col min="3593" max="3593" width="1.7265625" style="56" customWidth="1"/>
    <col min="3594" max="3596" width="18.7265625" style="56" customWidth="1"/>
    <col min="3597" max="3597" width="1.26953125" style="56" customWidth="1"/>
    <col min="3598" max="3604" width="11.453125" style="56" customWidth="1"/>
    <col min="3605" max="3605" width="1.7265625" style="56" customWidth="1"/>
    <col min="3606" max="3608" width="18.7265625" style="56" customWidth="1"/>
    <col min="3609" max="3609" width="12.54296875" style="56" bestFit="1" customWidth="1"/>
    <col min="3610" max="3842" width="11.453125" style="56"/>
    <col min="3843" max="3843" width="35.7265625" style="56" customWidth="1"/>
    <col min="3844" max="3844" width="3" style="56" customWidth="1"/>
    <col min="3845" max="3845" width="1.453125" style="56" customWidth="1"/>
    <col min="3846" max="3848" width="18.7265625" style="56" customWidth="1"/>
    <col min="3849" max="3849" width="1.7265625" style="56" customWidth="1"/>
    <col min="3850" max="3852" width="18.7265625" style="56" customWidth="1"/>
    <col min="3853" max="3853" width="1.26953125" style="56" customWidth="1"/>
    <col min="3854" max="3860" width="11.453125" style="56" customWidth="1"/>
    <col min="3861" max="3861" width="1.7265625" style="56" customWidth="1"/>
    <col min="3862" max="3864" width="18.7265625" style="56" customWidth="1"/>
    <col min="3865" max="3865" width="12.54296875" style="56" bestFit="1" customWidth="1"/>
    <col min="3866" max="4098" width="11.453125" style="56"/>
    <col min="4099" max="4099" width="35.7265625" style="56" customWidth="1"/>
    <col min="4100" max="4100" width="3" style="56" customWidth="1"/>
    <col min="4101" max="4101" width="1.453125" style="56" customWidth="1"/>
    <col min="4102" max="4104" width="18.7265625" style="56" customWidth="1"/>
    <col min="4105" max="4105" width="1.7265625" style="56" customWidth="1"/>
    <col min="4106" max="4108" width="18.7265625" style="56" customWidth="1"/>
    <col min="4109" max="4109" width="1.26953125" style="56" customWidth="1"/>
    <col min="4110" max="4116" width="11.453125" style="56" customWidth="1"/>
    <col min="4117" max="4117" width="1.7265625" style="56" customWidth="1"/>
    <col min="4118" max="4120" width="18.7265625" style="56" customWidth="1"/>
    <col min="4121" max="4121" width="12.54296875" style="56" bestFit="1" customWidth="1"/>
    <col min="4122" max="4354" width="11.453125" style="56"/>
    <col min="4355" max="4355" width="35.7265625" style="56" customWidth="1"/>
    <col min="4356" max="4356" width="3" style="56" customWidth="1"/>
    <col min="4357" max="4357" width="1.453125" style="56" customWidth="1"/>
    <col min="4358" max="4360" width="18.7265625" style="56" customWidth="1"/>
    <col min="4361" max="4361" width="1.7265625" style="56" customWidth="1"/>
    <col min="4362" max="4364" width="18.7265625" style="56" customWidth="1"/>
    <col min="4365" max="4365" width="1.26953125" style="56" customWidth="1"/>
    <col min="4366" max="4372" width="11.453125" style="56" customWidth="1"/>
    <col min="4373" max="4373" width="1.7265625" style="56" customWidth="1"/>
    <col min="4374" max="4376" width="18.7265625" style="56" customWidth="1"/>
    <col min="4377" max="4377" width="12.54296875" style="56" bestFit="1" customWidth="1"/>
    <col min="4378" max="4610" width="11.453125" style="56"/>
    <col min="4611" max="4611" width="35.7265625" style="56" customWidth="1"/>
    <col min="4612" max="4612" width="3" style="56" customWidth="1"/>
    <col min="4613" max="4613" width="1.453125" style="56" customWidth="1"/>
    <col min="4614" max="4616" width="18.7265625" style="56" customWidth="1"/>
    <col min="4617" max="4617" width="1.7265625" style="56" customWidth="1"/>
    <col min="4618" max="4620" width="18.7265625" style="56" customWidth="1"/>
    <col min="4621" max="4621" width="1.26953125" style="56" customWidth="1"/>
    <col min="4622" max="4628" width="11.453125" style="56" customWidth="1"/>
    <col min="4629" max="4629" width="1.7265625" style="56" customWidth="1"/>
    <col min="4630" max="4632" width="18.7265625" style="56" customWidth="1"/>
    <col min="4633" max="4633" width="12.54296875" style="56" bestFit="1" customWidth="1"/>
    <col min="4634" max="4866" width="11.453125" style="56"/>
    <col min="4867" max="4867" width="35.7265625" style="56" customWidth="1"/>
    <col min="4868" max="4868" width="3" style="56" customWidth="1"/>
    <col min="4869" max="4869" width="1.453125" style="56" customWidth="1"/>
    <col min="4870" max="4872" width="18.7265625" style="56" customWidth="1"/>
    <col min="4873" max="4873" width="1.7265625" style="56" customWidth="1"/>
    <col min="4874" max="4876" width="18.7265625" style="56" customWidth="1"/>
    <col min="4877" max="4877" width="1.26953125" style="56" customWidth="1"/>
    <col min="4878" max="4884" width="11.453125" style="56" customWidth="1"/>
    <col min="4885" max="4885" width="1.7265625" style="56" customWidth="1"/>
    <col min="4886" max="4888" width="18.7265625" style="56" customWidth="1"/>
    <col min="4889" max="4889" width="12.54296875" style="56" bestFit="1" customWidth="1"/>
    <col min="4890" max="5122" width="11.453125" style="56"/>
    <col min="5123" max="5123" width="35.7265625" style="56" customWidth="1"/>
    <col min="5124" max="5124" width="3" style="56" customWidth="1"/>
    <col min="5125" max="5125" width="1.453125" style="56" customWidth="1"/>
    <col min="5126" max="5128" width="18.7265625" style="56" customWidth="1"/>
    <col min="5129" max="5129" width="1.7265625" style="56" customWidth="1"/>
    <col min="5130" max="5132" width="18.7265625" style="56" customWidth="1"/>
    <col min="5133" max="5133" width="1.26953125" style="56" customWidth="1"/>
    <col min="5134" max="5140" width="11.453125" style="56" customWidth="1"/>
    <col min="5141" max="5141" width="1.7265625" style="56" customWidth="1"/>
    <col min="5142" max="5144" width="18.7265625" style="56" customWidth="1"/>
    <col min="5145" max="5145" width="12.54296875" style="56" bestFit="1" customWidth="1"/>
    <col min="5146" max="5378" width="11.453125" style="56"/>
    <col min="5379" max="5379" width="35.7265625" style="56" customWidth="1"/>
    <col min="5380" max="5380" width="3" style="56" customWidth="1"/>
    <col min="5381" max="5381" width="1.453125" style="56" customWidth="1"/>
    <col min="5382" max="5384" width="18.7265625" style="56" customWidth="1"/>
    <col min="5385" max="5385" width="1.7265625" style="56" customWidth="1"/>
    <col min="5386" max="5388" width="18.7265625" style="56" customWidth="1"/>
    <col min="5389" max="5389" width="1.26953125" style="56" customWidth="1"/>
    <col min="5390" max="5396" width="11.453125" style="56" customWidth="1"/>
    <col min="5397" max="5397" width="1.7265625" style="56" customWidth="1"/>
    <col min="5398" max="5400" width="18.7265625" style="56" customWidth="1"/>
    <col min="5401" max="5401" width="12.54296875" style="56" bestFit="1" customWidth="1"/>
    <col min="5402" max="5634" width="11.453125" style="56"/>
    <col min="5635" max="5635" width="35.7265625" style="56" customWidth="1"/>
    <col min="5636" max="5636" width="3" style="56" customWidth="1"/>
    <col min="5637" max="5637" width="1.453125" style="56" customWidth="1"/>
    <col min="5638" max="5640" width="18.7265625" style="56" customWidth="1"/>
    <col min="5641" max="5641" width="1.7265625" style="56" customWidth="1"/>
    <col min="5642" max="5644" width="18.7265625" style="56" customWidth="1"/>
    <col min="5645" max="5645" width="1.26953125" style="56" customWidth="1"/>
    <col min="5646" max="5652" width="11.453125" style="56" customWidth="1"/>
    <col min="5653" max="5653" width="1.7265625" style="56" customWidth="1"/>
    <col min="5654" max="5656" width="18.7265625" style="56" customWidth="1"/>
    <col min="5657" max="5657" width="12.54296875" style="56" bestFit="1" customWidth="1"/>
    <col min="5658" max="5890" width="11.453125" style="56"/>
    <col min="5891" max="5891" width="35.7265625" style="56" customWidth="1"/>
    <col min="5892" max="5892" width="3" style="56" customWidth="1"/>
    <col min="5893" max="5893" width="1.453125" style="56" customWidth="1"/>
    <col min="5894" max="5896" width="18.7265625" style="56" customWidth="1"/>
    <col min="5897" max="5897" width="1.7265625" style="56" customWidth="1"/>
    <col min="5898" max="5900" width="18.7265625" style="56" customWidth="1"/>
    <col min="5901" max="5901" width="1.26953125" style="56" customWidth="1"/>
    <col min="5902" max="5908" width="11.453125" style="56" customWidth="1"/>
    <col min="5909" max="5909" width="1.7265625" style="56" customWidth="1"/>
    <col min="5910" max="5912" width="18.7265625" style="56" customWidth="1"/>
    <col min="5913" max="5913" width="12.54296875" style="56" bestFit="1" customWidth="1"/>
    <col min="5914" max="6146" width="11.453125" style="56"/>
    <col min="6147" max="6147" width="35.7265625" style="56" customWidth="1"/>
    <col min="6148" max="6148" width="3" style="56" customWidth="1"/>
    <col min="6149" max="6149" width="1.453125" style="56" customWidth="1"/>
    <col min="6150" max="6152" width="18.7265625" style="56" customWidth="1"/>
    <col min="6153" max="6153" width="1.7265625" style="56" customWidth="1"/>
    <col min="6154" max="6156" width="18.7265625" style="56" customWidth="1"/>
    <col min="6157" max="6157" width="1.26953125" style="56" customWidth="1"/>
    <col min="6158" max="6164" width="11.453125" style="56" customWidth="1"/>
    <col min="6165" max="6165" width="1.7265625" style="56" customWidth="1"/>
    <col min="6166" max="6168" width="18.7265625" style="56" customWidth="1"/>
    <col min="6169" max="6169" width="12.54296875" style="56" bestFit="1" customWidth="1"/>
    <col min="6170" max="6402" width="11.453125" style="56"/>
    <col min="6403" max="6403" width="35.7265625" style="56" customWidth="1"/>
    <col min="6404" max="6404" width="3" style="56" customWidth="1"/>
    <col min="6405" max="6405" width="1.453125" style="56" customWidth="1"/>
    <col min="6406" max="6408" width="18.7265625" style="56" customWidth="1"/>
    <col min="6409" max="6409" width="1.7265625" style="56" customWidth="1"/>
    <col min="6410" max="6412" width="18.7265625" style="56" customWidth="1"/>
    <col min="6413" max="6413" width="1.26953125" style="56" customWidth="1"/>
    <col min="6414" max="6420" width="11.453125" style="56" customWidth="1"/>
    <col min="6421" max="6421" width="1.7265625" style="56" customWidth="1"/>
    <col min="6422" max="6424" width="18.7265625" style="56" customWidth="1"/>
    <col min="6425" max="6425" width="12.54296875" style="56" bestFit="1" customWidth="1"/>
    <col min="6426" max="6658" width="11.453125" style="56"/>
    <col min="6659" max="6659" width="35.7265625" style="56" customWidth="1"/>
    <col min="6660" max="6660" width="3" style="56" customWidth="1"/>
    <col min="6661" max="6661" width="1.453125" style="56" customWidth="1"/>
    <col min="6662" max="6664" width="18.7265625" style="56" customWidth="1"/>
    <col min="6665" max="6665" width="1.7265625" style="56" customWidth="1"/>
    <col min="6666" max="6668" width="18.7265625" style="56" customWidth="1"/>
    <col min="6669" max="6669" width="1.26953125" style="56" customWidth="1"/>
    <col min="6670" max="6676" width="11.453125" style="56" customWidth="1"/>
    <col min="6677" max="6677" width="1.7265625" style="56" customWidth="1"/>
    <col min="6678" max="6680" width="18.7265625" style="56" customWidth="1"/>
    <col min="6681" max="6681" width="12.54296875" style="56" bestFit="1" customWidth="1"/>
    <col min="6682" max="6914" width="11.453125" style="56"/>
    <col min="6915" max="6915" width="35.7265625" style="56" customWidth="1"/>
    <col min="6916" max="6916" width="3" style="56" customWidth="1"/>
    <col min="6917" max="6917" width="1.453125" style="56" customWidth="1"/>
    <col min="6918" max="6920" width="18.7265625" style="56" customWidth="1"/>
    <col min="6921" max="6921" width="1.7265625" style="56" customWidth="1"/>
    <col min="6922" max="6924" width="18.7265625" style="56" customWidth="1"/>
    <col min="6925" max="6925" width="1.26953125" style="56" customWidth="1"/>
    <col min="6926" max="6932" width="11.453125" style="56" customWidth="1"/>
    <col min="6933" max="6933" width="1.7265625" style="56" customWidth="1"/>
    <col min="6934" max="6936" width="18.7265625" style="56" customWidth="1"/>
    <col min="6937" max="6937" width="12.54296875" style="56" bestFit="1" customWidth="1"/>
    <col min="6938" max="7170" width="11.453125" style="56"/>
    <col min="7171" max="7171" width="35.7265625" style="56" customWidth="1"/>
    <col min="7172" max="7172" width="3" style="56" customWidth="1"/>
    <col min="7173" max="7173" width="1.453125" style="56" customWidth="1"/>
    <col min="7174" max="7176" width="18.7265625" style="56" customWidth="1"/>
    <col min="7177" max="7177" width="1.7265625" style="56" customWidth="1"/>
    <col min="7178" max="7180" width="18.7265625" style="56" customWidth="1"/>
    <col min="7181" max="7181" width="1.26953125" style="56" customWidth="1"/>
    <col min="7182" max="7188" width="11.453125" style="56" customWidth="1"/>
    <col min="7189" max="7189" width="1.7265625" style="56" customWidth="1"/>
    <col min="7190" max="7192" width="18.7265625" style="56" customWidth="1"/>
    <col min="7193" max="7193" width="12.54296875" style="56" bestFit="1" customWidth="1"/>
    <col min="7194" max="7426" width="11.453125" style="56"/>
    <col min="7427" max="7427" width="35.7265625" style="56" customWidth="1"/>
    <col min="7428" max="7428" width="3" style="56" customWidth="1"/>
    <col min="7429" max="7429" width="1.453125" style="56" customWidth="1"/>
    <col min="7430" max="7432" width="18.7265625" style="56" customWidth="1"/>
    <col min="7433" max="7433" width="1.7265625" style="56" customWidth="1"/>
    <col min="7434" max="7436" width="18.7265625" style="56" customWidth="1"/>
    <col min="7437" max="7437" width="1.26953125" style="56" customWidth="1"/>
    <col min="7438" max="7444" width="11.453125" style="56" customWidth="1"/>
    <col min="7445" max="7445" width="1.7265625" style="56" customWidth="1"/>
    <col min="7446" max="7448" width="18.7265625" style="56" customWidth="1"/>
    <col min="7449" max="7449" width="12.54296875" style="56" bestFit="1" customWidth="1"/>
    <col min="7450" max="7682" width="11.453125" style="56"/>
    <col min="7683" max="7683" width="35.7265625" style="56" customWidth="1"/>
    <col min="7684" max="7684" width="3" style="56" customWidth="1"/>
    <col min="7685" max="7685" width="1.453125" style="56" customWidth="1"/>
    <col min="7686" max="7688" width="18.7265625" style="56" customWidth="1"/>
    <col min="7689" max="7689" width="1.7265625" style="56" customWidth="1"/>
    <col min="7690" max="7692" width="18.7265625" style="56" customWidth="1"/>
    <col min="7693" max="7693" width="1.26953125" style="56" customWidth="1"/>
    <col min="7694" max="7700" width="11.453125" style="56" customWidth="1"/>
    <col min="7701" max="7701" width="1.7265625" style="56" customWidth="1"/>
    <col min="7702" max="7704" width="18.7265625" style="56" customWidth="1"/>
    <col min="7705" max="7705" width="12.54296875" style="56" bestFit="1" customWidth="1"/>
    <col min="7706" max="7938" width="11.453125" style="56"/>
    <col min="7939" max="7939" width="35.7265625" style="56" customWidth="1"/>
    <col min="7940" max="7940" width="3" style="56" customWidth="1"/>
    <col min="7941" max="7941" width="1.453125" style="56" customWidth="1"/>
    <col min="7942" max="7944" width="18.7265625" style="56" customWidth="1"/>
    <col min="7945" max="7945" width="1.7265625" style="56" customWidth="1"/>
    <col min="7946" max="7948" width="18.7265625" style="56" customWidth="1"/>
    <col min="7949" max="7949" width="1.26953125" style="56" customWidth="1"/>
    <col min="7950" max="7956" width="11.453125" style="56" customWidth="1"/>
    <col min="7957" max="7957" width="1.7265625" style="56" customWidth="1"/>
    <col min="7958" max="7960" width="18.7265625" style="56" customWidth="1"/>
    <col min="7961" max="7961" width="12.54296875" style="56" bestFit="1" customWidth="1"/>
    <col min="7962" max="8194" width="11.453125" style="56"/>
    <col min="8195" max="8195" width="35.7265625" style="56" customWidth="1"/>
    <col min="8196" max="8196" width="3" style="56" customWidth="1"/>
    <col min="8197" max="8197" width="1.453125" style="56" customWidth="1"/>
    <col min="8198" max="8200" width="18.7265625" style="56" customWidth="1"/>
    <col min="8201" max="8201" width="1.7265625" style="56" customWidth="1"/>
    <col min="8202" max="8204" width="18.7265625" style="56" customWidth="1"/>
    <col min="8205" max="8205" width="1.26953125" style="56" customWidth="1"/>
    <col min="8206" max="8212" width="11.453125" style="56" customWidth="1"/>
    <col min="8213" max="8213" width="1.7265625" style="56" customWidth="1"/>
    <col min="8214" max="8216" width="18.7265625" style="56" customWidth="1"/>
    <col min="8217" max="8217" width="12.54296875" style="56" bestFit="1" customWidth="1"/>
    <col min="8218" max="8450" width="11.453125" style="56"/>
    <col min="8451" max="8451" width="35.7265625" style="56" customWidth="1"/>
    <col min="8452" max="8452" width="3" style="56" customWidth="1"/>
    <col min="8453" max="8453" width="1.453125" style="56" customWidth="1"/>
    <col min="8454" max="8456" width="18.7265625" style="56" customWidth="1"/>
    <col min="8457" max="8457" width="1.7265625" style="56" customWidth="1"/>
    <col min="8458" max="8460" width="18.7265625" style="56" customWidth="1"/>
    <col min="8461" max="8461" width="1.26953125" style="56" customWidth="1"/>
    <col min="8462" max="8468" width="11.453125" style="56" customWidth="1"/>
    <col min="8469" max="8469" width="1.7265625" style="56" customWidth="1"/>
    <col min="8470" max="8472" width="18.7265625" style="56" customWidth="1"/>
    <col min="8473" max="8473" width="12.54296875" style="56" bestFit="1" customWidth="1"/>
    <col min="8474" max="8706" width="11.453125" style="56"/>
    <col min="8707" max="8707" width="35.7265625" style="56" customWidth="1"/>
    <col min="8708" max="8708" width="3" style="56" customWidth="1"/>
    <col min="8709" max="8709" width="1.453125" style="56" customWidth="1"/>
    <col min="8710" max="8712" width="18.7265625" style="56" customWidth="1"/>
    <col min="8713" max="8713" width="1.7265625" style="56" customWidth="1"/>
    <col min="8714" max="8716" width="18.7265625" style="56" customWidth="1"/>
    <col min="8717" max="8717" width="1.26953125" style="56" customWidth="1"/>
    <col min="8718" max="8724" width="11.453125" style="56" customWidth="1"/>
    <col min="8725" max="8725" width="1.7265625" style="56" customWidth="1"/>
    <col min="8726" max="8728" width="18.7265625" style="56" customWidth="1"/>
    <col min="8729" max="8729" width="12.54296875" style="56" bestFit="1" customWidth="1"/>
    <col min="8730" max="8962" width="11.453125" style="56"/>
    <col min="8963" max="8963" width="35.7265625" style="56" customWidth="1"/>
    <col min="8964" max="8964" width="3" style="56" customWidth="1"/>
    <col min="8965" max="8965" width="1.453125" style="56" customWidth="1"/>
    <col min="8966" max="8968" width="18.7265625" style="56" customWidth="1"/>
    <col min="8969" max="8969" width="1.7265625" style="56" customWidth="1"/>
    <col min="8970" max="8972" width="18.7265625" style="56" customWidth="1"/>
    <col min="8973" max="8973" width="1.26953125" style="56" customWidth="1"/>
    <col min="8974" max="8980" width="11.453125" style="56" customWidth="1"/>
    <col min="8981" max="8981" width="1.7265625" style="56" customWidth="1"/>
    <col min="8982" max="8984" width="18.7265625" style="56" customWidth="1"/>
    <col min="8985" max="8985" width="12.54296875" style="56" bestFit="1" customWidth="1"/>
    <col min="8986" max="9218" width="11.453125" style="56"/>
    <col min="9219" max="9219" width="35.7265625" style="56" customWidth="1"/>
    <col min="9220" max="9220" width="3" style="56" customWidth="1"/>
    <col min="9221" max="9221" width="1.453125" style="56" customWidth="1"/>
    <col min="9222" max="9224" width="18.7265625" style="56" customWidth="1"/>
    <col min="9225" max="9225" width="1.7265625" style="56" customWidth="1"/>
    <col min="9226" max="9228" width="18.7265625" style="56" customWidth="1"/>
    <col min="9229" max="9229" width="1.26953125" style="56" customWidth="1"/>
    <col min="9230" max="9236" width="11.453125" style="56" customWidth="1"/>
    <col min="9237" max="9237" width="1.7265625" style="56" customWidth="1"/>
    <col min="9238" max="9240" width="18.7265625" style="56" customWidth="1"/>
    <col min="9241" max="9241" width="12.54296875" style="56" bestFit="1" customWidth="1"/>
    <col min="9242" max="9474" width="11.453125" style="56"/>
    <col min="9475" max="9475" width="35.7265625" style="56" customWidth="1"/>
    <col min="9476" max="9476" width="3" style="56" customWidth="1"/>
    <col min="9477" max="9477" width="1.453125" style="56" customWidth="1"/>
    <col min="9478" max="9480" width="18.7265625" style="56" customWidth="1"/>
    <col min="9481" max="9481" width="1.7265625" style="56" customWidth="1"/>
    <col min="9482" max="9484" width="18.7265625" style="56" customWidth="1"/>
    <col min="9485" max="9485" width="1.26953125" style="56" customWidth="1"/>
    <col min="9486" max="9492" width="11.453125" style="56" customWidth="1"/>
    <col min="9493" max="9493" width="1.7265625" style="56" customWidth="1"/>
    <col min="9494" max="9496" width="18.7265625" style="56" customWidth="1"/>
    <col min="9497" max="9497" width="12.54296875" style="56" bestFit="1" customWidth="1"/>
    <col min="9498" max="9730" width="11.453125" style="56"/>
    <col min="9731" max="9731" width="35.7265625" style="56" customWidth="1"/>
    <col min="9732" max="9732" width="3" style="56" customWidth="1"/>
    <col min="9733" max="9733" width="1.453125" style="56" customWidth="1"/>
    <col min="9734" max="9736" width="18.7265625" style="56" customWidth="1"/>
    <col min="9737" max="9737" width="1.7265625" style="56" customWidth="1"/>
    <col min="9738" max="9740" width="18.7265625" style="56" customWidth="1"/>
    <col min="9741" max="9741" width="1.26953125" style="56" customWidth="1"/>
    <col min="9742" max="9748" width="11.453125" style="56" customWidth="1"/>
    <col min="9749" max="9749" width="1.7265625" style="56" customWidth="1"/>
    <col min="9750" max="9752" width="18.7265625" style="56" customWidth="1"/>
    <col min="9753" max="9753" width="12.54296875" style="56" bestFit="1" customWidth="1"/>
    <col min="9754" max="9986" width="11.453125" style="56"/>
    <col min="9987" max="9987" width="35.7265625" style="56" customWidth="1"/>
    <col min="9988" max="9988" width="3" style="56" customWidth="1"/>
    <col min="9989" max="9989" width="1.453125" style="56" customWidth="1"/>
    <col min="9990" max="9992" width="18.7265625" style="56" customWidth="1"/>
    <col min="9993" max="9993" width="1.7265625" style="56" customWidth="1"/>
    <col min="9994" max="9996" width="18.7265625" style="56" customWidth="1"/>
    <col min="9997" max="9997" width="1.26953125" style="56" customWidth="1"/>
    <col min="9998" max="10004" width="11.453125" style="56" customWidth="1"/>
    <col min="10005" max="10005" width="1.7265625" style="56" customWidth="1"/>
    <col min="10006" max="10008" width="18.7265625" style="56" customWidth="1"/>
    <col min="10009" max="10009" width="12.54296875" style="56" bestFit="1" customWidth="1"/>
    <col min="10010" max="10242" width="11.453125" style="56"/>
    <col min="10243" max="10243" width="35.7265625" style="56" customWidth="1"/>
    <col min="10244" max="10244" width="3" style="56" customWidth="1"/>
    <col min="10245" max="10245" width="1.453125" style="56" customWidth="1"/>
    <col min="10246" max="10248" width="18.7265625" style="56" customWidth="1"/>
    <col min="10249" max="10249" width="1.7265625" style="56" customWidth="1"/>
    <col min="10250" max="10252" width="18.7265625" style="56" customWidth="1"/>
    <col min="10253" max="10253" width="1.26953125" style="56" customWidth="1"/>
    <col min="10254" max="10260" width="11.453125" style="56" customWidth="1"/>
    <col min="10261" max="10261" width="1.7265625" style="56" customWidth="1"/>
    <col min="10262" max="10264" width="18.7265625" style="56" customWidth="1"/>
    <col min="10265" max="10265" width="12.54296875" style="56" bestFit="1" customWidth="1"/>
    <col min="10266" max="10498" width="11.453125" style="56"/>
    <col min="10499" max="10499" width="35.7265625" style="56" customWidth="1"/>
    <col min="10500" max="10500" width="3" style="56" customWidth="1"/>
    <col min="10501" max="10501" width="1.453125" style="56" customWidth="1"/>
    <col min="10502" max="10504" width="18.7265625" style="56" customWidth="1"/>
    <col min="10505" max="10505" width="1.7265625" style="56" customWidth="1"/>
    <col min="10506" max="10508" width="18.7265625" style="56" customWidth="1"/>
    <col min="10509" max="10509" width="1.26953125" style="56" customWidth="1"/>
    <col min="10510" max="10516" width="11.453125" style="56" customWidth="1"/>
    <col min="10517" max="10517" width="1.7265625" style="56" customWidth="1"/>
    <col min="10518" max="10520" width="18.7265625" style="56" customWidth="1"/>
    <col min="10521" max="10521" width="12.54296875" style="56" bestFit="1" customWidth="1"/>
    <col min="10522" max="10754" width="11.453125" style="56"/>
    <col min="10755" max="10755" width="35.7265625" style="56" customWidth="1"/>
    <col min="10756" max="10756" width="3" style="56" customWidth="1"/>
    <col min="10757" max="10757" width="1.453125" style="56" customWidth="1"/>
    <col min="10758" max="10760" width="18.7265625" style="56" customWidth="1"/>
    <col min="10761" max="10761" width="1.7265625" style="56" customWidth="1"/>
    <col min="10762" max="10764" width="18.7265625" style="56" customWidth="1"/>
    <col min="10765" max="10765" width="1.26953125" style="56" customWidth="1"/>
    <col min="10766" max="10772" width="11.453125" style="56" customWidth="1"/>
    <col min="10773" max="10773" width="1.7265625" style="56" customWidth="1"/>
    <col min="10774" max="10776" width="18.7265625" style="56" customWidth="1"/>
    <col min="10777" max="10777" width="12.54296875" style="56" bestFit="1" customWidth="1"/>
    <col min="10778" max="11010" width="11.453125" style="56"/>
    <col min="11011" max="11011" width="35.7265625" style="56" customWidth="1"/>
    <col min="11012" max="11012" width="3" style="56" customWidth="1"/>
    <col min="11013" max="11013" width="1.453125" style="56" customWidth="1"/>
    <col min="11014" max="11016" width="18.7265625" style="56" customWidth="1"/>
    <col min="11017" max="11017" width="1.7265625" style="56" customWidth="1"/>
    <col min="11018" max="11020" width="18.7265625" style="56" customWidth="1"/>
    <col min="11021" max="11021" width="1.26953125" style="56" customWidth="1"/>
    <col min="11022" max="11028" width="11.453125" style="56" customWidth="1"/>
    <col min="11029" max="11029" width="1.7265625" style="56" customWidth="1"/>
    <col min="11030" max="11032" width="18.7265625" style="56" customWidth="1"/>
    <col min="11033" max="11033" width="12.54296875" style="56" bestFit="1" customWidth="1"/>
    <col min="11034" max="11266" width="11.453125" style="56"/>
    <col min="11267" max="11267" width="35.7265625" style="56" customWidth="1"/>
    <col min="11268" max="11268" width="3" style="56" customWidth="1"/>
    <col min="11269" max="11269" width="1.453125" style="56" customWidth="1"/>
    <col min="11270" max="11272" width="18.7265625" style="56" customWidth="1"/>
    <col min="11273" max="11273" width="1.7265625" style="56" customWidth="1"/>
    <col min="11274" max="11276" width="18.7265625" style="56" customWidth="1"/>
    <col min="11277" max="11277" width="1.26953125" style="56" customWidth="1"/>
    <col min="11278" max="11284" width="11.453125" style="56" customWidth="1"/>
    <col min="11285" max="11285" width="1.7265625" style="56" customWidth="1"/>
    <col min="11286" max="11288" width="18.7265625" style="56" customWidth="1"/>
    <col min="11289" max="11289" width="12.54296875" style="56" bestFit="1" customWidth="1"/>
    <col min="11290" max="11522" width="11.453125" style="56"/>
    <col min="11523" max="11523" width="35.7265625" style="56" customWidth="1"/>
    <col min="11524" max="11524" width="3" style="56" customWidth="1"/>
    <col min="11525" max="11525" width="1.453125" style="56" customWidth="1"/>
    <col min="11526" max="11528" width="18.7265625" style="56" customWidth="1"/>
    <col min="11529" max="11529" width="1.7265625" style="56" customWidth="1"/>
    <col min="11530" max="11532" width="18.7265625" style="56" customWidth="1"/>
    <col min="11533" max="11533" width="1.26953125" style="56" customWidth="1"/>
    <col min="11534" max="11540" width="11.453125" style="56" customWidth="1"/>
    <col min="11541" max="11541" width="1.7265625" style="56" customWidth="1"/>
    <col min="11542" max="11544" width="18.7265625" style="56" customWidth="1"/>
    <col min="11545" max="11545" width="12.54296875" style="56" bestFit="1" customWidth="1"/>
    <col min="11546" max="11778" width="11.453125" style="56"/>
    <col min="11779" max="11779" width="35.7265625" style="56" customWidth="1"/>
    <col min="11780" max="11780" width="3" style="56" customWidth="1"/>
    <col min="11781" max="11781" width="1.453125" style="56" customWidth="1"/>
    <col min="11782" max="11784" width="18.7265625" style="56" customWidth="1"/>
    <col min="11785" max="11785" width="1.7265625" style="56" customWidth="1"/>
    <col min="11786" max="11788" width="18.7265625" style="56" customWidth="1"/>
    <col min="11789" max="11789" width="1.26953125" style="56" customWidth="1"/>
    <col min="11790" max="11796" width="11.453125" style="56" customWidth="1"/>
    <col min="11797" max="11797" width="1.7265625" style="56" customWidth="1"/>
    <col min="11798" max="11800" width="18.7265625" style="56" customWidth="1"/>
    <col min="11801" max="11801" width="12.54296875" style="56" bestFit="1" customWidth="1"/>
    <col min="11802" max="12034" width="11.453125" style="56"/>
    <col min="12035" max="12035" width="35.7265625" style="56" customWidth="1"/>
    <col min="12036" max="12036" width="3" style="56" customWidth="1"/>
    <col min="12037" max="12037" width="1.453125" style="56" customWidth="1"/>
    <col min="12038" max="12040" width="18.7265625" style="56" customWidth="1"/>
    <col min="12041" max="12041" width="1.7265625" style="56" customWidth="1"/>
    <col min="12042" max="12044" width="18.7265625" style="56" customWidth="1"/>
    <col min="12045" max="12045" width="1.26953125" style="56" customWidth="1"/>
    <col min="12046" max="12052" width="11.453125" style="56" customWidth="1"/>
    <col min="12053" max="12053" width="1.7265625" style="56" customWidth="1"/>
    <col min="12054" max="12056" width="18.7265625" style="56" customWidth="1"/>
    <col min="12057" max="12057" width="12.54296875" style="56" bestFit="1" customWidth="1"/>
    <col min="12058" max="12290" width="11.453125" style="56"/>
    <col min="12291" max="12291" width="35.7265625" style="56" customWidth="1"/>
    <col min="12292" max="12292" width="3" style="56" customWidth="1"/>
    <col min="12293" max="12293" width="1.453125" style="56" customWidth="1"/>
    <col min="12294" max="12296" width="18.7265625" style="56" customWidth="1"/>
    <col min="12297" max="12297" width="1.7265625" style="56" customWidth="1"/>
    <col min="12298" max="12300" width="18.7265625" style="56" customWidth="1"/>
    <col min="12301" max="12301" width="1.26953125" style="56" customWidth="1"/>
    <col min="12302" max="12308" width="11.453125" style="56" customWidth="1"/>
    <col min="12309" max="12309" width="1.7265625" style="56" customWidth="1"/>
    <col min="12310" max="12312" width="18.7265625" style="56" customWidth="1"/>
    <col min="12313" max="12313" width="12.54296875" style="56" bestFit="1" customWidth="1"/>
    <col min="12314" max="12546" width="11.453125" style="56"/>
    <col min="12547" max="12547" width="35.7265625" style="56" customWidth="1"/>
    <col min="12548" max="12548" width="3" style="56" customWidth="1"/>
    <col min="12549" max="12549" width="1.453125" style="56" customWidth="1"/>
    <col min="12550" max="12552" width="18.7265625" style="56" customWidth="1"/>
    <col min="12553" max="12553" width="1.7265625" style="56" customWidth="1"/>
    <col min="12554" max="12556" width="18.7265625" style="56" customWidth="1"/>
    <col min="12557" max="12557" width="1.26953125" style="56" customWidth="1"/>
    <col min="12558" max="12564" width="11.453125" style="56" customWidth="1"/>
    <col min="12565" max="12565" width="1.7265625" style="56" customWidth="1"/>
    <col min="12566" max="12568" width="18.7265625" style="56" customWidth="1"/>
    <col min="12569" max="12569" width="12.54296875" style="56" bestFit="1" customWidth="1"/>
    <col min="12570" max="12802" width="11.453125" style="56"/>
    <col min="12803" max="12803" width="35.7265625" style="56" customWidth="1"/>
    <col min="12804" max="12804" width="3" style="56" customWidth="1"/>
    <col min="12805" max="12805" width="1.453125" style="56" customWidth="1"/>
    <col min="12806" max="12808" width="18.7265625" style="56" customWidth="1"/>
    <col min="12809" max="12809" width="1.7265625" style="56" customWidth="1"/>
    <col min="12810" max="12812" width="18.7265625" style="56" customWidth="1"/>
    <col min="12813" max="12813" width="1.26953125" style="56" customWidth="1"/>
    <col min="12814" max="12820" width="11.453125" style="56" customWidth="1"/>
    <col min="12821" max="12821" width="1.7265625" style="56" customWidth="1"/>
    <col min="12822" max="12824" width="18.7265625" style="56" customWidth="1"/>
    <col min="12825" max="12825" width="12.54296875" style="56" bestFit="1" customWidth="1"/>
    <col min="12826" max="13058" width="11.453125" style="56"/>
    <col min="13059" max="13059" width="35.7265625" style="56" customWidth="1"/>
    <col min="13060" max="13060" width="3" style="56" customWidth="1"/>
    <col min="13061" max="13061" width="1.453125" style="56" customWidth="1"/>
    <col min="13062" max="13064" width="18.7265625" style="56" customWidth="1"/>
    <col min="13065" max="13065" width="1.7265625" style="56" customWidth="1"/>
    <col min="13066" max="13068" width="18.7265625" style="56" customWidth="1"/>
    <col min="13069" max="13069" width="1.26953125" style="56" customWidth="1"/>
    <col min="13070" max="13076" width="11.453125" style="56" customWidth="1"/>
    <col min="13077" max="13077" width="1.7265625" style="56" customWidth="1"/>
    <col min="13078" max="13080" width="18.7265625" style="56" customWidth="1"/>
    <col min="13081" max="13081" width="12.54296875" style="56" bestFit="1" customWidth="1"/>
    <col min="13082" max="13314" width="11.453125" style="56"/>
    <col min="13315" max="13315" width="35.7265625" style="56" customWidth="1"/>
    <col min="13316" max="13316" width="3" style="56" customWidth="1"/>
    <col min="13317" max="13317" width="1.453125" style="56" customWidth="1"/>
    <col min="13318" max="13320" width="18.7265625" style="56" customWidth="1"/>
    <col min="13321" max="13321" width="1.7265625" style="56" customWidth="1"/>
    <col min="13322" max="13324" width="18.7265625" style="56" customWidth="1"/>
    <col min="13325" max="13325" width="1.26953125" style="56" customWidth="1"/>
    <col min="13326" max="13332" width="11.453125" style="56" customWidth="1"/>
    <col min="13333" max="13333" width="1.7265625" style="56" customWidth="1"/>
    <col min="13334" max="13336" width="18.7265625" style="56" customWidth="1"/>
    <col min="13337" max="13337" width="12.54296875" style="56" bestFit="1" customWidth="1"/>
    <col min="13338" max="13570" width="11.453125" style="56"/>
    <col min="13571" max="13571" width="35.7265625" style="56" customWidth="1"/>
    <col min="13572" max="13572" width="3" style="56" customWidth="1"/>
    <col min="13573" max="13573" width="1.453125" style="56" customWidth="1"/>
    <col min="13574" max="13576" width="18.7265625" style="56" customWidth="1"/>
    <col min="13577" max="13577" width="1.7265625" style="56" customWidth="1"/>
    <col min="13578" max="13580" width="18.7265625" style="56" customWidth="1"/>
    <col min="13581" max="13581" width="1.26953125" style="56" customWidth="1"/>
    <col min="13582" max="13588" width="11.453125" style="56" customWidth="1"/>
    <col min="13589" max="13589" width="1.7265625" style="56" customWidth="1"/>
    <col min="13590" max="13592" width="18.7265625" style="56" customWidth="1"/>
    <col min="13593" max="13593" width="12.54296875" style="56" bestFit="1" customWidth="1"/>
    <col min="13594" max="13826" width="11.453125" style="56"/>
    <col min="13827" max="13827" width="35.7265625" style="56" customWidth="1"/>
    <col min="13828" max="13828" width="3" style="56" customWidth="1"/>
    <col min="13829" max="13829" width="1.453125" style="56" customWidth="1"/>
    <col min="13830" max="13832" width="18.7265625" style="56" customWidth="1"/>
    <col min="13833" max="13833" width="1.7265625" style="56" customWidth="1"/>
    <col min="13834" max="13836" width="18.7265625" style="56" customWidth="1"/>
    <col min="13837" max="13837" width="1.26953125" style="56" customWidth="1"/>
    <col min="13838" max="13844" width="11.453125" style="56" customWidth="1"/>
    <col min="13845" max="13845" width="1.7265625" style="56" customWidth="1"/>
    <col min="13846" max="13848" width="18.7265625" style="56" customWidth="1"/>
    <col min="13849" max="13849" width="12.54296875" style="56" bestFit="1" customWidth="1"/>
    <col min="13850" max="14082" width="11.453125" style="56"/>
    <col min="14083" max="14083" width="35.7265625" style="56" customWidth="1"/>
    <col min="14084" max="14084" width="3" style="56" customWidth="1"/>
    <col min="14085" max="14085" width="1.453125" style="56" customWidth="1"/>
    <col min="14086" max="14088" width="18.7265625" style="56" customWidth="1"/>
    <col min="14089" max="14089" width="1.7265625" style="56" customWidth="1"/>
    <col min="14090" max="14092" width="18.7265625" style="56" customWidth="1"/>
    <col min="14093" max="14093" width="1.26953125" style="56" customWidth="1"/>
    <col min="14094" max="14100" width="11.453125" style="56" customWidth="1"/>
    <col min="14101" max="14101" width="1.7265625" style="56" customWidth="1"/>
    <col min="14102" max="14104" width="18.7265625" style="56" customWidth="1"/>
    <col min="14105" max="14105" width="12.54296875" style="56" bestFit="1" customWidth="1"/>
    <col min="14106" max="14338" width="11.453125" style="56"/>
    <col min="14339" max="14339" width="35.7265625" style="56" customWidth="1"/>
    <col min="14340" max="14340" width="3" style="56" customWidth="1"/>
    <col min="14341" max="14341" width="1.453125" style="56" customWidth="1"/>
    <col min="14342" max="14344" width="18.7265625" style="56" customWidth="1"/>
    <col min="14345" max="14345" width="1.7265625" style="56" customWidth="1"/>
    <col min="14346" max="14348" width="18.7265625" style="56" customWidth="1"/>
    <col min="14349" max="14349" width="1.26953125" style="56" customWidth="1"/>
    <col min="14350" max="14356" width="11.453125" style="56" customWidth="1"/>
    <col min="14357" max="14357" width="1.7265625" style="56" customWidth="1"/>
    <col min="14358" max="14360" width="18.7265625" style="56" customWidth="1"/>
    <col min="14361" max="14361" width="12.54296875" style="56" bestFit="1" customWidth="1"/>
    <col min="14362" max="14594" width="11.453125" style="56"/>
    <col min="14595" max="14595" width="35.7265625" style="56" customWidth="1"/>
    <col min="14596" max="14596" width="3" style="56" customWidth="1"/>
    <col min="14597" max="14597" width="1.453125" style="56" customWidth="1"/>
    <col min="14598" max="14600" width="18.7265625" style="56" customWidth="1"/>
    <col min="14601" max="14601" width="1.7265625" style="56" customWidth="1"/>
    <col min="14602" max="14604" width="18.7265625" style="56" customWidth="1"/>
    <col min="14605" max="14605" width="1.26953125" style="56" customWidth="1"/>
    <col min="14606" max="14612" width="11.453125" style="56" customWidth="1"/>
    <col min="14613" max="14613" width="1.7265625" style="56" customWidth="1"/>
    <col min="14614" max="14616" width="18.7265625" style="56" customWidth="1"/>
    <col min="14617" max="14617" width="12.54296875" style="56" bestFit="1" customWidth="1"/>
    <col min="14618" max="14850" width="11.453125" style="56"/>
    <col min="14851" max="14851" width="35.7265625" style="56" customWidth="1"/>
    <col min="14852" max="14852" width="3" style="56" customWidth="1"/>
    <col min="14853" max="14853" width="1.453125" style="56" customWidth="1"/>
    <col min="14854" max="14856" width="18.7265625" style="56" customWidth="1"/>
    <col min="14857" max="14857" width="1.7265625" style="56" customWidth="1"/>
    <col min="14858" max="14860" width="18.7265625" style="56" customWidth="1"/>
    <col min="14861" max="14861" width="1.26953125" style="56" customWidth="1"/>
    <col min="14862" max="14868" width="11.453125" style="56" customWidth="1"/>
    <col min="14869" max="14869" width="1.7265625" style="56" customWidth="1"/>
    <col min="14870" max="14872" width="18.7265625" style="56" customWidth="1"/>
    <col min="14873" max="14873" width="12.54296875" style="56" bestFit="1" customWidth="1"/>
    <col min="14874" max="15106" width="11.453125" style="56"/>
    <col min="15107" max="15107" width="35.7265625" style="56" customWidth="1"/>
    <col min="15108" max="15108" width="3" style="56" customWidth="1"/>
    <col min="15109" max="15109" width="1.453125" style="56" customWidth="1"/>
    <col min="15110" max="15112" width="18.7265625" style="56" customWidth="1"/>
    <col min="15113" max="15113" width="1.7265625" style="56" customWidth="1"/>
    <col min="15114" max="15116" width="18.7265625" style="56" customWidth="1"/>
    <col min="15117" max="15117" width="1.26953125" style="56" customWidth="1"/>
    <col min="15118" max="15124" width="11.453125" style="56" customWidth="1"/>
    <col min="15125" max="15125" width="1.7265625" style="56" customWidth="1"/>
    <col min="15126" max="15128" width="18.7265625" style="56" customWidth="1"/>
    <col min="15129" max="15129" width="12.54296875" style="56" bestFit="1" customWidth="1"/>
    <col min="15130" max="15362" width="11.453125" style="56"/>
    <col min="15363" max="15363" width="35.7265625" style="56" customWidth="1"/>
    <col min="15364" max="15364" width="3" style="56" customWidth="1"/>
    <col min="15365" max="15365" width="1.453125" style="56" customWidth="1"/>
    <col min="15366" max="15368" width="18.7265625" style="56" customWidth="1"/>
    <col min="15369" max="15369" width="1.7265625" style="56" customWidth="1"/>
    <col min="15370" max="15372" width="18.7265625" style="56" customWidth="1"/>
    <col min="15373" max="15373" width="1.26953125" style="56" customWidth="1"/>
    <col min="15374" max="15380" width="11.453125" style="56" customWidth="1"/>
    <col min="15381" max="15381" width="1.7265625" style="56" customWidth="1"/>
    <col min="15382" max="15384" width="18.7265625" style="56" customWidth="1"/>
    <col min="15385" max="15385" width="12.54296875" style="56" bestFit="1" customWidth="1"/>
    <col min="15386" max="15618" width="11.453125" style="56"/>
    <col min="15619" max="15619" width="35.7265625" style="56" customWidth="1"/>
    <col min="15620" max="15620" width="3" style="56" customWidth="1"/>
    <col min="15621" max="15621" width="1.453125" style="56" customWidth="1"/>
    <col min="15622" max="15624" width="18.7265625" style="56" customWidth="1"/>
    <col min="15625" max="15625" width="1.7265625" style="56" customWidth="1"/>
    <col min="15626" max="15628" width="18.7265625" style="56" customWidth="1"/>
    <col min="15629" max="15629" width="1.26953125" style="56" customWidth="1"/>
    <col min="15630" max="15636" width="11.453125" style="56" customWidth="1"/>
    <col min="15637" max="15637" width="1.7265625" style="56" customWidth="1"/>
    <col min="15638" max="15640" width="18.7265625" style="56" customWidth="1"/>
    <col min="15641" max="15641" width="12.54296875" style="56" bestFit="1" customWidth="1"/>
    <col min="15642" max="15874" width="11.453125" style="56"/>
    <col min="15875" max="15875" width="35.7265625" style="56" customWidth="1"/>
    <col min="15876" max="15876" width="3" style="56" customWidth="1"/>
    <col min="15877" max="15877" width="1.453125" style="56" customWidth="1"/>
    <col min="15878" max="15880" width="18.7265625" style="56" customWidth="1"/>
    <col min="15881" max="15881" width="1.7265625" style="56" customWidth="1"/>
    <col min="15882" max="15884" width="18.7265625" style="56" customWidth="1"/>
    <col min="15885" max="15885" width="1.26953125" style="56" customWidth="1"/>
    <col min="15886" max="15892" width="11.453125" style="56" customWidth="1"/>
    <col min="15893" max="15893" width="1.7265625" style="56" customWidth="1"/>
    <col min="15894" max="15896" width="18.7265625" style="56" customWidth="1"/>
    <col min="15897" max="15897" width="12.54296875" style="56" bestFit="1" customWidth="1"/>
    <col min="15898" max="16130" width="11.453125" style="56"/>
    <col min="16131" max="16131" width="35.7265625" style="56" customWidth="1"/>
    <col min="16132" max="16132" width="3" style="56" customWidth="1"/>
    <col min="16133" max="16133" width="1.453125" style="56" customWidth="1"/>
    <col min="16134" max="16136" width="18.7265625" style="56" customWidth="1"/>
    <col min="16137" max="16137" width="1.7265625" style="56" customWidth="1"/>
    <col min="16138" max="16140" width="18.7265625" style="56" customWidth="1"/>
    <col min="16141" max="16141" width="1.26953125" style="56" customWidth="1"/>
    <col min="16142" max="16148" width="11.453125" style="56" customWidth="1"/>
    <col min="16149" max="16149" width="1.7265625" style="56" customWidth="1"/>
    <col min="16150" max="16152" width="18.7265625" style="56" customWidth="1"/>
    <col min="16153" max="16153" width="12.54296875" style="56" bestFit="1" customWidth="1"/>
    <col min="16154" max="16384" width="11.453125" style="56"/>
  </cols>
  <sheetData>
    <row r="2" spans="2:39" ht="45.5" x14ac:dyDescent="0.25">
      <c r="B2" s="760">
        <f>E13</f>
        <v>46082</v>
      </c>
      <c r="C2" s="760"/>
      <c r="D2" s="760"/>
      <c r="E2" s="760"/>
      <c r="F2" s="760"/>
      <c r="G2" s="760"/>
      <c r="H2" s="760"/>
      <c r="I2" s="760"/>
      <c r="J2" s="760"/>
      <c r="K2" s="760"/>
      <c r="L2" s="760"/>
      <c r="M2" s="760"/>
      <c r="N2" s="760"/>
      <c r="O2" s="760"/>
      <c r="P2" s="760"/>
      <c r="Q2" s="760"/>
      <c r="R2" s="760"/>
      <c r="S2" s="760"/>
      <c r="T2" s="760"/>
      <c r="U2" s="760"/>
      <c r="V2" s="760"/>
      <c r="W2" s="1"/>
    </row>
    <row r="9" spans="2:39" ht="27.5" x14ac:dyDescent="0.25">
      <c r="B9" s="757" t="s">
        <v>0</v>
      </c>
      <c r="C9" s="757"/>
      <c r="D9" s="757"/>
      <c r="E9" s="757"/>
      <c r="F9" s="757"/>
      <c r="G9" s="757"/>
      <c r="H9" s="757"/>
      <c r="I9" s="757"/>
      <c r="J9" s="757"/>
      <c r="K9" s="757"/>
      <c r="L9" s="757"/>
      <c r="M9" s="757"/>
      <c r="N9" s="757"/>
      <c r="O9" s="757"/>
      <c r="P9" s="757"/>
      <c r="Q9" s="757"/>
      <c r="R9" s="757"/>
      <c r="S9" s="757"/>
      <c r="T9" s="757"/>
      <c r="U9" s="757"/>
      <c r="V9" s="757"/>
      <c r="W9" s="757"/>
      <c r="Z9" s="355"/>
    </row>
    <row r="11" spans="2:39" ht="25" x14ac:dyDescent="0.25">
      <c r="B11" s="238"/>
      <c r="C11" s="238"/>
      <c r="D11" s="238"/>
      <c r="E11" s="758" t="s">
        <v>57</v>
      </c>
      <c r="F11" s="758"/>
      <c r="G11" s="758"/>
      <c r="H11" s="239"/>
      <c r="I11" s="758" t="s">
        <v>58</v>
      </c>
      <c r="J11" s="758"/>
      <c r="K11" s="758"/>
      <c r="L11" s="239"/>
      <c r="M11" s="758" t="s">
        <v>59</v>
      </c>
      <c r="N11" s="758"/>
      <c r="O11" s="758"/>
      <c r="P11" s="239"/>
      <c r="Q11" s="758" t="s">
        <v>60</v>
      </c>
      <c r="R11" s="758"/>
      <c r="S11" s="758"/>
      <c r="T11" s="239"/>
      <c r="U11" s="758" t="s">
        <v>61</v>
      </c>
      <c r="V11" s="758"/>
      <c r="W11" s="758"/>
      <c r="Z11" s="354"/>
    </row>
    <row r="12" spans="2:39" ht="6.75" customHeight="1" x14ac:dyDescent="0.25">
      <c r="B12" s="238"/>
      <c r="C12" s="238"/>
      <c r="D12" s="238"/>
      <c r="E12" s="553"/>
      <c r="F12" s="553"/>
      <c r="G12" s="553"/>
      <c r="H12" s="238"/>
      <c r="I12" s="553"/>
      <c r="J12" s="553"/>
      <c r="K12" s="553"/>
      <c r="L12" s="238"/>
      <c r="M12" s="553"/>
      <c r="N12" s="553"/>
      <c r="O12" s="553"/>
      <c r="P12" s="238"/>
      <c r="Q12" s="553"/>
      <c r="R12" s="553"/>
      <c r="S12" s="553"/>
      <c r="T12" s="238"/>
      <c r="U12" s="553"/>
      <c r="V12" s="553"/>
      <c r="W12" s="553"/>
    </row>
    <row r="13" spans="2:39" ht="24.75" customHeight="1" x14ac:dyDescent="0.25">
      <c r="B13" s="240"/>
      <c r="C13" s="241"/>
      <c r="D13" s="242"/>
      <c r="E13" s="554">
        <f>'Syn prin concurents par catégor'!C13</f>
        <v>46082</v>
      </c>
      <c r="F13" s="555">
        <f>E13-360</f>
        <v>45722</v>
      </c>
      <c r="G13" s="556" t="s">
        <v>62</v>
      </c>
      <c r="H13" s="239"/>
      <c r="I13" s="554">
        <f>E13</f>
        <v>46082</v>
      </c>
      <c r="J13" s="555">
        <f>F13</f>
        <v>45722</v>
      </c>
      <c r="K13" s="556" t="s">
        <v>62</v>
      </c>
      <c r="L13" s="239"/>
      <c r="M13" s="554">
        <f>I13</f>
        <v>46082</v>
      </c>
      <c r="N13" s="555">
        <f>J13</f>
        <v>45722</v>
      </c>
      <c r="O13" s="556" t="s">
        <v>62</v>
      </c>
      <c r="P13" s="239"/>
      <c r="Q13" s="554">
        <f>M13</f>
        <v>46082</v>
      </c>
      <c r="R13" s="555">
        <f>N13</f>
        <v>45722</v>
      </c>
      <c r="S13" s="556" t="s">
        <v>62</v>
      </c>
      <c r="T13" s="239"/>
      <c r="U13" s="554">
        <f>Q13</f>
        <v>46082</v>
      </c>
      <c r="V13" s="555">
        <f>R13</f>
        <v>45722</v>
      </c>
      <c r="W13" s="556" t="s">
        <v>62</v>
      </c>
      <c r="Z13" s="354" t="s">
        <v>63</v>
      </c>
      <c r="AD13" s="56" t="s">
        <v>64</v>
      </c>
      <c r="AF13" s="756" t="s">
        <v>65</v>
      </c>
      <c r="AG13" s="756"/>
      <c r="AH13" s="756"/>
      <c r="AI13" s="756" t="s">
        <v>66</v>
      </c>
      <c r="AJ13" s="756"/>
      <c r="AK13" s="756"/>
    </row>
    <row r="14" spans="2:39" ht="6.75" customHeight="1" x14ac:dyDescent="0.25">
      <c r="B14" s="238"/>
      <c r="C14" s="238"/>
      <c r="D14" s="238"/>
      <c r="E14" s="553"/>
      <c r="F14" s="553"/>
      <c r="G14" s="553"/>
      <c r="H14" s="238"/>
      <c r="I14" s="553"/>
      <c r="J14" s="553"/>
      <c r="K14" s="553"/>
      <c r="L14" s="238"/>
      <c r="M14" s="553"/>
      <c r="N14" s="553"/>
      <c r="O14" s="553"/>
      <c r="P14" s="238"/>
      <c r="Q14" s="553"/>
      <c r="R14" s="553"/>
      <c r="S14" s="553"/>
      <c r="T14" s="238"/>
      <c r="U14" s="553"/>
      <c r="V14" s="553"/>
      <c r="W14" s="553"/>
      <c r="AF14" s="756"/>
      <c r="AG14" s="756"/>
      <c r="AH14" s="756"/>
    </row>
    <row r="15" spans="2:39" ht="6" customHeight="1" x14ac:dyDescent="0.25">
      <c r="B15" s="557"/>
      <c r="C15" s="557"/>
      <c r="D15" s="557"/>
      <c r="E15" s="557"/>
      <c r="F15" s="557"/>
      <c r="G15" s="557"/>
      <c r="H15" s="238"/>
      <c r="I15" s="557"/>
      <c r="J15" s="557"/>
      <c r="K15" s="557"/>
      <c r="L15" s="238"/>
      <c r="M15" s="557"/>
      <c r="N15" s="557"/>
      <c r="O15" s="557"/>
      <c r="P15" s="238"/>
      <c r="Q15" s="557"/>
      <c r="R15" s="557"/>
      <c r="S15" s="557"/>
      <c r="T15" s="238"/>
      <c r="U15" s="557"/>
      <c r="V15" s="557"/>
      <c r="W15" s="557"/>
    </row>
    <row r="16" spans="2:39" s="315" customFormat="1" ht="21.65" customHeight="1" x14ac:dyDescent="0.25">
      <c r="B16" s="223" t="s">
        <v>2</v>
      </c>
      <c r="C16" s="224"/>
      <c r="D16" s="224"/>
      <c r="E16" s="225">
        <f>SOFAC!$B$11</f>
        <v>2870929.124513342</v>
      </c>
      <c r="F16" s="225">
        <f>SOFAC!$C$11</f>
        <v>2374846.4179666685</v>
      </c>
      <c r="G16" s="226">
        <f>IF(F16=0,0,E16/F16-1)</f>
        <v>0.20889043720621614</v>
      </c>
      <c r="H16" s="247"/>
      <c r="I16" s="225">
        <f>SOFAC!$B$23</f>
        <v>427944.80401999998</v>
      </c>
      <c r="J16" s="225">
        <f>SOFAC!$C$23</f>
        <v>365996.13644999999</v>
      </c>
      <c r="K16" s="226">
        <f>IF(J16=0,0,I16/J16-1)</f>
        <v>0.16926044130103279</v>
      </c>
      <c r="L16" s="247"/>
      <c r="M16" s="225">
        <f>SOFAC!$B$18</f>
        <v>1143.1022999999998</v>
      </c>
      <c r="N16" s="225">
        <f>SOFAC!$C$18</f>
        <v>2242.694</v>
      </c>
      <c r="O16" s="226">
        <f>IF(N16=0,0,M16/N16-1)</f>
        <v>-0.49029947910860783</v>
      </c>
      <c r="P16" s="247"/>
      <c r="Q16" s="225">
        <f>SOFAC!$B$28</f>
        <v>0</v>
      </c>
      <c r="R16" s="225">
        <f>SOFAC!$C$28</f>
        <v>0</v>
      </c>
      <c r="S16" s="226">
        <f>IF(R16=0,0,Q16/R16-1)</f>
        <v>0</v>
      </c>
      <c r="T16" s="247"/>
      <c r="U16" s="225">
        <f>Q16+M16+I16+E16</f>
        <v>3300017.0308333421</v>
      </c>
      <c r="V16" s="225">
        <f>R16+N16+J16+F16</f>
        <v>2743085.2484166687</v>
      </c>
      <c r="W16" s="226">
        <f>IF(V16=0,0,U16/V16-1)</f>
        <v>0.20303116089379247</v>
      </c>
      <c r="X16" s="314"/>
      <c r="Y16" s="348"/>
      <c r="Z16" s="348">
        <f>E18-'Syn prin concurents'!E16</f>
        <v>-1460556.469513342</v>
      </c>
      <c r="AA16" s="348">
        <f>+Z16+AD16</f>
        <v>-1226115.5005333419</v>
      </c>
      <c r="AD16" s="348">
        <f>I18-'Syn prin concurents'!I16</f>
        <v>234440.96898000006</v>
      </c>
      <c r="AE16" s="348"/>
      <c r="AF16" s="314"/>
      <c r="AG16" s="348">
        <f>M18-'Syn prin concurents'!M16</f>
        <v>258152.23670000001</v>
      </c>
      <c r="AI16" s="348">
        <f>Q18-'Syn prin concurents'!Q16</f>
        <v>4779.0460000000003</v>
      </c>
      <c r="AJ16" s="348">
        <f>W18-'Syn prin concurents'!W16</f>
        <v>-0.17772533087912734</v>
      </c>
      <c r="AK16" s="348"/>
      <c r="AL16" s="348">
        <f>U18-'Syn prin concurents'!U16</f>
        <v>-963184.21783334203</v>
      </c>
      <c r="AM16" s="325"/>
    </row>
    <row r="17" spans="2:39" s="320" customFormat="1" ht="23" x14ac:dyDescent="0.25">
      <c r="B17" s="227" t="s">
        <v>67</v>
      </c>
      <c r="C17" s="228"/>
      <c r="D17" s="228"/>
      <c r="E17" s="229">
        <f>E16/E$30</f>
        <v>0.41255607866955601</v>
      </c>
      <c r="F17" s="229">
        <f>F16/F$30</f>
        <v>0.36887056677796398</v>
      </c>
      <c r="G17" s="230">
        <f>(E17-F17)*100</f>
        <v>4.368551189159203</v>
      </c>
      <c r="H17" s="252"/>
      <c r="I17" s="229">
        <f>I16/I$30</f>
        <v>0.2390739075175482</v>
      </c>
      <c r="J17" s="229">
        <f>J16/J$30</f>
        <v>0.17667436212340498</v>
      </c>
      <c r="K17" s="230">
        <f>(I17-J17)*100</f>
        <v>6.2399545394143221</v>
      </c>
      <c r="L17" s="252"/>
      <c r="M17" s="229">
        <f>M16/M$30</f>
        <v>4.386261149091443E-3</v>
      </c>
      <c r="N17" s="229">
        <f>N16/N$30</f>
        <v>1.3531752749749175E-2</v>
      </c>
      <c r="O17" s="230">
        <f>(M17-N17)*100</f>
        <v>-0.91454916006577325</v>
      </c>
      <c r="P17" s="252"/>
      <c r="Q17" s="229">
        <f>Q16/Q$30</f>
        <v>0</v>
      </c>
      <c r="R17" s="229">
        <f>R16/R$30</f>
        <v>0</v>
      </c>
      <c r="S17" s="230">
        <f>(Q17-R17)*100</f>
        <v>0</v>
      </c>
      <c r="T17" s="252"/>
      <c r="U17" s="229">
        <f>U16/U$30</f>
        <v>0.36603716846172601</v>
      </c>
      <c r="V17" s="229">
        <f>V16/V$30</f>
        <v>0.31597208081908085</v>
      </c>
      <c r="W17" s="230">
        <f>(U17-V17)*100</f>
        <v>5.0065087642645167</v>
      </c>
      <c r="Y17" s="348"/>
      <c r="Z17" s="348"/>
      <c r="AL17" s="321"/>
    </row>
    <row r="18" spans="2:39" ht="23" x14ac:dyDescent="0.25">
      <c r="B18" s="243" t="s">
        <v>10</v>
      </c>
      <c r="C18" s="312"/>
      <c r="D18" s="312"/>
      <c r="E18" s="279">
        <f>WAFASALAF!$B$11</f>
        <v>1410372.655</v>
      </c>
      <c r="F18" s="313">
        <f>WAFASALAF!$C$11</f>
        <v>1394520.5109999999</v>
      </c>
      <c r="G18" s="290">
        <f>IF(F18=0,0,E18/F18-1)</f>
        <v>1.1367451303123888E-2</v>
      </c>
      <c r="H18" s="291"/>
      <c r="I18" s="313">
        <f>WAFASALAF!$B$23</f>
        <v>662385.77300000004</v>
      </c>
      <c r="J18" s="313">
        <f>WAFASALAF!$C$23</f>
        <v>716594.402</v>
      </c>
      <c r="K18" s="290">
        <f>IF(J18=0,0,I18/J18-1)</f>
        <v>-7.5647575321136751E-2</v>
      </c>
      <c r="L18" s="291"/>
      <c r="M18" s="313">
        <f>WAFASALAF!$B$18</f>
        <v>259295.33900000001</v>
      </c>
      <c r="N18" s="313">
        <f>WAFASALAF!$C$18</f>
        <v>162726.734</v>
      </c>
      <c r="O18" s="290">
        <f>IF(N18=0,0,M18/N18-1)</f>
        <v>0.59344031940074471</v>
      </c>
      <c r="P18" s="291"/>
      <c r="Q18" s="313">
        <f>WAFASALAF!$B$28</f>
        <v>4779.0460000000003</v>
      </c>
      <c r="R18" s="313">
        <f>WAFASALAF!$C$28</f>
        <v>5315.21</v>
      </c>
      <c r="S18" s="290">
        <f>IF(R18=0,0,Q18/R18-1)</f>
        <v>-0.10087353086707762</v>
      </c>
      <c r="T18" s="291"/>
      <c r="U18" s="313">
        <f>Q18+M18+I18+E18</f>
        <v>2336832.8130000001</v>
      </c>
      <c r="V18" s="313">
        <f>R18+N18+J18+F18</f>
        <v>2279156.8569999998</v>
      </c>
      <c r="W18" s="290">
        <f>IF(V18=0,0,U18/V18-1)</f>
        <v>2.5305830014665132E-2</v>
      </c>
      <c r="X18" s="57"/>
      <c r="Y18" s="348"/>
      <c r="Z18" s="348">
        <f>E16-'Syn prin concurents'!E18</f>
        <v>1460556.469513342</v>
      </c>
      <c r="AA18" s="348">
        <f>+Z18+AD18</f>
        <v>1226115.5005333419</v>
      </c>
      <c r="AB18" s="57"/>
      <c r="AC18" s="57"/>
      <c r="AD18" s="348">
        <f>I16-'Syn prin concurents'!I18</f>
        <v>-234440.96898000006</v>
      </c>
      <c r="AF18" s="314"/>
      <c r="AG18" s="348">
        <f>M16-'Syn prin concurents'!M18</f>
        <v>-258152.23670000001</v>
      </c>
      <c r="AH18" s="315"/>
      <c r="AI18" s="348">
        <f>Q16-'Syn prin concurents'!Q18</f>
        <v>-4779.0460000000003</v>
      </c>
      <c r="AJ18" s="314"/>
      <c r="AK18" s="314"/>
      <c r="AL18" s="348">
        <f>U16-'Syn prin concurents'!U18</f>
        <v>963184.21783334203</v>
      </c>
      <c r="AM18" s="325"/>
    </row>
    <row r="19" spans="2:39" ht="23" x14ac:dyDescent="0.25">
      <c r="B19" s="248" t="s">
        <v>67</v>
      </c>
      <c r="C19" s="316"/>
      <c r="D19" s="316"/>
      <c r="E19" s="317">
        <f>E18/E$30</f>
        <v>0.20267230111722198</v>
      </c>
      <c r="F19" s="317">
        <f>F18/F$30</f>
        <v>0.21660245790398966</v>
      </c>
      <c r="G19" s="318">
        <f>(E19-F19)*100</f>
        <v>-1.3930156786767678</v>
      </c>
      <c r="H19" s="319"/>
      <c r="I19" s="317">
        <f>I18/I$30</f>
        <v>0.37004574783373412</v>
      </c>
      <c r="J19" s="317">
        <f>J18/J$30</f>
        <v>0.34591583425594064</v>
      </c>
      <c r="K19" s="318">
        <f>(I19-J19)*100</f>
        <v>2.4129913577793483</v>
      </c>
      <c r="L19" s="319"/>
      <c r="M19" s="317">
        <f>M18/M$30</f>
        <v>0.99495650703895477</v>
      </c>
      <c r="N19" s="317">
        <f>N18/N$30</f>
        <v>0.98184501776087263</v>
      </c>
      <c r="O19" s="318">
        <f>(M19-N19)*100</f>
        <v>1.3111489278082145</v>
      </c>
      <c r="P19" s="319"/>
      <c r="Q19" s="317">
        <f>Q18/Q$30</f>
        <v>0.79358884688781328</v>
      </c>
      <c r="R19" s="317">
        <f>R18/R$30</f>
        <v>0.89505427536136695</v>
      </c>
      <c r="S19" s="318">
        <f>(Q19-R19)*100</f>
        <v>-10.146542847355366</v>
      </c>
      <c r="T19" s="319"/>
      <c r="U19" s="317">
        <f>U18/U$30</f>
        <v>0.25920098534248082</v>
      </c>
      <c r="V19" s="317">
        <f>V18/V$30</f>
        <v>0.26253283051813381</v>
      </c>
      <c r="W19" s="318">
        <f>(U19-V19)*100</f>
        <v>-0.33318451756529921</v>
      </c>
      <c r="Y19" s="348"/>
      <c r="Z19" s="348"/>
      <c r="AB19" s="57"/>
      <c r="AC19" s="57"/>
      <c r="AD19" s="58"/>
      <c r="AL19" s="57"/>
    </row>
    <row r="20" spans="2:39" ht="23.5" x14ac:dyDescent="0.25">
      <c r="B20" s="243" t="s">
        <v>5</v>
      </c>
      <c r="C20" s="278"/>
      <c r="D20" s="278"/>
      <c r="E20" s="279">
        <f>VIVALIS!$B$11</f>
        <v>781065.78</v>
      </c>
      <c r="F20" s="279">
        <f>VIVALIS!$C$11</f>
        <v>1034282.206</v>
      </c>
      <c r="G20" s="280">
        <f>IF(F20=0,0,E20/F20-1)</f>
        <v>-0.24482334176403686</v>
      </c>
      <c r="H20" s="247"/>
      <c r="I20" s="279">
        <f>VIVALIS!$B$23</f>
        <v>212657.49100000004</v>
      </c>
      <c r="J20" s="279">
        <f>VIVALIS!$C$23</f>
        <v>324761.02799999999</v>
      </c>
      <c r="K20" s="280">
        <f>IF(J20=0,0,I20/J20-1)</f>
        <v>-0.34518777604066442</v>
      </c>
      <c r="L20" s="247"/>
      <c r="M20" s="279">
        <f>VIVALIS!$B$18</f>
        <v>0</v>
      </c>
      <c r="N20" s="279">
        <f>VIVALIS!$C$18</f>
        <v>0</v>
      </c>
      <c r="O20" s="280">
        <f>IF(N20=0,0,M20/N20-1)</f>
        <v>0</v>
      </c>
      <c r="P20" s="247"/>
      <c r="Q20" s="279">
        <f>VIVALIS!$B$28</f>
        <v>0</v>
      </c>
      <c r="R20" s="279">
        <f>VIVALIS!$C$28</f>
        <v>0</v>
      </c>
      <c r="S20" s="280">
        <f>IF(R20=0,0,Q20/R20-1)</f>
        <v>0</v>
      </c>
      <c r="T20" s="247"/>
      <c r="U20" s="279">
        <f>Q20+M20+I20+E20</f>
        <v>993723.27100000007</v>
      </c>
      <c r="V20" s="279">
        <f>R20+N20+J20+F20</f>
        <v>1359043.2339999999</v>
      </c>
      <c r="W20" s="280">
        <f>IF(V20=0,0,U20/V20-1)</f>
        <v>-0.2688067265709958</v>
      </c>
      <c r="X20" s="57"/>
      <c r="Y20" s="348"/>
      <c r="Z20" s="348">
        <f>E20-'Syn prin concurents'!E20</f>
        <v>0</v>
      </c>
      <c r="AA20" s="348">
        <f>+Z20+AD20</f>
        <v>0</v>
      </c>
      <c r="AB20" s="57"/>
      <c r="AC20" s="57"/>
      <c r="AD20" s="348">
        <f>I20-'Syn prin concurents'!I20</f>
        <v>0</v>
      </c>
      <c r="AF20" s="314"/>
      <c r="AG20" s="348">
        <f>M20-'Syn prin concurents'!M20</f>
        <v>0</v>
      </c>
      <c r="AH20" s="315"/>
      <c r="AI20" s="348">
        <f>Q20-'Syn prin concurents'!Q20</f>
        <v>0</v>
      </c>
      <c r="AJ20" s="314"/>
      <c r="AK20" s="314"/>
      <c r="AL20" s="348">
        <f>U20-'Syn prin concurents'!U20</f>
        <v>0</v>
      </c>
      <c r="AM20" s="325"/>
    </row>
    <row r="21" spans="2:39" ht="23" x14ac:dyDescent="0.25">
      <c r="B21" s="248" t="s">
        <v>67</v>
      </c>
      <c r="C21" s="281"/>
      <c r="D21" s="281"/>
      <c r="E21" s="282">
        <f>E20/E$30</f>
        <v>0.1122401220665455</v>
      </c>
      <c r="F21" s="282">
        <f>F20/F$30</f>
        <v>0.16064881528727876</v>
      </c>
      <c r="G21" s="283">
        <f>(E21-F21)*100</f>
        <v>-4.840869322073325</v>
      </c>
      <c r="H21" s="252"/>
      <c r="I21" s="282">
        <f>I20/I$30</f>
        <v>0.11880237091013214</v>
      </c>
      <c r="J21" s="282">
        <f>J20/J$30</f>
        <v>0.15676927090261708</v>
      </c>
      <c r="K21" s="283">
        <f>(I21-J21)*100</f>
        <v>-3.7966899992484939</v>
      </c>
      <c r="L21" s="252"/>
      <c r="M21" s="282">
        <f>M20/M$30</f>
        <v>0</v>
      </c>
      <c r="N21" s="282">
        <f>N20/N$30</f>
        <v>0</v>
      </c>
      <c r="O21" s="283">
        <f>(M21-N21)*100</f>
        <v>0</v>
      </c>
      <c r="P21" s="252"/>
      <c r="Q21" s="282">
        <f>Q20/Q$30</f>
        <v>0</v>
      </c>
      <c r="R21" s="282">
        <f>R20/R$30</f>
        <v>0</v>
      </c>
      <c r="S21" s="283">
        <f>(Q21-R21)*100</f>
        <v>0</v>
      </c>
      <c r="T21" s="252"/>
      <c r="U21" s="282">
        <f>U20/U$30</f>
        <v>0.11022356822792229</v>
      </c>
      <c r="V21" s="282">
        <f>V20/V$30</f>
        <v>0.15654625346329923</v>
      </c>
      <c r="W21" s="283">
        <f>(U21-V21)*100</f>
        <v>-4.6322685235376939</v>
      </c>
      <c r="Y21" s="348"/>
      <c r="Z21" s="348"/>
      <c r="AB21" s="57"/>
      <c r="AC21" s="57"/>
      <c r="AD21" s="58"/>
      <c r="AH21" s="57"/>
    </row>
    <row r="22" spans="2:39" ht="23.5" x14ac:dyDescent="0.25">
      <c r="B22" s="243" t="s">
        <v>6</v>
      </c>
      <c r="C22" s="244"/>
      <c r="D22" s="244"/>
      <c r="E22" s="245">
        <f>EQDOM!$B$11</f>
        <v>655331.20600000001</v>
      </c>
      <c r="F22" s="245">
        <f>EQDOM!$C$11</f>
        <v>543784.17000000004</v>
      </c>
      <c r="G22" s="246">
        <f>IF(F22=0,0,E22/F22-1)</f>
        <v>0.20513108353264475</v>
      </c>
      <c r="H22" s="247"/>
      <c r="I22" s="245">
        <f>EQDOM!$B$23</f>
        <v>284808.21899999998</v>
      </c>
      <c r="J22" s="245">
        <f>EQDOM!$C$23</f>
        <v>375445.18700000003</v>
      </c>
      <c r="K22" s="246">
        <f>IF(J22=0,0,I22/J22-1)</f>
        <v>-0.24141198539322339</v>
      </c>
      <c r="L22" s="247"/>
      <c r="M22" s="245">
        <f>EQDOM!$B$18</f>
        <v>171.28100000000001</v>
      </c>
      <c r="N22" s="245">
        <f>EQDOM!$C$18</f>
        <v>766.23400000000004</v>
      </c>
      <c r="O22" s="246">
        <f>IF(N22=0,0,M22/N22-1)</f>
        <v>-0.7764638478584871</v>
      </c>
      <c r="P22" s="247"/>
      <c r="Q22" s="245">
        <f>EQDOM!$B$28</f>
        <v>0</v>
      </c>
      <c r="R22" s="245">
        <f>EQDOM!$C$28</f>
        <v>0</v>
      </c>
      <c r="S22" s="246">
        <f>IF(R22=0,0,Q22/R22-1)</f>
        <v>0</v>
      </c>
      <c r="T22" s="247"/>
      <c r="U22" s="245">
        <f>Q22+M22+I22+E22</f>
        <v>940310.70600000001</v>
      </c>
      <c r="V22" s="245">
        <f>R22+N22+J22+F22</f>
        <v>919995.59100000001</v>
      </c>
      <c r="W22" s="246">
        <f>IF(V22=0,0,U22/V22-1)</f>
        <v>2.2081752563529289E-2</v>
      </c>
      <c r="X22" s="57"/>
      <c r="Y22" s="348"/>
      <c r="Z22" s="348"/>
      <c r="AF22" s="314"/>
      <c r="AG22" s="314"/>
      <c r="AH22" s="314"/>
      <c r="AI22" s="314"/>
      <c r="AJ22" s="314"/>
      <c r="AK22" s="314"/>
      <c r="AM22" s="325"/>
    </row>
    <row r="23" spans="2:39" ht="23" x14ac:dyDescent="0.25">
      <c r="B23" s="248" t="s">
        <v>67</v>
      </c>
      <c r="C23" s="249"/>
      <c r="D23" s="249"/>
      <c r="E23" s="250">
        <f>E22/E$30</f>
        <v>9.4171907717499129E-2</v>
      </c>
      <c r="F23" s="250">
        <f>F22/F$30</f>
        <v>8.4462714504513273E-2</v>
      </c>
      <c r="G23" s="251">
        <f>(E23-F23)*100</f>
        <v>0.9709193212985856</v>
      </c>
      <c r="H23" s="252"/>
      <c r="I23" s="250">
        <f>I22/I$30</f>
        <v>0.15910980381073025</v>
      </c>
      <c r="J23" s="250">
        <f>J22/J$30</f>
        <v>0.18123562606128571</v>
      </c>
      <c r="K23" s="251">
        <f>(I23-J23)*100</f>
        <v>-2.2125822250555456</v>
      </c>
      <c r="L23" s="252"/>
      <c r="M23" s="250">
        <f>M22/M$30</f>
        <v>6.5723181195377839E-4</v>
      </c>
      <c r="N23" s="250">
        <f>N22/N$30</f>
        <v>4.6232294893780914E-3</v>
      </c>
      <c r="O23" s="251">
        <f>(M23-N23)*100</f>
        <v>-0.39659976774243133</v>
      </c>
      <c r="P23" s="252"/>
      <c r="Q23" s="250">
        <f>Q22/Q$30</f>
        <v>0</v>
      </c>
      <c r="R23" s="250">
        <f>R22/R$30</f>
        <v>0</v>
      </c>
      <c r="S23" s="251">
        <f>(Q23-R23)*100</f>
        <v>0</v>
      </c>
      <c r="T23" s="252"/>
      <c r="U23" s="250">
        <f>U22/U$30</f>
        <v>0.10429905818139663</v>
      </c>
      <c r="V23" s="250">
        <f>V22/V$30</f>
        <v>0.1059729811169523</v>
      </c>
      <c r="W23" s="251">
        <f>(U23-V23)*100</f>
        <v>-0.1673922935555669</v>
      </c>
      <c r="Y23" s="348"/>
      <c r="Z23" s="348"/>
      <c r="AH23" s="57"/>
    </row>
    <row r="24" spans="2:39" ht="23.5" x14ac:dyDescent="0.25">
      <c r="B24" s="243" t="s">
        <v>4</v>
      </c>
      <c r="C24" s="244"/>
      <c r="D24" s="244"/>
      <c r="E24" s="245">
        <f>'RCI '!$B$11</f>
        <v>878735.06400000001</v>
      </c>
      <c r="F24" s="245">
        <f>'RCI '!$C$11</f>
        <v>776137.951</v>
      </c>
      <c r="G24" s="246">
        <f>IF(F24=0,0,E24/F24-1)</f>
        <v>0.13218927494501553</v>
      </c>
      <c r="H24" s="247"/>
      <c r="I24" s="245">
        <f>'RCI '!$B$23</f>
        <v>0</v>
      </c>
      <c r="J24" s="245">
        <f>'RCI '!$C$23</f>
        <v>0</v>
      </c>
      <c r="K24" s="246">
        <f>IF(J24=0,0,I24/J24-1)</f>
        <v>0</v>
      </c>
      <c r="L24" s="247"/>
      <c r="M24" s="245">
        <f>'RCI '!$B$18</f>
        <v>0</v>
      </c>
      <c r="N24" s="245">
        <f>'RCI '!$C$18</f>
        <v>0</v>
      </c>
      <c r="O24" s="246">
        <f>IF(N24=0,0,M24/N24-1)</f>
        <v>0</v>
      </c>
      <c r="P24" s="247"/>
      <c r="Q24" s="245">
        <f>'RCI '!$B$28</f>
        <v>0</v>
      </c>
      <c r="R24" s="245">
        <f>'RCI '!$C$28</f>
        <v>0</v>
      </c>
      <c r="S24" s="246">
        <f>IF(R24=0,0,Q24/R24-1)</f>
        <v>0</v>
      </c>
      <c r="T24" s="247"/>
      <c r="U24" s="245">
        <f>Q24+M24+I24+E24</f>
        <v>878735.06400000001</v>
      </c>
      <c r="V24" s="245">
        <f>R24+N24+J24+F24</f>
        <v>776137.951</v>
      </c>
      <c r="W24" s="246">
        <f>IF(V24=0,0,U24/V24-1)</f>
        <v>0.13218927494501553</v>
      </c>
      <c r="X24" s="57"/>
      <c r="Y24" s="348"/>
      <c r="Z24" s="348"/>
      <c r="AF24" s="314"/>
      <c r="AG24" s="314"/>
      <c r="AH24" s="314"/>
      <c r="AI24" s="314"/>
      <c r="AJ24" s="314"/>
      <c r="AK24" s="314"/>
      <c r="AM24" s="325"/>
    </row>
    <row r="25" spans="2:39" ht="23" x14ac:dyDescent="0.25">
      <c r="B25" s="248" t="s">
        <v>67</v>
      </c>
      <c r="C25" s="249"/>
      <c r="D25" s="249"/>
      <c r="E25" s="250">
        <f>E24/E$30</f>
        <v>0.12627531940717424</v>
      </c>
      <c r="F25" s="250">
        <f>F24/F$30</f>
        <v>0.12055282552897947</v>
      </c>
      <c r="G25" s="251">
        <f>(E25-F25)*100</f>
        <v>0.57224938781947621</v>
      </c>
      <c r="H25" s="252"/>
      <c r="I25" s="250">
        <f>I24/I$30</f>
        <v>0</v>
      </c>
      <c r="J25" s="250">
        <f>J24/J$30</f>
        <v>0</v>
      </c>
      <c r="K25" s="251">
        <f>(I25-J25)*100</f>
        <v>0</v>
      </c>
      <c r="L25" s="252"/>
      <c r="M25" s="250">
        <f>M24/M$30</f>
        <v>0</v>
      </c>
      <c r="N25" s="250">
        <f>N24/N$30</f>
        <v>0</v>
      </c>
      <c r="O25" s="251">
        <f>(M25-N25)*100</f>
        <v>0</v>
      </c>
      <c r="P25" s="252"/>
      <c r="Q25" s="250">
        <f>Q24/Q$30</f>
        <v>0</v>
      </c>
      <c r="R25" s="250">
        <f>R24/R$30</f>
        <v>0</v>
      </c>
      <c r="S25" s="251">
        <f>(Q25-R25)*100</f>
        <v>0</v>
      </c>
      <c r="T25" s="252"/>
      <c r="U25" s="250">
        <f>U24/U$30</f>
        <v>9.746910141653678E-2</v>
      </c>
      <c r="V25" s="250">
        <f>V24/V$30</f>
        <v>8.9402224565088215E-2</v>
      </c>
      <c r="W25" s="251">
        <f>(U25-V25)*100</f>
        <v>0.80668768514485656</v>
      </c>
      <c r="Y25" s="348"/>
      <c r="Z25" s="348"/>
      <c r="AH25" s="57"/>
    </row>
    <row r="26" spans="2:39" ht="23.5" x14ac:dyDescent="0.25">
      <c r="B26" s="243" t="s">
        <v>7</v>
      </c>
      <c r="C26" s="244"/>
      <c r="D26" s="244"/>
      <c r="E26" s="245">
        <f>SALAFIN!B11</f>
        <v>151024.43599999999</v>
      </c>
      <c r="F26" s="245">
        <f>SALAFIN!C11</f>
        <v>142561.55799999999</v>
      </c>
      <c r="G26" s="246">
        <f>IF(F26=0,0,E26/F26-1)</f>
        <v>5.9362973572440803E-2</v>
      </c>
      <c r="H26" s="247"/>
      <c r="I26" s="245">
        <f>SALAFIN!B23</f>
        <v>100851.571</v>
      </c>
      <c r="J26" s="245">
        <f>SALAFIN!C23</f>
        <v>126212.977</v>
      </c>
      <c r="K26" s="246">
        <f>IF(J26=0,0,I26/J26-1)</f>
        <v>-0.20094135011172432</v>
      </c>
      <c r="L26" s="247"/>
      <c r="M26" s="245">
        <f>SALAFIN!$B$18</f>
        <v>0</v>
      </c>
      <c r="N26" s="245">
        <f>SALAFIN!$C$18</f>
        <v>0</v>
      </c>
      <c r="O26" s="246">
        <f>IF(N26=0,0,M26/N26-1)</f>
        <v>0</v>
      </c>
      <c r="P26" s="247"/>
      <c r="Q26" s="245">
        <f>SALAFIN!$B$28</f>
        <v>1243.0219999999999</v>
      </c>
      <c r="R26" s="245">
        <f>SALAFIN!$C$28</f>
        <v>623.21199999999999</v>
      </c>
      <c r="S26" s="246">
        <f>IF(R26=0,0,Q26/R26-1)</f>
        <v>0.99454118341752085</v>
      </c>
      <c r="T26" s="247"/>
      <c r="U26" s="245">
        <f>Q26+M26+I26+E26</f>
        <v>253119.02899999998</v>
      </c>
      <c r="V26" s="245">
        <f>R26+N26+J26+F26</f>
        <v>269397.74699999997</v>
      </c>
      <c r="W26" s="246">
        <f>IF(V26=0,0,U26/V26-1)</f>
        <v>-6.0426333112577946E-2</v>
      </c>
      <c r="X26" s="57"/>
      <c r="Y26" s="348"/>
      <c r="Z26" s="348"/>
      <c r="AF26" s="314"/>
      <c r="AG26" s="314"/>
      <c r="AH26" s="314"/>
      <c r="AI26" s="314"/>
      <c r="AJ26" s="314"/>
      <c r="AK26" s="314"/>
      <c r="AM26" s="325"/>
    </row>
    <row r="27" spans="2:39" ht="23" x14ac:dyDescent="0.25">
      <c r="B27" s="248" t="s">
        <v>67</v>
      </c>
      <c r="C27" s="249"/>
      <c r="D27" s="249"/>
      <c r="E27" s="250">
        <f>E26/E$30</f>
        <v>2.1702398908925682E-2</v>
      </c>
      <c r="F27" s="250">
        <f>F26/F$30</f>
        <v>2.2143226737682726E-2</v>
      </c>
      <c r="G27" s="251">
        <f>(E27-F27)*100</f>
        <v>-4.4082782875704343E-2</v>
      </c>
      <c r="H27" s="252"/>
      <c r="I27" s="250">
        <f>I26/I$30</f>
        <v>5.6341329376502068E-2</v>
      </c>
      <c r="J27" s="250">
        <f>J26/J$30</f>
        <v>6.0925772111851982E-2</v>
      </c>
      <c r="K27" s="251">
        <f>(I27-J27)*100</f>
        <v>-0.4584442735349914</v>
      </c>
      <c r="L27" s="252"/>
      <c r="M27" s="250">
        <f>M26/M$30</f>
        <v>0</v>
      </c>
      <c r="N27" s="250">
        <f>N26/N$30</f>
        <v>0</v>
      </c>
      <c r="O27" s="251">
        <f>(M27-N27)*100</f>
        <v>0</v>
      </c>
      <c r="P27" s="252"/>
      <c r="Q27" s="250">
        <f>Q26/Q$30</f>
        <v>0.20641115311218669</v>
      </c>
      <c r="R27" s="250">
        <f>R26/R$30</f>
        <v>0.10494572463863294</v>
      </c>
      <c r="S27" s="251">
        <f>(Q27-R27)*100</f>
        <v>10.146542847355375</v>
      </c>
      <c r="T27" s="252"/>
      <c r="U27" s="250">
        <f>U26/U$30</f>
        <v>2.8075907425103398E-2</v>
      </c>
      <c r="V27" s="250">
        <f>V26/V$30</f>
        <v>3.1031542580273616E-2</v>
      </c>
      <c r="W27" s="251">
        <f>(U27-V27)*100</f>
        <v>-0.29556351551702187</v>
      </c>
      <c r="Y27" s="348"/>
      <c r="Z27" s="348"/>
      <c r="AH27" s="57"/>
    </row>
    <row r="28" spans="2:39" ht="23.5" x14ac:dyDescent="0.25">
      <c r="B28" s="243" t="s">
        <v>11</v>
      </c>
      <c r="C28" s="244"/>
      <c r="D28" s="244"/>
      <c r="E28" s="245">
        <f>'AXA CREDIT'!$B$11</f>
        <v>935.29600000000005</v>
      </c>
      <c r="F28" s="245">
        <f>'AXA CREDIT'!$C$11</f>
        <v>3021.509</v>
      </c>
      <c r="G28" s="246">
        <f>IF(F28=0,0,E28/F28-1)</f>
        <v>-0.69045400824554881</v>
      </c>
      <c r="H28" s="247"/>
      <c r="I28" s="245">
        <f>'AXA CREDIT'!$B$23</f>
        <v>93308.448999999993</v>
      </c>
      <c r="J28" s="245">
        <f>'AXA CREDIT'!$C$23</f>
        <v>151048.95299999998</v>
      </c>
      <c r="K28" s="246">
        <f>IF(J28=0,0,I28/J28-1)</f>
        <v>-0.3822635169142814</v>
      </c>
      <c r="L28" s="247"/>
      <c r="M28" s="245">
        <f>'AXA CREDIT'!$B$18</f>
        <v>0</v>
      </c>
      <c r="N28" s="245">
        <f>'AXA CREDIT'!$C$18</f>
        <v>0</v>
      </c>
      <c r="O28" s="246">
        <f>IF(N28=0,0,M28/N28-1)</f>
        <v>0</v>
      </c>
      <c r="P28" s="247"/>
      <c r="Q28" s="245">
        <f>'AXA CREDIT'!$B$28</f>
        <v>0</v>
      </c>
      <c r="R28" s="245">
        <f>'AXA CREDIT'!$C$28</f>
        <v>0</v>
      </c>
      <c r="S28" s="246">
        <f>IF(R28=0,0,Q28/R28-1)</f>
        <v>0</v>
      </c>
      <c r="T28" s="247"/>
      <c r="U28" s="245">
        <f>Q28+M28+I28+E28</f>
        <v>94243.744999999995</v>
      </c>
      <c r="V28" s="245">
        <f>R28+N28+J28+F28</f>
        <v>154070.46199999997</v>
      </c>
      <c r="W28" s="246">
        <f>IF(V28=0,0,U28/V28-1)</f>
        <v>-0.38830750698988614</v>
      </c>
      <c r="X28" s="57"/>
      <c r="Y28" s="348"/>
      <c r="Z28" s="348"/>
      <c r="AF28" s="314"/>
      <c r="AG28" s="314"/>
      <c r="AH28" s="314"/>
      <c r="AI28" s="314"/>
      <c r="AJ28" s="314"/>
      <c r="AK28" s="314"/>
      <c r="AM28" s="325"/>
    </row>
    <row r="29" spans="2:39" ht="23.5" thickBot="1" x14ac:dyDescent="0.3">
      <c r="B29" s="248" t="s">
        <v>67</v>
      </c>
      <c r="C29" s="249"/>
      <c r="D29" s="249"/>
      <c r="E29" s="250">
        <f>E28/E$30</f>
        <v>1.3440319611537934E-4</v>
      </c>
      <c r="F29" s="250">
        <f>F28/F$30</f>
        <v>4.6931276436351096E-4</v>
      </c>
      <c r="G29" s="251">
        <f>(E29-F29)*100</f>
        <v>-3.3490956824813158E-2</v>
      </c>
      <c r="H29" s="252"/>
      <c r="I29" s="250">
        <f>I28/I$30</f>
        <v>5.2127319451667688E-2</v>
      </c>
      <c r="J29" s="250">
        <f>J28/J$30</f>
        <v>7.2914642431830448E-2</v>
      </c>
      <c r="K29" s="251">
        <f>(I29-J29)*100</f>
        <v>-2.0787322980162761</v>
      </c>
      <c r="L29" s="252"/>
      <c r="M29" s="250">
        <f>M28/M$30</f>
        <v>0</v>
      </c>
      <c r="N29" s="250">
        <f>N28/N$30</f>
        <v>0</v>
      </c>
      <c r="O29" s="251">
        <f>(M29-N29)*100</f>
        <v>0</v>
      </c>
      <c r="P29" s="252"/>
      <c r="Q29" s="250">
        <f>Q28/Q$30</f>
        <v>0</v>
      </c>
      <c r="R29" s="250">
        <f>R28/R$30</f>
        <v>0</v>
      </c>
      <c r="S29" s="251">
        <f>(Q29-R29)*100</f>
        <v>0</v>
      </c>
      <c r="T29" s="252"/>
      <c r="U29" s="250">
        <f>U28/U$30</f>
        <v>1.0453495616147656E-2</v>
      </c>
      <c r="V29" s="250">
        <f>V28/V$30</f>
        <v>1.7747156964588229E-2</v>
      </c>
      <c r="W29" s="251">
        <f>(U29-V29)*100</f>
        <v>-0.72936613484405732</v>
      </c>
      <c r="Y29" s="348"/>
      <c r="Z29" s="348"/>
      <c r="AH29" s="57"/>
    </row>
    <row r="30" spans="2:39" ht="26.5" thickBot="1" x14ac:dyDescent="0.65">
      <c r="B30" s="231" t="s">
        <v>8</v>
      </c>
      <c r="C30" s="232"/>
      <c r="D30" s="233"/>
      <c r="E30" s="233">
        <f>GLOBAL!$B$11</f>
        <v>6958882.1325133424</v>
      </c>
      <c r="F30" s="233">
        <f>GLOBAL!$C$11</f>
        <v>6438156.4479666688</v>
      </c>
      <c r="G30" s="234">
        <f>IF(F30=0,0,E30/F30-1)</f>
        <v>8.088117906969039E-2</v>
      </c>
      <c r="H30" s="239"/>
      <c r="I30" s="233">
        <f>GLOBAL!$B$23</f>
        <v>1790010.4970200001</v>
      </c>
      <c r="J30" s="233">
        <f>GLOBAL!$C$23</f>
        <v>2071586.0074499999</v>
      </c>
      <c r="K30" s="234">
        <f>IF(J30=0,0,I30/J30-1)</f>
        <v>-0.13592267442306327</v>
      </c>
      <c r="L30" s="239"/>
      <c r="M30" s="235">
        <f>GLOBAL!$B$18</f>
        <v>260609.72229999999</v>
      </c>
      <c r="N30" s="235">
        <f>GLOBAL!$C$18</f>
        <v>165735.66200000001</v>
      </c>
      <c r="O30" s="234">
        <f>IF(N30=0,0,M30/N30-1)</f>
        <v>0.57244203905855806</v>
      </c>
      <c r="P30" s="239"/>
      <c r="Q30" s="235">
        <f>GLOBAL!$B$28</f>
        <v>6022.0680000000002</v>
      </c>
      <c r="R30" s="235">
        <f>GLOBAL!$C$28</f>
        <v>5938.4220000000005</v>
      </c>
      <c r="S30" s="234">
        <f>IF(R30=0,0,Q30/R30-1)</f>
        <v>1.40855601033405E-2</v>
      </c>
      <c r="T30" s="239"/>
      <c r="U30" s="233">
        <f>Q30+M30+I30+E30</f>
        <v>9015524.4198333435</v>
      </c>
      <c r="V30" s="233">
        <f>R30+N30+J30+F30</f>
        <v>8681416.5394166689</v>
      </c>
      <c r="W30" s="234">
        <f>IF(V30=0,0,U30/V30-1)</f>
        <v>3.8485410635431094E-2</v>
      </c>
      <c r="X30" s="64"/>
      <c r="Y30" s="348"/>
      <c r="Z30" s="348"/>
      <c r="AA30" s="348"/>
      <c r="AF30" s="314"/>
      <c r="AG30" s="314"/>
      <c r="AH30" s="314"/>
      <c r="AI30" s="314"/>
      <c r="AJ30" s="314"/>
      <c r="AK30" s="314"/>
      <c r="AM30" s="325"/>
    </row>
    <row r="31" spans="2:39" ht="14" x14ac:dyDescent="0.25">
      <c r="B31" s="221"/>
      <c r="E31" s="57"/>
      <c r="I31" s="57"/>
      <c r="J31" s="62"/>
      <c r="K31" s="63"/>
      <c r="X31" s="64"/>
    </row>
    <row r="32" spans="2:39" x14ac:dyDescent="0.25">
      <c r="E32" s="57"/>
      <c r="I32" s="57"/>
      <c r="J32" s="62"/>
      <c r="K32" s="63"/>
    </row>
    <row r="33" spans="2:38" ht="27.5" x14ac:dyDescent="0.25">
      <c r="B33" s="757" t="s">
        <v>15</v>
      </c>
      <c r="C33" s="757"/>
      <c r="D33" s="757"/>
      <c r="E33" s="757"/>
      <c r="F33" s="757"/>
      <c r="G33" s="757"/>
      <c r="H33" s="757"/>
      <c r="I33" s="757"/>
      <c r="J33" s="757"/>
      <c r="K33" s="757"/>
      <c r="L33" s="757"/>
      <c r="M33" s="757"/>
      <c r="N33" s="757"/>
      <c r="O33" s="757"/>
      <c r="P33" s="757"/>
      <c r="Q33" s="757"/>
      <c r="R33" s="757"/>
      <c r="S33" s="757"/>
      <c r="T33" s="757"/>
      <c r="U33" s="757"/>
      <c r="V33" s="757"/>
      <c r="W33" s="757"/>
    </row>
    <row r="35" spans="2:38" ht="25" x14ac:dyDescent="0.25">
      <c r="B35" s="238"/>
      <c r="C35" s="238"/>
      <c r="D35" s="238"/>
      <c r="E35" s="758" t="s">
        <v>68</v>
      </c>
      <c r="F35" s="758"/>
      <c r="G35" s="758"/>
      <c r="H35" s="239"/>
      <c r="I35" s="758" t="s">
        <v>58</v>
      </c>
      <c r="J35" s="758"/>
      <c r="K35" s="758"/>
      <c r="L35" s="239"/>
      <c r="M35" s="758" t="s">
        <v>59</v>
      </c>
      <c r="N35" s="758"/>
      <c r="O35" s="758"/>
      <c r="P35" s="239"/>
      <c r="Q35" s="758" t="s">
        <v>60</v>
      </c>
      <c r="R35" s="758"/>
      <c r="S35" s="758"/>
      <c r="T35" s="239"/>
      <c r="U35" s="758" t="s">
        <v>61</v>
      </c>
      <c r="V35" s="758"/>
      <c r="W35" s="758"/>
    </row>
    <row r="36" spans="2:38" ht="6.75" customHeight="1" x14ac:dyDescent="0.25">
      <c r="B36" s="238"/>
      <c r="C36" s="238"/>
      <c r="D36" s="238"/>
      <c r="E36" s="553"/>
      <c r="F36" s="553"/>
      <c r="G36" s="553"/>
      <c r="H36" s="238"/>
      <c r="I36" s="553"/>
      <c r="J36" s="553"/>
      <c r="K36" s="553"/>
      <c r="L36" s="238"/>
      <c r="M36" s="553"/>
      <c r="N36" s="553"/>
      <c r="O36" s="553"/>
      <c r="P36" s="238"/>
      <c r="Q36" s="553"/>
      <c r="R36" s="553"/>
      <c r="S36" s="553"/>
      <c r="T36" s="238"/>
      <c r="U36" s="553"/>
      <c r="V36" s="553"/>
      <c r="W36" s="553"/>
    </row>
    <row r="37" spans="2:38" ht="24.75" customHeight="1" x14ac:dyDescent="0.25">
      <c r="B37" s="240"/>
      <c r="C37" s="241"/>
      <c r="D37" s="242"/>
      <c r="E37" s="554">
        <f>E13</f>
        <v>46082</v>
      </c>
      <c r="F37" s="558">
        <v>45992</v>
      </c>
      <c r="G37" s="556" t="s">
        <v>62</v>
      </c>
      <c r="H37" s="239"/>
      <c r="I37" s="554">
        <f>E37</f>
        <v>46082</v>
      </c>
      <c r="J37" s="558">
        <f>F37</f>
        <v>45992</v>
      </c>
      <c r="K37" s="556" t="s">
        <v>62</v>
      </c>
      <c r="L37" s="239"/>
      <c r="M37" s="554">
        <f>I37</f>
        <v>46082</v>
      </c>
      <c r="N37" s="558">
        <f>J37</f>
        <v>45992</v>
      </c>
      <c r="O37" s="556" t="s">
        <v>62</v>
      </c>
      <c r="P37" s="239"/>
      <c r="Q37" s="554">
        <f>M37</f>
        <v>46082</v>
      </c>
      <c r="R37" s="558">
        <f>N37</f>
        <v>45992</v>
      </c>
      <c r="S37" s="556" t="s">
        <v>62</v>
      </c>
      <c r="T37" s="239"/>
      <c r="U37" s="554">
        <f>Q37</f>
        <v>46082</v>
      </c>
      <c r="V37" s="555">
        <f>R37</f>
        <v>45992</v>
      </c>
      <c r="W37" s="556" t="s">
        <v>62</v>
      </c>
      <c r="AA37" s="349"/>
      <c r="AB37" s="349"/>
      <c r="AC37" s="349"/>
    </row>
    <row r="38" spans="2:38" ht="6.75" customHeight="1" x14ac:dyDescent="0.25">
      <c r="B38" s="238"/>
      <c r="C38" s="238"/>
      <c r="D38" s="238"/>
      <c r="E38" s="553"/>
      <c r="F38" s="553"/>
      <c r="G38" s="553"/>
      <c r="H38" s="238"/>
      <c r="I38" s="553"/>
      <c r="J38" s="553"/>
      <c r="K38" s="553"/>
      <c r="L38" s="238"/>
      <c r="M38" s="553"/>
      <c r="N38" s="553"/>
      <c r="O38" s="553"/>
      <c r="P38" s="238"/>
      <c r="Q38" s="553"/>
      <c r="R38" s="553"/>
      <c r="S38" s="553"/>
      <c r="T38" s="238"/>
      <c r="U38" s="553"/>
      <c r="V38" s="553"/>
      <c r="W38" s="553"/>
    </row>
    <row r="39" spans="2:38" ht="6" customHeight="1" x14ac:dyDescent="0.25">
      <c r="B39" s="557"/>
      <c r="C39" s="557"/>
      <c r="D39" s="557"/>
      <c r="E39" s="557"/>
      <c r="F39" s="557"/>
      <c r="G39" s="557"/>
      <c r="H39" s="238"/>
      <c r="I39" s="557"/>
      <c r="J39" s="557"/>
      <c r="K39" s="557"/>
      <c r="L39" s="238"/>
      <c r="M39" s="557"/>
      <c r="N39" s="557"/>
      <c r="O39" s="557"/>
      <c r="P39" s="238"/>
      <c r="Q39" s="557"/>
      <c r="R39" s="557"/>
      <c r="S39" s="557"/>
      <c r="T39" s="238"/>
      <c r="U39" s="557"/>
      <c r="V39" s="557"/>
      <c r="W39" s="557"/>
    </row>
    <row r="40" spans="2:38" ht="23.5" x14ac:dyDescent="0.25">
      <c r="B40" s="243" t="s">
        <v>10</v>
      </c>
      <c r="C40" s="244"/>
      <c r="D40" s="244"/>
      <c r="E40" s="245">
        <f>WAFASALAF!$B$41</f>
        <v>15684751.532000002</v>
      </c>
      <c r="F40" s="245">
        <f>+'[2]Syn prin concurents'!$E$40</f>
        <v>14963780.093</v>
      </c>
      <c r="G40" s="246">
        <f>IF(F40=0,0,E40/F40-1)</f>
        <v>4.8181103606118159E-2</v>
      </c>
      <c r="H40" s="247"/>
      <c r="I40" s="245">
        <f>WAFASALAF!$B$50</f>
        <v>8793278.6119999997</v>
      </c>
      <c r="J40" s="245">
        <f>+'[2]Syn prin concurents'!$I$40</f>
        <v>8793162.4860000014</v>
      </c>
      <c r="K40" s="246">
        <f>IF(J40=0,0,I40/J40-1)</f>
        <v>1.3206397605269871E-5</v>
      </c>
      <c r="L40" s="247"/>
      <c r="M40" s="245">
        <f>WAFASALAF!$B$48-WAFASALAF!$B$41</f>
        <v>605147.41100000031</v>
      </c>
      <c r="N40" s="245">
        <f>'[2]Syn prin concurents'!$M$40</f>
        <v>526530.18600000069</v>
      </c>
      <c r="O40" s="246">
        <f>IF(N40=0,0,M40/N40-1)</f>
        <v>0.14931190478792322</v>
      </c>
      <c r="P40" s="247"/>
      <c r="Q40" s="245">
        <f>WAFASALAF!$B$55</f>
        <v>74028.191999999995</v>
      </c>
      <c r="R40" s="245">
        <f>'[2]Syn prin concurents'!$Q$40</f>
        <v>75392.820000000007</v>
      </c>
      <c r="S40" s="246">
        <f>IF(R40=0,0,Q40/R40-1)</f>
        <v>-1.8100238192443441E-2</v>
      </c>
      <c r="T40" s="247"/>
      <c r="U40" s="245">
        <f>Q40+M40+I40+E40</f>
        <v>25157205.747000001</v>
      </c>
      <c r="V40" s="245">
        <f>R40+N40+J40+F40</f>
        <v>24358865.585000001</v>
      </c>
      <c r="W40" s="246">
        <f>IF(V40=0,0,U40/V40-1)</f>
        <v>3.2774110896675479E-2</v>
      </c>
      <c r="Z40" s="348">
        <f>E40-'Syn prin concurents'!E40</f>
        <v>0</v>
      </c>
      <c r="AA40" s="315"/>
      <c r="AB40" s="315"/>
      <c r="AC40" s="315"/>
      <c r="AD40" s="348">
        <f>I40-'Syn prin concurents'!I40</f>
        <v>0</v>
      </c>
      <c r="AE40" s="348"/>
      <c r="AF40" s="314"/>
      <c r="AG40" s="348">
        <f>M40-'Syn prin concurents'!M40</f>
        <v>0</v>
      </c>
      <c r="AH40" s="315"/>
      <c r="AI40" s="348">
        <f>Q40-'Syn prin concurents'!Q40</f>
        <v>0</v>
      </c>
      <c r="AJ40" s="348">
        <f>W40-'Syn prin concurents'!W40</f>
        <v>0</v>
      </c>
      <c r="AK40" s="348"/>
      <c r="AL40" s="348">
        <f>U40-'Syn prin concurents'!U40</f>
        <v>0</v>
      </c>
    </row>
    <row r="41" spans="2:38" ht="23" x14ac:dyDescent="0.25">
      <c r="B41" s="248" t="s">
        <v>67</v>
      </c>
      <c r="C41" s="249"/>
      <c r="D41" s="249"/>
      <c r="E41" s="250">
        <f>E40/E$54</f>
        <v>0.27809812974549281</v>
      </c>
      <c r="F41" s="250">
        <f>F40/F$54</f>
        <v>0.28058150702457069</v>
      </c>
      <c r="G41" s="251">
        <f>(E41-F41)*100</f>
        <v>-0.24833772790778808</v>
      </c>
      <c r="H41" s="252"/>
      <c r="I41" s="250">
        <f>I40/I$54</f>
        <v>0.33905708577092208</v>
      </c>
      <c r="J41" s="250">
        <f>J40/J$54</f>
        <v>0.33819790716257342</v>
      </c>
      <c r="K41" s="251">
        <f>(I41-J41)*100</f>
        <v>8.5917860834866522E-2</v>
      </c>
      <c r="L41" s="252"/>
      <c r="M41" s="250">
        <f>M40/M$54</f>
        <v>0.99022624291293904</v>
      </c>
      <c r="N41" s="250">
        <f>N40/N$54</f>
        <v>0.98782546638826052</v>
      </c>
      <c r="O41" s="251">
        <f>(M41-N41)*100</f>
        <v>0.24007765246785162</v>
      </c>
      <c r="P41" s="252"/>
      <c r="Q41" s="250">
        <f>Q40/Q$54</f>
        <v>0.32790681765354163</v>
      </c>
      <c r="R41" s="250">
        <f>R40/R$54</f>
        <v>0.4352382191528758</v>
      </c>
      <c r="S41" s="251">
        <f>(Q41-R41)*100</f>
        <v>-10.733140149933417</v>
      </c>
      <c r="T41" s="252"/>
      <c r="U41" s="250">
        <f>U40/U$54</f>
        <v>0.30247405830561547</v>
      </c>
      <c r="V41" s="250">
        <f>V40/V$54</f>
        <v>0.3043427631175914</v>
      </c>
      <c r="W41" s="251">
        <f>(U41-V41)*100</f>
        <v>-0.18687048119759297</v>
      </c>
      <c r="Z41" s="348"/>
      <c r="AA41" s="320"/>
      <c r="AB41" s="320"/>
      <c r="AC41" s="320"/>
      <c r="AD41" s="320"/>
      <c r="AE41" s="320"/>
      <c r="AF41" s="320"/>
      <c r="AG41" s="320"/>
      <c r="AH41" s="320"/>
      <c r="AI41" s="320"/>
      <c r="AJ41" s="320"/>
      <c r="AK41" s="320"/>
      <c r="AL41" s="321"/>
    </row>
    <row r="42" spans="2:38" ht="23.5" x14ac:dyDescent="0.25">
      <c r="B42" s="223" t="s">
        <v>2</v>
      </c>
      <c r="C42" s="224"/>
      <c r="D42" s="224"/>
      <c r="E42" s="225">
        <f>SOFAC!B41</f>
        <v>15645978.55111699</v>
      </c>
      <c r="F42" s="225">
        <f>+[2]SOFAC!$B$41</f>
        <v>13709549.972382179</v>
      </c>
      <c r="G42" s="226">
        <f>IF(F42=0,0,E42/F42-1)</f>
        <v>0.14124669173209448</v>
      </c>
      <c r="H42" s="247"/>
      <c r="I42" s="225">
        <f>SOFAC!B50</f>
        <v>3875022.7334800041</v>
      </c>
      <c r="J42" s="225">
        <f>+'[2]Syn prin concurents'!$I$42</f>
        <v>3748985.8210699935</v>
      </c>
      <c r="K42" s="226">
        <f>IF(J42=0,0,I42/J42-1)</f>
        <v>3.3618935473604505E-2</v>
      </c>
      <c r="L42" s="247"/>
      <c r="M42" s="225">
        <f>SOFAC!B48-SOFAC!B41</f>
        <v>4423.4978800006211</v>
      </c>
      <c r="N42" s="225">
        <f>'[2]Syn prin concurents'!$M$42</f>
        <v>4639.644200000912</v>
      </c>
      <c r="O42" s="226">
        <f>IF(N42=0,0,M42/N42-1)</f>
        <v>-4.6586830947133451E-2</v>
      </c>
      <c r="P42" s="247"/>
      <c r="Q42" s="225">
        <f>SOFAC!B55</f>
        <v>0</v>
      </c>
      <c r="R42" s="225">
        <f>'[2]Syn prin concurents'!$Q$42</f>
        <v>0</v>
      </c>
      <c r="S42" s="226">
        <f>IF(R42=0,0,Q42/R42-1)</f>
        <v>0</v>
      </c>
      <c r="T42" s="247"/>
      <c r="U42" s="225">
        <f>Q42+M42+I42+E42</f>
        <v>19525424.782476995</v>
      </c>
      <c r="V42" s="225">
        <f>R42+N42+J42+F42</f>
        <v>17463175.437652174</v>
      </c>
      <c r="W42" s="226">
        <f>IF(V42=0,0,U42/V42-1)</f>
        <v>0.11809131461729616</v>
      </c>
      <c r="X42" s="57"/>
      <c r="Z42" s="348">
        <f>E42-'Syn prin concurents'!E42</f>
        <v>0</v>
      </c>
      <c r="AB42" s="57"/>
      <c r="AC42" s="57"/>
      <c r="AD42" s="348">
        <f>I42-'Syn prin concurents'!I42</f>
        <v>0</v>
      </c>
      <c r="AF42" s="314"/>
      <c r="AG42" s="348">
        <f>M42-'Syn prin concurents'!M42</f>
        <v>0</v>
      </c>
      <c r="AH42" s="315"/>
      <c r="AI42" s="348">
        <f>Q42-'Syn prin concurents'!Q42</f>
        <v>0</v>
      </c>
      <c r="AJ42" s="314"/>
      <c r="AK42" s="314"/>
      <c r="AL42" s="348">
        <f>U42-'Syn prin concurents'!U42</f>
        <v>0</v>
      </c>
    </row>
    <row r="43" spans="2:38" ht="23" x14ac:dyDescent="0.25">
      <c r="B43" s="227" t="s">
        <v>67</v>
      </c>
      <c r="C43" s="228"/>
      <c r="D43" s="228"/>
      <c r="E43" s="229">
        <f>E42/E$54</f>
        <v>0.27741066629118022</v>
      </c>
      <c r="F43" s="229">
        <f>F42/F$54</f>
        <v>0.25706380125694978</v>
      </c>
      <c r="G43" s="230">
        <f>(E43-F43)*100</f>
        <v>2.0346865034230444</v>
      </c>
      <c r="H43" s="252"/>
      <c r="I43" s="229">
        <f>I42/I$54</f>
        <v>0.14941570411709854</v>
      </c>
      <c r="J43" s="229">
        <f>J42/J$54</f>
        <v>0.1441914852235148</v>
      </c>
      <c r="K43" s="230">
        <f>(I43-J43)*100</f>
        <v>0.52242188935837375</v>
      </c>
      <c r="L43" s="252"/>
      <c r="M43" s="229">
        <f>M42/M$54</f>
        <v>7.2383416116876742E-3</v>
      </c>
      <c r="N43" s="229">
        <f>N42/N$54</f>
        <v>8.7044557322711272E-3</v>
      </c>
      <c r="O43" s="230">
        <f>(M43-N43)*100</f>
        <v>-0.1466114120583453</v>
      </c>
      <c r="P43" s="252"/>
      <c r="Q43" s="229">
        <f>Q42/Q$54</f>
        <v>0</v>
      </c>
      <c r="R43" s="229">
        <f>R42/R$54</f>
        <v>0</v>
      </c>
      <c r="S43" s="230">
        <f>(Q43-R43)*100</f>
        <v>0</v>
      </c>
      <c r="T43" s="252"/>
      <c r="U43" s="229">
        <f>U42/U$54</f>
        <v>0.23476114690524161</v>
      </c>
      <c r="V43" s="229">
        <f>V42/V$54</f>
        <v>0.21818713383660701</v>
      </c>
      <c r="W43" s="230">
        <f>(U43-V43)*100</f>
        <v>1.6574013068634597</v>
      </c>
      <c r="Z43" s="348"/>
      <c r="AB43" s="57"/>
      <c r="AC43" s="57"/>
      <c r="AD43" s="58"/>
      <c r="AL43" s="57"/>
    </row>
    <row r="44" spans="2:38" ht="23.5" x14ac:dyDescent="0.25">
      <c r="B44" s="243" t="s">
        <v>5</v>
      </c>
      <c r="C44" s="278"/>
      <c r="D44" s="278"/>
      <c r="E44" s="279">
        <f>VIVALIS!B41</f>
        <v>10896178.267999999</v>
      </c>
      <c r="F44" s="279">
        <f>+'[2]Syn prin concurents'!$E$44</f>
        <v>11314644.715</v>
      </c>
      <c r="G44" s="280">
        <f>IF(F44=0,0,E44/F44-1)</f>
        <v>-3.6984497307744335E-2</v>
      </c>
      <c r="H44" s="247"/>
      <c r="I44" s="279">
        <f>VIVALIS!B50</f>
        <v>5436494.0010000002</v>
      </c>
      <c r="J44" s="279">
        <f>+'[2]Syn prin concurents'!$I$44</f>
        <v>5668706.6350000007</v>
      </c>
      <c r="K44" s="280">
        <f>IF(J44=0,0,I44/J44-1)</f>
        <v>-4.0963953323366997E-2</v>
      </c>
      <c r="L44" s="247"/>
      <c r="M44" s="279">
        <f>VIVALIS!$B$48-VIVALIS!$B$41</f>
        <v>0</v>
      </c>
      <c r="N44" s="279">
        <f>'[2]Syn prin concurents'!$M$44</f>
        <v>0</v>
      </c>
      <c r="O44" s="280">
        <f>IF(N44=0,0,M44/N44-1)</f>
        <v>0</v>
      </c>
      <c r="P44" s="247"/>
      <c r="Q44" s="279">
        <f>VIVALIS!$B$55</f>
        <v>0</v>
      </c>
      <c r="R44" s="279">
        <f>'[2]Syn prin concurents'!$Q$44</f>
        <v>0</v>
      </c>
      <c r="S44" s="280">
        <f>IF(R44=0,0,Q44/R44-1)</f>
        <v>0</v>
      </c>
      <c r="T44" s="247"/>
      <c r="U44" s="279">
        <f>Q44+M44+I44+E44</f>
        <v>16332672.268999999</v>
      </c>
      <c r="V44" s="279">
        <f>R44+N44+J44+F44</f>
        <v>16983351.350000001</v>
      </c>
      <c r="W44" s="280">
        <f>IF(V44=0,0,U44/V44-1)</f>
        <v>-3.8312760985186989E-2</v>
      </c>
      <c r="Z44" s="348">
        <f>E44-'Syn prin concurents'!E44</f>
        <v>0</v>
      </c>
      <c r="AB44" s="57"/>
      <c r="AC44" s="57"/>
      <c r="AD44" s="348">
        <f>I44-'Syn prin concurents'!I44</f>
        <v>0</v>
      </c>
      <c r="AF44" s="314"/>
      <c r="AG44" s="348">
        <f>M44-'Syn prin concurents'!M44</f>
        <v>0</v>
      </c>
      <c r="AH44" s="315"/>
      <c r="AI44" s="348">
        <f>Q44-'Syn prin concurents'!Q44</f>
        <v>0</v>
      </c>
      <c r="AJ44" s="314"/>
      <c r="AK44" s="314"/>
      <c r="AL44" s="348">
        <f>U44-'Syn prin concurents'!U44</f>
        <v>0</v>
      </c>
    </row>
    <row r="45" spans="2:38" ht="18.5" x14ac:dyDescent="0.25">
      <c r="B45" s="248" t="s">
        <v>67</v>
      </c>
      <c r="C45" s="281"/>
      <c r="D45" s="281"/>
      <c r="E45" s="282">
        <f>E44/E$54</f>
        <v>0.19319444057000584</v>
      </c>
      <c r="F45" s="282">
        <f>F44/F$54</f>
        <v>0.21215762633850771</v>
      </c>
      <c r="G45" s="283">
        <f>(E45-F45)*100</f>
        <v>-1.8963185768501867</v>
      </c>
      <c r="H45" s="252"/>
      <c r="I45" s="282">
        <f>I44/I$54</f>
        <v>0.20962395189829117</v>
      </c>
      <c r="J45" s="282">
        <f>J44/J$54</f>
        <v>0.2180267592379839</v>
      </c>
      <c r="K45" s="283">
        <f>(I45-J45)*100</f>
        <v>-0.84028073396927305</v>
      </c>
      <c r="L45" s="252"/>
      <c r="M45" s="282">
        <f>M44/M$54</f>
        <v>0</v>
      </c>
      <c r="N45" s="282">
        <f>N44/N$54</f>
        <v>0</v>
      </c>
      <c r="O45" s="283">
        <f>(M45-N45)*100</f>
        <v>0</v>
      </c>
      <c r="P45" s="252"/>
      <c r="Q45" s="282">
        <f>Q44/Q$54</f>
        <v>0</v>
      </c>
      <c r="R45" s="282">
        <f>R44/R$54</f>
        <v>0</v>
      </c>
      <c r="S45" s="283">
        <f>(Q45-R45)*100</f>
        <v>0</v>
      </c>
      <c r="T45" s="252"/>
      <c r="U45" s="282">
        <f>U44/U$54</f>
        <v>0.19637354457655279</v>
      </c>
      <c r="V45" s="282">
        <f>V44/V$54</f>
        <v>0.21219215069025046</v>
      </c>
      <c r="W45" s="283">
        <f>(U45-V45)*100</f>
        <v>-1.5818606113697675</v>
      </c>
    </row>
    <row r="46" spans="2:38" ht="23.5" x14ac:dyDescent="0.25">
      <c r="B46" s="243" t="s">
        <v>6</v>
      </c>
      <c r="C46" s="244"/>
      <c r="D46" s="244"/>
      <c r="E46" s="245">
        <f>EQDOM!$B$41</f>
        <v>5309762.3439999996</v>
      </c>
      <c r="F46" s="245">
        <f>+'[2]Syn prin concurents'!$E$46</f>
        <v>4911209.0530000003</v>
      </c>
      <c r="G46" s="246">
        <f>IF(F46=0,0,E46/F46-1)</f>
        <v>8.115176664217616E-2</v>
      </c>
      <c r="H46" s="247"/>
      <c r="I46" s="245">
        <f>EQDOM!$B$50</f>
        <v>4681801.3040000005</v>
      </c>
      <c r="J46" s="245">
        <f>+'[2]Syn prin concurents'!$I$46</f>
        <v>4707307.37</v>
      </c>
      <c r="K46" s="246">
        <f>IF(J46=0,0,I46/J46-1)</f>
        <v>-5.4183982466391445E-3</v>
      </c>
      <c r="L46" s="247"/>
      <c r="M46" s="245">
        <f>EQDOM!$B$48-EQDOM!$B$41</f>
        <v>1549.4440000001341</v>
      </c>
      <c r="N46" s="245">
        <f>'[2]Syn prin concurents'!$M$46</f>
        <v>1849.6189999999999</v>
      </c>
      <c r="O46" s="246">
        <f>IF(N46=0,0,M46/N46-1)</f>
        <v>-0.16229017976127291</v>
      </c>
      <c r="P46" s="247"/>
      <c r="Q46" s="245">
        <f>EQDOM!$B$55</f>
        <v>0</v>
      </c>
      <c r="R46" s="245">
        <f>'[2]Syn prin concurents'!$Q$46</f>
        <v>0</v>
      </c>
      <c r="S46" s="246">
        <f>IF(R46=0,0,Q46/R46-1)</f>
        <v>0</v>
      </c>
      <c r="T46" s="247"/>
      <c r="U46" s="245">
        <f>Q46+M46+I46+E46</f>
        <v>9993113.0920000002</v>
      </c>
      <c r="V46" s="245">
        <f>R46+N46+J46+F46</f>
        <v>9620366.0419999994</v>
      </c>
      <c r="W46" s="246">
        <f>IF(V46=0,0,U46/V46-1)</f>
        <v>3.8745620319713847E-2</v>
      </c>
      <c r="Y46" s="64"/>
      <c r="Z46" s="64"/>
      <c r="AA46" s="64"/>
    </row>
    <row r="47" spans="2:38" ht="18.5" x14ac:dyDescent="0.25">
      <c r="B47" s="248" t="s">
        <v>67</v>
      </c>
      <c r="C47" s="249"/>
      <c r="D47" s="249"/>
      <c r="E47" s="250">
        <f>E46/E$54</f>
        <v>9.4144620285939229E-2</v>
      </c>
      <c r="F47" s="250">
        <f>F46/F$54</f>
        <v>9.2088658670416809E-2</v>
      </c>
      <c r="G47" s="251">
        <f>(E47-F47)*100</f>
        <v>0.20559616155224197</v>
      </c>
      <c r="H47" s="252"/>
      <c r="I47" s="250">
        <f>I46/I$54</f>
        <v>0.18052400888633904</v>
      </c>
      <c r="J47" s="250">
        <f>J46/J$54</f>
        <v>0.18104993549700196</v>
      </c>
      <c r="K47" s="251">
        <f>(I47-J47)*100</f>
        <v>-5.2592661066291901E-2</v>
      </c>
      <c r="L47" s="252"/>
      <c r="M47" s="250">
        <f>M46/M$54</f>
        <v>2.5354154753611394E-3</v>
      </c>
      <c r="N47" s="250">
        <f>N46/N$54</f>
        <v>3.4700778794771428E-3</v>
      </c>
      <c r="O47" s="251">
        <f>(M47-N47)*100</f>
        <v>-9.3466240411600343E-2</v>
      </c>
      <c r="P47" s="252"/>
      <c r="Q47" s="250">
        <f>Q46/Q$54</f>
        <v>0</v>
      </c>
      <c r="R47" s="250">
        <f>R46/R$54</f>
        <v>0</v>
      </c>
      <c r="S47" s="251">
        <f>(Q47-R47)*100</f>
        <v>0</v>
      </c>
      <c r="T47" s="252"/>
      <c r="U47" s="250">
        <f>U46/U$54</f>
        <v>0.12015076326211903</v>
      </c>
      <c r="V47" s="250">
        <f>V46/V$54</f>
        <v>0.12019807626952451</v>
      </c>
      <c r="W47" s="251">
        <f>(U47-V47)*100</f>
        <v>-4.7313007405486163E-3</v>
      </c>
    </row>
    <row r="48" spans="2:38" ht="23.5" x14ac:dyDescent="0.25">
      <c r="B48" s="243" t="s">
        <v>4</v>
      </c>
      <c r="C48" s="244"/>
      <c r="D48" s="244"/>
      <c r="E48" s="245">
        <f>'RCI '!$B$41</f>
        <v>6280424.6069999998</v>
      </c>
      <c r="F48" s="245">
        <f>+'[2]Syn prin concurents'!$E$48</f>
        <v>6050871.8310000002</v>
      </c>
      <c r="G48" s="246">
        <f>IF(F48=0,0,E48/F48-1)</f>
        <v>3.7937140698295346E-2</v>
      </c>
      <c r="H48" s="247"/>
      <c r="I48" s="245">
        <f>'RCI '!$B$50</f>
        <v>0</v>
      </c>
      <c r="J48" s="245">
        <f>+'[2]Syn prin concurents'!$I$48</f>
        <v>0</v>
      </c>
      <c r="K48" s="246">
        <f>IF(J48=0,0,I48/J48-1)</f>
        <v>0</v>
      </c>
      <c r="L48" s="247"/>
      <c r="M48" s="245">
        <f>'RCI '!$B$48-'RCI '!$B$41</f>
        <v>0</v>
      </c>
      <c r="N48" s="245">
        <f>'[2]Syn prin concurents'!$M$48</f>
        <v>0</v>
      </c>
      <c r="O48" s="246">
        <f>IF(N48=0,0,M48/N48-1)</f>
        <v>0</v>
      </c>
      <c r="P48" s="247"/>
      <c r="Q48" s="245">
        <f>'RCI '!$B$55</f>
        <v>0</v>
      </c>
      <c r="R48" s="245">
        <f>'[2]Syn prin concurents'!$Q$48</f>
        <v>0</v>
      </c>
      <c r="S48" s="246">
        <f>IF(R48=0,0,Q48/R48-1)</f>
        <v>0</v>
      </c>
      <c r="T48" s="247"/>
      <c r="U48" s="245">
        <f>Q48+M48+I48+E48</f>
        <v>6280424.6069999998</v>
      </c>
      <c r="V48" s="245">
        <f>R48+N48+J48+F48</f>
        <v>6050871.8310000002</v>
      </c>
      <c r="W48" s="246">
        <f>IF(V48=0,0,U48/V48-1)</f>
        <v>3.7937140698295346E-2</v>
      </c>
    </row>
    <row r="49" spans="2:38" ht="18.5" x14ac:dyDescent="0.25">
      <c r="B49" s="248" t="s">
        <v>67</v>
      </c>
      <c r="C49" s="249"/>
      <c r="D49" s="249"/>
      <c r="E49" s="250">
        <f>E48/E$54</f>
        <v>0.11135492542874612</v>
      </c>
      <c r="F49" s="250">
        <f>F48/F$54</f>
        <v>0.11345814537522578</v>
      </c>
      <c r="G49" s="251">
        <f>(E49-F49)*100</f>
        <v>-0.21032199464796619</v>
      </c>
      <c r="H49" s="252"/>
      <c r="I49" s="250">
        <f>I48/I$54</f>
        <v>0</v>
      </c>
      <c r="J49" s="250">
        <f>J48/J$54</f>
        <v>0</v>
      </c>
      <c r="K49" s="251">
        <f>(I49-J49)*100</f>
        <v>0</v>
      </c>
      <c r="L49" s="252"/>
      <c r="M49" s="250">
        <f>M48/M$54</f>
        <v>0</v>
      </c>
      <c r="N49" s="250">
        <f>N48/N$54</f>
        <v>0</v>
      </c>
      <c r="O49" s="251">
        <f>(M49-N49)*100</f>
        <v>0</v>
      </c>
      <c r="P49" s="252"/>
      <c r="Q49" s="250">
        <f>Q48/Q$54</f>
        <v>0</v>
      </c>
      <c r="R49" s="250">
        <f>R48/R$54</f>
        <v>0</v>
      </c>
      <c r="S49" s="251">
        <f>(Q49-R49)*100</f>
        <v>0</v>
      </c>
      <c r="T49" s="252"/>
      <c r="U49" s="250">
        <f>U48/U$54</f>
        <v>7.5511785285942393E-2</v>
      </c>
      <c r="V49" s="250">
        <f>V48/V$54</f>
        <v>7.5600361843243841E-2</v>
      </c>
      <c r="W49" s="251">
        <f>(U49-V49)*100</f>
        <v>-8.8576557301447978E-3</v>
      </c>
    </row>
    <row r="50" spans="2:38" ht="23.25" customHeight="1" x14ac:dyDescent="0.25">
      <c r="B50" s="243" t="s">
        <v>7</v>
      </c>
      <c r="C50" s="244"/>
      <c r="D50" s="244"/>
      <c r="E50" s="245">
        <f>SALAFIN!B41</f>
        <v>1394923.6949999998</v>
      </c>
      <c r="F50" s="245">
        <f>+'[2]Syn prin concurents'!$E$50</f>
        <v>1323553.4609999999</v>
      </c>
      <c r="G50" s="246">
        <f>IF(F50=0,0,E50/F50-1)</f>
        <v>5.3923196986751742E-2</v>
      </c>
      <c r="H50" s="247"/>
      <c r="I50" s="245">
        <f>SALAFIN!B50</f>
        <v>959308.06299999997</v>
      </c>
      <c r="J50" s="245">
        <f>+'[2]Syn prin concurents'!$I$50</f>
        <v>891751.10599999991</v>
      </c>
      <c r="K50" s="246">
        <f>IF(J50=0,0,I50/J50-1)</f>
        <v>7.5757637467959604E-2</v>
      </c>
      <c r="L50" s="247"/>
      <c r="M50" s="245">
        <f>SALAFIN!$B$48-SALAFIN!$B$41</f>
        <v>0</v>
      </c>
      <c r="N50" s="245">
        <f>'[2]Syn prin concurents'!$M$50</f>
        <v>0</v>
      </c>
      <c r="O50" s="246">
        <f>IF(N50=0,0,M50/N50-1)</f>
        <v>0</v>
      </c>
      <c r="P50" s="247"/>
      <c r="Q50" s="245">
        <f>SALAFIN!$B$55</f>
        <v>151731.652</v>
      </c>
      <c r="R50" s="245">
        <f>'[2]Syn prin concurents'!$Q$50</f>
        <v>97829.145999999993</v>
      </c>
      <c r="S50" s="246">
        <f>IF(R50=0,0,Q50/R50-1)</f>
        <v>0.5509861652068393</v>
      </c>
      <c r="T50" s="247"/>
      <c r="U50" s="245">
        <f>Q50+M50+I50+E50</f>
        <v>2505963.4099999997</v>
      </c>
      <c r="V50" s="245">
        <f>R50+N50+J50+F50</f>
        <v>2313133.7129999995</v>
      </c>
      <c r="W50" s="246">
        <f>IF(V50=0,0,U50/V50-1)</f>
        <v>8.3362970292759853E-2</v>
      </c>
    </row>
    <row r="51" spans="2:38" ht="18.75" customHeight="1" x14ac:dyDescent="0.25">
      <c r="B51" s="248" t="s">
        <v>67</v>
      </c>
      <c r="C51" s="249"/>
      <c r="D51" s="249"/>
      <c r="E51" s="250">
        <f>E50/E$54</f>
        <v>2.4732662798369928E-2</v>
      </c>
      <c r="F51" s="250">
        <f>F50/F$54</f>
        <v>2.4817567647140798E-2</v>
      </c>
      <c r="G51" s="251">
        <f>(E51-F51)*100</f>
        <v>-8.490484877086979E-3</v>
      </c>
      <c r="H51" s="252"/>
      <c r="I51" s="250">
        <f>I50/I$54</f>
        <v>3.6989638398748387E-2</v>
      </c>
      <c r="J51" s="250">
        <f>J50/J$54</f>
        <v>3.4298053543225529E-2</v>
      </c>
      <c r="K51" s="251">
        <f>(I51-J51)*100</f>
        <v>0.26915848555228578</v>
      </c>
      <c r="L51" s="252"/>
      <c r="M51" s="250">
        <f>M50/M$54</f>
        <v>0</v>
      </c>
      <c r="N51" s="250">
        <f>N50/N$54</f>
        <v>0</v>
      </c>
      <c r="O51" s="251">
        <f>(M51-N51)*100</f>
        <v>0</v>
      </c>
      <c r="P51" s="252"/>
      <c r="Q51" s="250">
        <f>Q50/Q$54</f>
        <v>0.67209318234645843</v>
      </c>
      <c r="R51" s="250">
        <f>R50/R$54</f>
        <v>0.56476178084712414</v>
      </c>
      <c r="S51" s="251">
        <f>(Q51-R51)*100</f>
        <v>10.73314014993343</v>
      </c>
      <c r="T51" s="252"/>
      <c r="U51" s="250">
        <f>U50/U$54</f>
        <v>3.013009195897955E-2</v>
      </c>
      <c r="V51" s="250">
        <f>V50/V$54</f>
        <v>2.8900586655742386E-2</v>
      </c>
      <c r="W51" s="251">
        <f>(U51-V51)*100</f>
        <v>0.12295053032371633</v>
      </c>
    </row>
    <row r="52" spans="2:38" ht="26" x14ac:dyDescent="0.25">
      <c r="B52" s="243" t="s">
        <v>11</v>
      </c>
      <c r="C52" s="244"/>
      <c r="D52" s="244"/>
      <c r="E52" s="245">
        <f>'AXA CREDIT'!$B$41</f>
        <v>13470.115</v>
      </c>
      <c r="F52" s="245">
        <f>+'[2]Syn prin concurents'!$E$52</f>
        <v>13470.115</v>
      </c>
      <c r="G52" s="246">
        <f>IF(F52=0,0,E52/F52-1)</f>
        <v>0</v>
      </c>
      <c r="H52" s="247"/>
      <c r="I52" s="245">
        <f>'AXA CREDIT'!$B$50</f>
        <v>2167039.2949999999</v>
      </c>
      <c r="J52" s="245">
        <f>+'[2]Syn prin concurents'!$I$52</f>
        <v>2167039.2949999999</v>
      </c>
      <c r="K52" s="246">
        <f>IF(J52=0,0,I52/J52-1)</f>
        <v>0</v>
      </c>
      <c r="L52" s="247"/>
      <c r="M52" s="245"/>
      <c r="N52" s="245">
        <f>'[3]Syn prin concurents'!M52</f>
        <v>0</v>
      </c>
      <c r="O52" s="246">
        <f>IF(N52=0,0,M52/N52-1)</f>
        <v>0</v>
      </c>
      <c r="P52" s="247"/>
      <c r="Q52" s="245">
        <f>'AXA CREDIT'!$B$55</f>
        <v>0</v>
      </c>
      <c r="R52" s="245">
        <f>'[2]Syn prin concurents'!$Q$52</f>
        <v>0</v>
      </c>
      <c r="S52" s="246">
        <f>IF(R52=0,0,Q52/R52-1)</f>
        <v>0</v>
      </c>
      <c r="T52" s="247"/>
      <c r="U52" s="245">
        <f>Q52+M52+I52+E52</f>
        <v>2180509.41</v>
      </c>
      <c r="V52" s="245">
        <f>R52+N52+J52+F52</f>
        <v>2180509.41</v>
      </c>
      <c r="W52" s="246">
        <f>IF(V52=0,0,U52/V52-1)</f>
        <v>0</v>
      </c>
      <c r="Y52" s="392"/>
      <c r="Z52" s="392"/>
      <c r="AA52" s="393"/>
      <c r="AB52" s="394"/>
      <c r="AC52" s="394"/>
    </row>
    <row r="53" spans="2:38" ht="19" thickBot="1" x14ac:dyDescent="0.3">
      <c r="B53" s="248" t="s">
        <v>67</v>
      </c>
      <c r="C53" s="249"/>
      <c r="D53" s="249"/>
      <c r="E53" s="250">
        <f>E52/E$54</f>
        <v>2.3883156716343883E-4</v>
      </c>
      <c r="F53" s="250">
        <f>F52/F$54</f>
        <v>2.5257422542999643E-4</v>
      </c>
      <c r="G53" s="251">
        <f>(E53-F53)*100</f>
        <v>-1.3742658266557601E-3</v>
      </c>
      <c r="H53" s="252"/>
      <c r="I53" s="250">
        <f>I52/I$54</f>
        <v>8.3558142592124379E-2</v>
      </c>
      <c r="J53" s="250">
        <f>J52/J$54</f>
        <v>8.3347505004590039E-2</v>
      </c>
      <c r="K53" s="251">
        <f>(I53-J53)*100</f>
        <v>2.1063758753434025E-2</v>
      </c>
      <c r="L53" s="252"/>
      <c r="M53" s="250">
        <f>M52/M$54</f>
        <v>0</v>
      </c>
      <c r="N53" s="250">
        <f>N52/N$54</f>
        <v>0</v>
      </c>
      <c r="O53" s="251">
        <f>(M53-N53)*100</f>
        <v>0</v>
      </c>
      <c r="P53" s="252"/>
      <c r="Q53" s="250">
        <f>Q52/Q$54</f>
        <v>0</v>
      </c>
      <c r="R53" s="250">
        <f>R52/R$54</f>
        <v>0</v>
      </c>
      <c r="S53" s="251">
        <f>(Q53-R53)*100</f>
        <v>0</v>
      </c>
      <c r="T53" s="252"/>
      <c r="U53" s="250">
        <f>U52/U$54</f>
        <v>2.6217042427096035E-2</v>
      </c>
      <c r="V53" s="250">
        <f>V52/V$54</f>
        <v>2.7243561754861128E-2</v>
      </c>
      <c r="W53" s="251">
        <f>(U53-V53)*100</f>
        <v>-0.10265193277650929</v>
      </c>
      <c r="AB53" s="57"/>
      <c r="AC53" s="57"/>
      <c r="AD53" s="395"/>
    </row>
    <row r="54" spans="2:38" ht="26.5" thickBot="1" x14ac:dyDescent="0.3">
      <c r="B54" s="231" t="s">
        <v>8</v>
      </c>
      <c r="C54" s="232"/>
      <c r="D54" s="233">
        <f>'[4]global '!$E$11</f>
        <v>3701704.9980545454</v>
      </c>
      <c r="E54" s="233">
        <f>GLOBAL!B41</f>
        <v>56400061.181116983</v>
      </c>
      <c r="F54" s="233">
        <f>+'[2]Syn prin concurents'!$E$54</f>
        <v>53331312.714382179</v>
      </c>
      <c r="G54" s="234">
        <f>IF(F54=0,0,E54/F54-1)</f>
        <v>5.7541213792535073E-2</v>
      </c>
      <c r="H54" s="239"/>
      <c r="I54" s="233">
        <f>GLOBAL!B51+GLOBAL!B52+GLOBAL!B53+GLOBAL!B54</f>
        <v>25934507.73048</v>
      </c>
      <c r="J54" s="233">
        <f>+'[2]Syn prin concurents'!$I$54</f>
        <v>26000049.970069993</v>
      </c>
      <c r="K54" s="234">
        <f>IF(J54=0,0,I54/J54-1)</f>
        <v>-2.5208505239583401E-3</v>
      </c>
      <c r="L54" s="239"/>
      <c r="M54" s="233">
        <f>GLOBAL!B48-GLOBAL!B41</f>
        <v>611120.35288000852</v>
      </c>
      <c r="N54" s="233">
        <f>'[2]Syn prin concurents'!$M$54</f>
        <v>533019.44919999689</v>
      </c>
      <c r="O54" s="234">
        <f>IF(N54=0,0,M54/N54-1)</f>
        <v>0.14652542941394064</v>
      </c>
      <c r="P54" s="239"/>
      <c r="Q54" s="233">
        <f>GLOBAL!B55</f>
        <v>225759.84399999998</v>
      </c>
      <c r="R54" s="233">
        <f>'[2]Syn prin concurents'!$Q$54</f>
        <v>173221.96600000001</v>
      </c>
      <c r="S54" s="234">
        <f>IF(R54=0,0,Q54/R54-1)</f>
        <v>0.30329801244722021</v>
      </c>
      <c r="T54" s="239"/>
      <c r="U54" s="233">
        <f>Q54+M54+I54+E54</f>
        <v>83171449.108476996</v>
      </c>
      <c r="V54" s="233">
        <f>R54+N54+J54+F54</f>
        <v>80037604.099652171</v>
      </c>
      <c r="W54" s="234">
        <f>IF(V54=0,0,U54/V54-1)</f>
        <v>3.9154657914584501E-2</v>
      </c>
      <c r="X54" s="57"/>
      <c r="Y54" s="392"/>
      <c r="Z54" s="392"/>
      <c r="AA54" s="393"/>
      <c r="AB54" s="57"/>
      <c r="AC54" s="395"/>
      <c r="AF54" s="57"/>
      <c r="AG54" s="57"/>
    </row>
    <row r="55" spans="2:38" ht="18.75" customHeight="1" x14ac:dyDescent="0.25">
      <c r="X55" s="57"/>
      <c r="AA55" s="57"/>
      <c r="AB55" s="57"/>
      <c r="AC55" s="395"/>
      <c r="AF55" s="64"/>
      <c r="AG55" s="64"/>
    </row>
    <row r="57" spans="2:38" ht="27" customHeight="1" x14ac:dyDescent="0.25">
      <c r="B57" s="757" t="s">
        <v>69</v>
      </c>
      <c r="C57" s="757"/>
      <c r="D57" s="757"/>
      <c r="E57" s="757"/>
      <c r="F57" s="757"/>
      <c r="G57" s="757"/>
      <c r="H57" s="757"/>
      <c r="I57" s="757"/>
      <c r="J57" s="757"/>
      <c r="K57" s="757"/>
      <c r="L57" s="757"/>
      <c r="M57" s="757"/>
      <c r="N57" s="757"/>
      <c r="O57" s="757"/>
      <c r="P57" s="757"/>
      <c r="Q57" s="757"/>
      <c r="R57" s="757"/>
      <c r="S57" s="757"/>
      <c r="T57" s="757"/>
      <c r="U57" s="757"/>
      <c r="V57" s="757"/>
      <c r="W57" s="757"/>
    </row>
    <row r="59" spans="2:38" ht="25" x14ac:dyDescent="0.25">
      <c r="B59" s="238"/>
      <c r="C59" s="238"/>
      <c r="D59" s="238"/>
      <c r="E59" s="759" t="s">
        <v>68</v>
      </c>
      <c r="F59" s="759"/>
      <c r="G59" s="759"/>
      <c r="H59" s="239"/>
      <c r="I59" s="759" t="s">
        <v>58</v>
      </c>
      <c r="J59" s="759"/>
      <c r="K59" s="759"/>
      <c r="L59" s="239"/>
      <c r="M59" s="759" t="s">
        <v>59</v>
      </c>
      <c r="N59" s="759"/>
      <c r="O59" s="759"/>
      <c r="P59" s="239"/>
      <c r="Q59" s="759" t="s">
        <v>60</v>
      </c>
      <c r="R59" s="759"/>
      <c r="S59" s="759"/>
      <c r="T59" s="239"/>
      <c r="U59" s="759" t="s">
        <v>61</v>
      </c>
      <c r="V59" s="759"/>
      <c r="W59" s="759"/>
    </row>
    <row r="61" spans="2:38" ht="25" customHeight="1" x14ac:dyDescent="0.25">
      <c r="B61" s="253"/>
      <c r="C61" s="254"/>
      <c r="D61" s="255"/>
      <c r="E61" s="559">
        <f>E37</f>
        <v>46082</v>
      </c>
      <c r="F61" s="558">
        <f>F37</f>
        <v>45992</v>
      </c>
      <c r="G61" s="560" t="s">
        <v>62</v>
      </c>
      <c r="H61" s="239"/>
      <c r="I61" s="559">
        <f>E61</f>
        <v>46082</v>
      </c>
      <c r="J61" s="558">
        <f>F61</f>
        <v>45992</v>
      </c>
      <c r="K61" s="560" t="s">
        <v>62</v>
      </c>
      <c r="L61" s="239"/>
      <c r="M61" s="559">
        <f>I61</f>
        <v>46082</v>
      </c>
      <c r="N61" s="558">
        <f>J61</f>
        <v>45992</v>
      </c>
      <c r="O61" s="560" t="s">
        <v>62</v>
      </c>
      <c r="P61" s="239"/>
      <c r="Q61" s="559">
        <f>M61</f>
        <v>46082</v>
      </c>
      <c r="R61" s="558">
        <f>N61</f>
        <v>45992</v>
      </c>
      <c r="S61" s="560" t="s">
        <v>62</v>
      </c>
      <c r="T61" s="239"/>
      <c r="U61" s="559">
        <f>Q61</f>
        <v>46082</v>
      </c>
      <c r="V61" s="558">
        <f>R61</f>
        <v>45992</v>
      </c>
      <c r="W61" s="560" t="s">
        <v>62</v>
      </c>
      <c r="Z61" s="56">
        <f>U64/U87</f>
        <v>0.10414680174057202</v>
      </c>
      <c r="AA61" s="57">
        <f>+'Syn prin concurents'!E64</f>
        <v>1355921.4210000001</v>
      </c>
    </row>
    <row r="63" spans="2:38" ht="6.75" customHeight="1" x14ac:dyDescent="0.25">
      <c r="B63" s="561"/>
      <c r="C63" s="561"/>
      <c r="D63" s="561"/>
      <c r="E63" s="561"/>
      <c r="F63" s="561"/>
      <c r="G63" s="561"/>
      <c r="H63" s="238"/>
      <c r="I63" s="561"/>
      <c r="J63" s="561"/>
      <c r="K63" s="561"/>
      <c r="L63" s="238"/>
      <c r="M63" s="561"/>
      <c r="N63" s="561"/>
      <c r="O63" s="561"/>
      <c r="P63" s="238"/>
      <c r="Q63" s="561"/>
      <c r="R63" s="561"/>
      <c r="S63" s="561"/>
      <c r="T63" s="238"/>
      <c r="U63" s="561"/>
      <c r="V63" s="561"/>
      <c r="W63" s="561"/>
    </row>
    <row r="64" spans="2:38" ht="23.5" x14ac:dyDescent="0.25">
      <c r="B64" s="243" t="s">
        <v>10</v>
      </c>
      <c r="C64" s="256"/>
      <c r="D64" s="256"/>
      <c r="E64" s="257">
        <f>WAFASALAF!$B$97</f>
        <v>1355921.4210000001</v>
      </c>
      <c r="F64" s="257">
        <f>+'[2]Syn prin concurents'!$E$64</f>
        <v>1222020.3030000001</v>
      </c>
      <c r="G64" s="258">
        <f>IF(F64=0,0,E64/F64-1)</f>
        <v>0.10957356246150685</v>
      </c>
      <c r="H64" s="247"/>
      <c r="I64" s="257">
        <f>WAFASALAF!$B$106</f>
        <v>1461907.2880000002</v>
      </c>
      <c r="J64" s="257">
        <f>+'[2]Syn prin concurents'!$I$64</f>
        <v>1452431.0660000001</v>
      </c>
      <c r="K64" s="258">
        <f>IF(J64=0,0,I64/J64-1)</f>
        <v>6.5243867484172657E-3</v>
      </c>
      <c r="L64" s="247"/>
      <c r="M64" s="257">
        <f>WAFASALAF!$B$103-WAFASALAF!$B$97</f>
        <v>68420.01099999994</v>
      </c>
      <c r="N64" s="257">
        <f>'[2]Syn prin concurents'!$M$64</f>
        <v>58502.29700000002</v>
      </c>
      <c r="O64" s="258">
        <f>IF(N64=0,0,M64/N64-1)</f>
        <v>0.16952691618245197</v>
      </c>
      <c r="P64" s="247"/>
      <c r="Q64" s="257">
        <f>WAFASALAF!$B$111</f>
        <v>38385.053</v>
      </c>
      <c r="R64" s="257">
        <f>'[2]Syn prin concurents'!$Q$64</f>
        <v>40624.675000000003</v>
      </c>
      <c r="S64" s="258">
        <f>IF(R64=0,0,Q64/R64-1)</f>
        <v>-5.5129597959860721E-2</v>
      </c>
      <c r="T64" s="247"/>
      <c r="U64" s="245">
        <f>Q64+M64+I64+E64</f>
        <v>2924633.773</v>
      </c>
      <c r="V64" s="245">
        <f>R64+N64+J64+F64</f>
        <v>2773578.341</v>
      </c>
      <c r="W64" s="258">
        <f>IF(V64=0,0,U64/V64-1)</f>
        <v>5.4462291461916168E-2</v>
      </c>
      <c r="Z64" s="348">
        <f>E64-'Syn prin concurents'!E64</f>
        <v>0</v>
      </c>
      <c r="AA64" s="348">
        <f>+Z64+AD64</f>
        <v>0</v>
      </c>
      <c r="AB64" s="315"/>
      <c r="AC64" s="315"/>
      <c r="AD64" s="348">
        <f>I64-'Syn prin concurents'!I64</f>
        <v>0</v>
      </c>
      <c r="AE64" s="348"/>
      <c r="AF64" s="314"/>
      <c r="AG64" s="348">
        <f>M64-'Syn prin concurents'!M64</f>
        <v>0</v>
      </c>
      <c r="AH64" s="315"/>
      <c r="AI64" s="348">
        <f>Q64-'Syn prin concurents'!Q64</f>
        <v>0</v>
      </c>
      <c r="AJ64" s="348">
        <f>W64-'Syn prin concurents'!W64</f>
        <v>0</v>
      </c>
      <c r="AK64" s="348"/>
      <c r="AL64" s="348">
        <f>U64-'Syn prin concurents'!U64</f>
        <v>0</v>
      </c>
    </row>
    <row r="65" spans="2:38" ht="23" x14ac:dyDescent="0.25">
      <c r="B65" s="248" t="s">
        <v>67</v>
      </c>
      <c r="C65" s="259"/>
      <c r="D65" s="259"/>
      <c r="E65" s="260">
        <f>E64/E$78</f>
        <v>0.17595437263811717</v>
      </c>
      <c r="F65" s="260">
        <f>F64/F$78</f>
        <v>0.1812855018461072</v>
      </c>
      <c r="G65" s="261">
        <f>(E65-F65)*100</f>
        <v>-0.53311292079900319</v>
      </c>
      <c r="H65" s="252"/>
      <c r="I65" s="260">
        <f>I64/I$78</f>
        <v>0.30648923624365038</v>
      </c>
      <c r="J65" s="260">
        <f>J64/J$78</f>
        <v>0.30996117154604974</v>
      </c>
      <c r="K65" s="261">
        <f>(I65-J65)*100</f>
        <v>-0.34719353023993649</v>
      </c>
      <c r="L65" s="252"/>
      <c r="M65" s="260">
        <f>M64/M$78</f>
        <v>0.92814373775204262</v>
      </c>
      <c r="N65" s="260">
        <f>N64/N$78</f>
        <v>0.91798956219940508</v>
      </c>
      <c r="O65" s="261">
        <f>(M65-N65)*100</f>
        <v>1.0154175552637534</v>
      </c>
      <c r="P65" s="252"/>
      <c r="Q65" s="260">
        <f>Q64/Q$78</f>
        <v>0.46361307854010192</v>
      </c>
      <c r="R65" s="260">
        <f>R64/R$78</f>
        <v>0.26623889014725777</v>
      </c>
      <c r="S65" s="261">
        <f>(Q65-R65)*100</f>
        <v>19.737418839284416</v>
      </c>
      <c r="T65" s="252"/>
      <c r="U65" s="250">
        <f>U64/U$78</f>
        <v>0.23151739605702415</v>
      </c>
      <c r="V65" s="250">
        <f>V64/V$78</f>
        <v>0.23821801658115094</v>
      </c>
      <c r="W65" s="261">
        <f>(U65-V65)*100</f>
        <v>-0.6700620524126788</v>
      </c>
      <c r="Z65" s="348"/>
      <c r="AA65" s="320"/>
      <c r="AB65" s="320"/>
      <c r="AC65" s="320"/>
      <c r="AD65" s="320"/>
      <c r="AE65" s="320"/>
      <c r="AF65" s="320"/>
      <c r="AG65" s="320"/>
      <c r="AH65" s="320"/>
      <c r="AI65" s="320"/>
      <c r="AJ65" s="320"/>
      <c r="AK65" s="320"/>
      <c r="AL65" s="321"/>
    </row>
    <row r="66" spans="2:38" ht="23.5" x14ac:dyDescent="0.25">
      <c r="B66" s="243" t="s">
        <v>6</v>
      </c>
      <c r="C66" s="256"/>
      <c r="D66" s="256"/>
      <c r="E66" s="257">
        <f>EQDOM!$B$97</f>
        <v>885886.18799999997</v>
      </c>
      <c r="F66" s="257">
        <f>+'[2]Syn prin concurents'!$E$66</f>
        <v>827543.04799999995</v>
      </c>
      <c r="G66" s="258">
        <f>IF(F66=0,0,E66/F66-1)</f>
        <v>7.0501637517230487E-2</v>
      </c>
      <c r="H66" s="247"/>
      <c r="I66" s="257">
        <f>EQDOM!$B$106</f>
        <v>900163.571</v>
      </c>
      <c r="J66" s="257">
        <f>+'[2]Syn prin concurents'!$I$66</f>
        <v>922707.46100000013</v>
      </c>
      <c r="K66" s="258">
        <f>IF(J66=0,0,I66/J66-1)</f>
        <v>-2.443232655295513E-2</v>
      </c>
      <c r="L66" s="247"/>
      <c r="M66" s="257">
        <f>EQDOM!$B$103-EQDOM!$B$97</f>
        <v>4975.39300000004</v>
      </c>
      <c r="N66" s="257">
        <f>'[2]Syn prin concurents'!$M$66</f>
        <v>4979.7669999999998</v>
      </c>
      <c r="O66" s="258">
        <f>IF(N66=0,0,M66/N66-1)</f>
        <v>-8.783543486994283E-4</v>
      </c>
      <c r="P66" s="247"/>
      <c r="Q66" s="257">
        <f>EQDOM!$B$111</f>
        <v>0</v>
      </c>
      <c r="R66" s="257">
        <f>'[2]Syn prin concurents'!$Q$66</f>
        <v>0</v>
      </c>
      <c r="S66" s="258">
        <f>IF(R66=0,0,Q66/R66-1)</f>
        <v>0</v>
      </c>
      <c r="T66" s="247"/>
      <c r="U66" s="245">
        <f>Q66+M66+I66+E66</f>
        <v>1791025.152</v>
      </c>
      <c r="V66" s="245">
        <f>R66+N66+J66+F66</f>
        <v>1755230.2760000001</v>
      </c>
      <c r="W66" s="258">
        <f>IF(V66=0,0,U66/V66-1)</f>
        <v>2.0393264911982456E-2</v>
      </c>
      <c r="X66" s="57"/>
      <c r="Z66" s="348">
        <f>E70-'Syn prin concurents'!E66</f>
        <v>752862.13560000027</v>
      </c>
      <c r="AA66" s="348">
        <f>+Z66+AD66</f>
        <v>636907.15418999875</v>
      </c>
      <c r="AB66" s="57"/>
      <c r="AC66" s="57"/>
      <c r="AD66" s="348">
        <f>I70-'Syn prin concurents'!I66</f>
        <v>-115954.98141000152</v>
      </c>
      <c r="AF66" s="314"/>
      <c r="AG66" s="348">
        <f>M70-'Syn prin concurents'!M66</f>
        <v>-4653.7548900000984</v>
      </c>
      <c r="AH66" s="315"/>
      <c r="AI66" s="348">
        <f>Q70-'Syn prin concurents'!Q66</f>
        <v>0</v>
      </c>
      <c r="AJ66" s="314"/>
      <c r="AK66" s="314"/>
      <c r="AL66" s="348">
        <f>U70-'Syn prin concurents'!U66</f>
        <v>632253.39929999853</v>
      </c>
    </row>
    <row r="67" spans="2:38" ht="23" x14ac:dyDescent="0.25">
      <c r="B67" s="248" t="s">
        <v>67</v>
      </c>
      <c r="C67" s="259"/>
      <c r="D67" s="259"/>
      <c r="E67" s="260">
        <f>E66/E$78</f>
        <v>0.11495913112970364</v>
      </c>
      <c r="F67" s="260">
        <f>F66/F$78</f>
        <v>0.12276519169742237</v>
      </c>
      <c r="G67" s="261">
        <f>(E67-F67)*100</f>
        <v>-0.78060605677187223</v>
      </c>
      <c r="H67" s="252"/>
      <c r="I67" s="260">
        <f>I66/I$78</f>
        <v>0.18871952252703109</v>
      </c>
      <c r="J67" s="260">
        <f>J66/J$78</f>
        <v>0.19691363831365546</v>
      </c>
      <c r="K67" s="261">
        <f>(I67-J67)*100</f>
        <v>-0.81941157866243786</v>
      </c>
      <c r="L67" s="252"/>
      <c r="M67" s="260">
        <f>M66/M$78</f>
        <v>6.7493117705073005E-2</v>
      </c>
      <c r="N67" s="260">
        <f>N66/N$78</f>
        <v>7.814007932346731E-2</v>
      </c>
      <c r="O67" s="261">
        <f>(M67-N67)*100</f>
        <v>-1.0646961618394304</v>
      </c>
      <c r="P67" s="252"/>
      <c r="Q67" s="260">
        <f>Q66/Q$78</f>
        <v>0</v>
      </c>
      <c r="R67" s="260">
        <f>R66/R$78</f>
        <v>0</v>
      </c>
      <c r="S67" s="261">
        <f>(Q67-R67)*100</f>
        <v>0</v>
      </c>
      <c r="T67" s="252"/>
      <c r="U67" s="250">
        <f>U66/U$78</f>
        <v>0.14177962495397739</v>
      </c>
      <c r="V67" s="250">
        <f>V66/V$78</f>
        <v>0.15075380017611198</v>
      </c>
      <c r="W67" s="261">
        <f>(U67-V67)*100</f>
        <v>-0.89741752221345894</v>
      </c>
      <c r="Z67" s="348"/>
      <c r="AB67" s="57"/>
      <c r="AC67" s="57"/>
      <c r="AD67" s="58"/>
      <c r="AL67" s="57"/>
    </row>
    <row r="68" spans="2:38" ht="23.5" x14ac:dyDescent="0.25">
      <c r="B68" s="243" t="s">
        <v>5</v>
      </c>
      <c r="C68" s="284"/>
      <c r="D68" s="284"/>
      <c r="E68" s="285">
        <f>VIVALIS!B97</f>
        <v>2510184.1529999999</v>
      </c>
      <c r="F68" s="285">
        <f>+'[2]Syn prin concurents'!$E$68</f>
        <v>1883393.051</v>
      </c>
      <c r="G68" s="286">
        <f>IF(F68=0,0,E68/F68-1)</f>
        <v>0.33279888213838382</v>
      </c>
      <c r="H68" s="247"/>
      <c r="I68" s="285">
        <f>VIVALIS!B106</f>
        <v>633267.11399999994</v>
      </c>
      <c r="J68" s="285">
        <f>+'[2]Syn prin concurents'!$I$68</f>
        <v>474914.71499999997</v>
      </c>
      <c r="K68" s="286">
        <f>IF(J68=0,0,I68/J68-1)</f>
        <v>0.33343333865744706</v>
      </c>
      <c r="L68" s="247"/>
      <c r="M68" s="285">
        <f>VIVALIS!$B$103-VIVALIS!$B$97</f>
        <v>0</v>
      </c>
      <c r="N68" s="285">
        <f>'[2]Syn prin concurents'!$M$68</f>
        <v>0</v>
      </c>
      <c r="O68" s="286">
        <f>IF(N68=0,0,M68/N68-1)</f>
        <v>0</v>
      </c>
      <c r="P68" s="247"/>
      <c r="Q68" s="285">
        <f>VIVALIS!$B$111</f>
        <v>0</v>
      </c>
      <c r="R68" s="285">
        <f>'[2]Syn prin concurents'!$Q$68</f>
        <v>0</v>
      </c>
      <c r="S68" s="286">
        <f>IF(R68=0,0,Q68/R68-1)</f>
        <v>0</v>
      </c>
      <c r="T68" s="247"/>
      <c r="U68" s="279">
        <f>Q68+M68+I68+E68</f>
        <v>3143451.267</v>
      </c>
      <c r="V68" s="279">
        <f>R68+N68+J68+F68</f>
        <v>2358307.7659999998</v>
      </c>
      <c r="W68" s="286">
        <f>IF(V68=0,0,U68/V68-1)</f>
        <v>0.33292664864166843</v>
      </c>
      <c r="Z68" s="348">
        <f>E68-'Syn prin concurents'!E68</f>
        <v>0</v>
      </c>
      <c r="AA68" s="348">
        <f>+Z68+AD68</f>
        <v>0</v>
      </c>
      <c r="AB68" s="57"/>
      <c r="AC68" s="57"/>
      <c r="AD68" s="348">
        <f>I68-'Syn prin concurents'!I68</f>
        <v>0</v>
      </c>
      <c r="AF68" s="314"/>
      <c r="AG68" s="348">
        <f>M68-'Syn prin concurents'!M68</f>
        <v>0</v>
      </c>
      <c r="AH68" s="315"/>
      <c r="AI68" s="348">
        <f>Q68-'Syn prin concurents'!Q68</f>
        <v>0</v>
      </c>
      <c r="AJ68" s="314"/>
      <c r="AK68" s="314"/>
      <c r="AL68" s="348">
        <f>U68-'Syn prin concurents'!U68</f>
        <v>0</v>
      </c>
    </row>
    <row r="69" spans="2:38" ht="18.5" x14ac:dyDescent="0.25">
      <c r="B69" s="248" t="s">
        <v>67</v>
      </c>
      <c r="C69" s="287"/>
      <c r="D69" s="287"/>
      <c r="E69" s="288">
        <f>E68/E$78</f>
        <v>0.32574002520110529</v>
      </c>
      <c r="F69" s="288">
        <f>F68/F$78</f>
        <v>0.27939949408844311</v>
      </c>
      <c r="G69" s="289">
        <f>(E69-F69)*100</f>
        <v>4.6340531112662173</v>
      </c>
      <c r="H69" s="252"/>
      <c r="I69" s="288">
        <f>I68/I$78</f>
        <v>0.13276461216197222</v>
      </c>
      <c r="J69" s="288">
        <f>J68/J$78</f>
        <v>0.10135084885733112</v>
      </c>
      <c r="K69" s="289">
        <f>(I69-J69)*100</f>
        <v>3.14137633046411</v>
      </c>
      <c r="L69" s="252"/>
      <c r="M69" s="288">
        <f>M68/M$78</f>
        <v>0</v>
      </c>
      <c r="N69" s="288">
        <f>N68/N$78</f>
        <v>0</v>
      </c>
      <c r="O69" s="289">
        <f>(M69-N69)*100</f>
        <v>0</v>
      </c>
      <c r="P69" s="252"/>
      <c r="Q69" s="288">
        <f>Q68/Q$78</f>
        <v>0</v>
      </c>
      <c r="R69" s="288">
        <f>R68/R$78</f>
        <v>0</v>
      </c>
      <c r="S69" s="289">
        <f>(Q69-R69)*100</f>
        <v>0</v>
      </c>
      <c r="T69" s="252"/>
      <c r="U69" s="282">
        <f>U68/U$78</f>
        <v>0.2488392422622801</v>
      </c>
      <c r="V69" s="282">
        <f>V68/V$78</f>
        <v>0.20255111968529932</v>
      </c>
      <c r="W69" s="289">
        <f>(U69-V69)*100</f>
        <v>4.6288122576980779</v>
      </c>
    </row>
    <row r="70" spans="2:38" ht="23.5" x14ac:dyDescent="0.25">
      <c r="B70" s="223" t="s">
        <v>2</v>
      </c>
      <c r="C70" s="224"/>
      <c r="D70" s="224"/>
      <c r="E70" s="225">
        <f>SOFAC!B97</f>
        <v>1638748.3236000002</v>
      </c>
      <c r="F70" s="225">
        <f>+'[2]Syn prin concurents'!$E$70</f>
        <v>1463519.5664999941</v>
      </c>
      <c r="G70" s="226">
        <f>IF(F70=0,0,E70/F70-1)</f>
        <v>0.11973106551562251</v>
      </c>
      <c r="H70" s="247"/>
      <c r="I70" s="225">
        <f>SOFAC!B106</f>
        <v>784208.58958999848</v>
      </c>
      <c r="J70" s="225">
        <f>+'[2]Syn prin concurents'!$I$70</f>
        <v>734509.68415999995</v>
      </c>
      <c r="K70" s="226">
        <f>IF(J70=0,0,I70/J70-1)</f>
        <v>6.7662695947753537E-2</v>
      </c>
      <c r="L70" s="247"/>
      <c r="M70" s="225">
        <f>SOFAC!B103-SOFAC!B97</f>
        <v>321.63810999994166</v>
      </c>
      <c r="N70" s="225">
        <f>'[2]Syn prin concurents'!$M$70</f>
        <v>246.65298000001349</v>
      </c>
      <c r="O70" s="226">
        <f>IF(N70=0,0,M70/N70-1)</f>
        <v>0.30401063875216128</v>
      </c>
      <c r="P70" s="247"/>
      <c r="Q70" s="225">
        <f>SOFAC!B111</f>
        <v>0</v>
      </c>
      <c r="R70" s="225">
        <f>'[2]Syn prin concurents'!$Q$70</f>
        <v>0</v>
      </c>
      <c r="S70" s="226">
        <f>IF(R70=0,0,Q70/R70-1)</f>
        <v>0</v>
      </c>
      <c r="T70" s="247"/>
      <c r="U70" s="225">
        <f>Q70+M70+I70+E70</f>
        <v>2423278.5512999985</v>
      </c>
      <c r="V70" s="225">
        <f>R70+N70+J70+F70</f>
        <v>2198275.9036399941</v>
      </c>
      <c r="W70" s="226">
        <f>IF(V70=0,0,U70/V70-1)</f>
        <v>0.10235414366660534</v>
      </c>
    </row>
    <row r="71" spans="2:38" ht="18.5" x14ac:dyDescent="0.25">
      <c r="B71" s="227" t="s">
        <v>67</v>
      </c>
      <c r="C71" s="228"/>
      <c r="D71" s="228"/>
      <c r="E71" s="229">
        <f>E70/E$78</f>
        <v>0.21265607927201871</v>
      </c>
      <c r="F71" s="229">
        <f>F70/F$78</f>
        <v>0.21711167844201415</v>
      </c>
      <c r="G71" s="230">
        <f>(E71-F71)*100</f>
        <v>-0.44555991699954389</v>
      </c>
      <c r="H71" s="252"/>
      <c r="I71" s="229">
        <f>I70/I$78</f>
        <v>0.16440953106401701</v>
      </c>
      <c r="J71" s="229">
        <f>J70/J$78</f>
        <v>0.15675062833870324</v>
      </c>
      <c r="K71" s="230">
        <f>(I71-J71)*100</f>
        <v>0.76589027253137765</v>
      </c>
      <c r="L71" s="252"/>
      <c r="M71" s="229">
        <f>M70/M$78</f>
        <v>4.3631445428859803E-3</v>
      </c>
      <c r="N71" s="229">
        <f>N70/N$78</f>
        <v>3.8703584771276746E-3</v>
      </c>
      <c r="O71" s="230">
        <f>(M71-N71)*100</f>
        <v>4.9278606575830573E-2</v>
      </c>
      <c r="P71" s="252"/>
      <c r="Q71" s="229">
        <f>Q70/Q$78</f>
        <v>0</v>
      </c>
      <c r="R71" s="229">
        <f>R70/R$78</f>
        <v>0</v>
      </c>
      <c r="S71" s="230">
        <f>(Q71-R71)*100</f>
        <v>0</v>
      </c>
      <c r="T71" s="252"/>
      <c r="U71" s="229">
        <f>U70/U$78</f>
        <v>0.19182953616183021</v>
      </c>
      <c r="V71" s="229">
        <f>V70/V$78</f>
        <v>0.18880625000642687</v>
      </c>
      <c r="W71" s="230">
        <f>(U71-V71)*100</f>
        <v>0.3023286155403343</v>
      </c>
    </row>
    <row r="72" spans="2:38" ht="23.5" x14ac:dyDescent="0.25">
      <c r="B72" s="243" t="s">
        <v>7</v>
      </c>
      <c r="C72" s="256"/>
      <c r="D72" s="256"/>
      <c r="E72" s="257">
        <f>SALAFIN!B97</f>
        <v>365618.13400000002</v>
      </c>
      <c r="F72" s="257">
        <f>+'[2]Syn prin concurents'!$E$72</f>
        <v>422167.64300000004</v>
      </c>
      <c r="G72" s="258">
        <f>IF(F72=0,0,E72/F72-1)</f>
        <v>-0.13395036293674456</v>
      </c>
      <c r="H72" s="247"/>
      <c r="I72" s="257">
        <f>SALAFIN!B106</f>
        <v>550058.27799999993</v>
      </c>
      <c r="J72" s="257">
        <f>+'[2]Syn prin concurents'!$I$72</f>
        <v>660571.49200000009</v>
      </c>
      <c r="K72" s="258">
        <f>IF(J72=0,0,I72/J72-1)</f>
        <v>-0.16729939959322393</v>
      </c>
      <c r="L72" s="247"/>
      <c r="M72" s="257">
        <f>SALAFIN!$B$103-SALAFIN!$B$97</f>
        <v>0</v>
      </c>
      <c r="N72" s="257">
        <f>'[2]Syn prin concurents'!$M$72</f>
        <v>0</v>
      </c>
      <c r="O72" s="258">
        <f>IF(N72=0,0,M72/N72-1)</f>
        <v>0</v>
      </c>
      <c r="P72" s="247"/>
      <c r="Q72" s="257">
        <f>SALAFIN!$B$111</f>
        <v>44341.983</v>
      </c>
      <c r="R72" s="257">
        <f>'[2]Syn prin concurents'!$Q$72</f>
        <v>43549.631000000001</v>
      </c>
      <c r="S72" s="258">
        <f>IF(R72=0,0,Q72/R72-1)</f>
        <v>1.819422993503661E-2</v>
      </c>
      <c r="T72" s="247"/>
      <c r="U72" s="245">
        <f>Q72+M72+I72+E72</f>
        <v>960018.39500000002</v>
      </c>
      <c r="V72" s="245">
        <f>R72+N72+J72+F72</f>
        <v>1126288.7660000003</v>
      </c>
      <c r="W72" s="258">
        <f>IF(V72=0,0,U72/V72-1)</f>
        <v>-0.14762676856887003</v>
      </c>
    </row>
    <row r="73" spans="2:38" ht="18.5" x14ac:dyDescent="0.25">
      <c r="B73" s="248" t="s">
        <v>67</v>
      </c>
      <c r="C73" s="259"/>
      <c r="D73" s="259"/>
      <c r="E73" s="260">
        <f>E72/E$78</f>
        <v>4.7445307963085166E-2</v>
      </c>
      <c r="F73" s="260">
        <f>F72/F$78</f>
        <v>6.2628151788115774E-2</v>
      </c>
      <c r="G73" s="261">
        <f>(E73-F73)*100</f>
        <v>-1.5182843825030607</v>
      </c>
      <c r="H73" s="252"/>
      <c r="I73" s="260">
        <f>I72/I$78</f>
        <v>0.11531985844626111</v>
      </c>
      <c r="J73" s="260">
        <f>J72/J$78</f>
        <v>0.14097158780425181</v>
      </c>
      <c r="K73" s="261">
        <f>(I73-J73)*100</f>
        <v>-2.5651729357990707</v>
      </c>
      <c r="L73" s="252"/>
      <c r="M73" s="260">
        <f>M72/M$78</f>
        <v>0</v>
      </c>
      <c r="N73" s="260">
        <f>N72/N$78</f>
        <v>0</v>
      </c>
      <c r="O73" s="261">
        <f>(M73-N73)*100</f>
        <v>0</v>
      </c>
      <c r="P73" s="252"/>
      <c r="Q73" s="260">
        <f>Q72/Q$78</f>
        <v>0.53556063208256777</v>
      </c>
      <c r="R73" s="260">
        <f>R72/R$78</f>
        <v>0.28540795523318307</v>
      </c>
      <c r="S73" s="261">
        <f>(Q73-R73)*100</f>
        <v>25.015267684938468</v>
      </c>
      <c r="T73" s="252"/>
      <c r="U73" s="250">
        <f>U72/U$78</f>
        <v>7.5996167803688855E-2</v>
      </c>
      <c r="V73" s="250">
        <f>V72/V$78</f>
        <v>9.6735063137757635E-2</v>
      </c>
      <c r="W73" s="261">
        <f>(U73-V73)*100</f>
        <v>-2.0738895334068781</v>
      </c>
    </row>
    <row r="74" spans="2:38" ht="23.5" x14ac:dyDescent="0.25">
      <c r="B74" s="243" t="s">
        <v>4</v>
      </c>
      <c r="C74" s="256"/>
      <c r="D74" s="256"/>
      <c r="E74" s="257">
        <f>'RCI '!$B$97</f>
        <v>860697.12000000011</v>
      </c>
      <c r="F74" s="257">
        <f>+'[2]Syn prin concurents'!$E$74</f>
        <v>850884.12300000002</v>
      </c>
      <c r="G74" s="258">
        <f>IF(F74=0,0,E74/F74-1)</f>
        <v>1.1532706669154846E-2</v>
      </c>
      <c r="H74" s="247"/>
      <c r="I74" s="257">
        <f>'RCI '!$B$106</f>
        <v>0</v>
      </c>
      <c r="J74" s="257">
        <f>+'[2]Syn prin concurents'!$I$74</f>
        <v>0</v>
      </c>
      <c r="K74" s="258">
        <f>IF(J74=0,0,I74/J74-1)</f>
        <v>0</v>
      </c>
      <c r="L74" s="247"/>
      <c r="M74" s="257">
        <f>'RCI '!$B$103-'RCI '!$B$97</f>
        <v>0</v>
      </c>
      <c r="N74" s="257">
        <f>'[2]Syn prin concurents'!$M$74</f>
        <v>0</v>
      </c>
      <c r="O74" s="258">
        <f>IF(N74=0,0,M74/N74-1)</f>
        <v>0</v>
      </c>
      <c r="P74" s="247"/>
      <c r="Q74" s="257">
        <f>'RCI '!$B$111</f>
        <v>0</v>
      </c>
      <c r="R74" s="257">
        <f>'[2]Syn prin concurents'!$Q$74</f>
        <v>0</v>
      </c>
      <c r="S74" s="258">
        <f>IF(R74=0,0,Q74/R74-1)</f>
        <v>0</v>
      </c>
      <c r="T74" s="247"/>
      <c r="U74" s="245">
        <f>Q74+M74+I74+E74</f>
        <v>860697.12000000011</v>
      </c>
      <c r="V74" s="245">
        <f>R74+N74+J74+F74</f>
        <v>850884.12300000002</v>
      </c>
      <c r="W74" s="258">
        <f>IF(V74=0,0,U74/V74-1)</f>
        <v>1.1532706669154846E-2</v>
      </c>
    </row>
    <row r="75" spans="2:38" ht="18.5" x14ac:dyDescent="0.25">
      <c r="B75" s="248" t="s">
        <v>67</v>
      </c>
      <c r="C75" s="259"/>
      <c r="D75" s="259"/>
      <c r="E75" s="260">
        <f>E74/E$78</f>
        <v>0.11169041172706295</v>
      </c>
      <c r="F75" s="260">
        <f>F74/F$78</f>
        <v>0.12622781706020461</v>
      </c>
      <c r="G75" s="261">
        <f>(E75-F75)*100</f>
        <v>-1.4537405333141655</v>
      </c>
      <c r="H75" s="252"/>
      <c r="I75" s="260">
        <f>I74/I$78</f>
        <v>0</v>
      </c>
      <c r="J75" s="260">
        <f>J74/J$78</f>
        <v>0</v>
      </c>
      <c r="K75" s="261">
        <f>(I75-J75)*100</f>
        <v>0</v>
      </c>
      <c r="L75" s="252"/>
      <c r="M75" s="260">
        <f>M74/M$78</f>
        <v>0</v>
      </c>
      <c r="N75" s="260">
        <f>N74/N$78</f>
        <v>0</v>
      </c>
      <c r="O75" s="261">
        <f>(M75-N75)*100</f>
        <v>0</v>
      </c>
      <c r="P75" s="252"/>
      <c r="Q75" s="260">
        <f>Q74/Q$78</f>
        <v>0</v>
      </c>
      <c r="R75" s="260">
        <f>R74/R$78</f>
        <v>0</v>
      </c>
      <c r="S75" s="261">
        <f>(Q75-R75)*100</f>
        <v>0</v>
      </c>
      <c r="T75" s="252"/>
      <c r="U75" s="250">
        <f>U74/U$78</f>
        <v>6.8133780665392066E-2</v>
      </c>
      <c r="V75" s="250">
        <f>V74/V$78</f>
        <v>7.3081017804736331E-2</v>
      </c>
      <c r="W75" s="261">
        <f>(U75-V75)*100</f>
        <v>-0.49472371393442655</v>
      </c>
    </row>
    <row r="76" spans="2:38" ht="23.5" x14ac:dyDescent="0.25">
      <c r="B76" s="243" t="s">
        <v>11</v>
      </c>
      <c r="C76" s="256"/>
      <c r="D76" s="256"/>
      <c r="E76" s="257">
        <f>'AXA CREDIT'!$B$97</f>
        <v>6917.0390000000007</v>
      </c>
      <c r="F76" s="257">
        <f>+'[2]Syn prin concurents'!$E$76</f>
        <v>6917.0390000000007</v>
      </c>
      <c r="G76" s="258">
        <f>IF(F76=0,0,E76/F76-1)</f>
        <v>0</v>
      </c>
      <c r="H76" s="247"/>
      <c r="I76" s="257">
        <f>'AXA CREDIT'!$B$106</f>
        <v>439148.82700000005</v>
      </c>
      <c r="J76" s="257">
        <f>+'[2]Syn prin concurents'!$I$76</f>
        <v>439148.82700000005</v>
      </c>
      <c r="K76" s="258">
        <f>IF(J76=0,0,I76/J76-1)</f>
        <v>0</v>
      </c>
      <c r="L76" s="247"/>
      <c r="M76" s="257"/>
      <c r="N76" s="257">
        <f>'[3]Syn prin concurents'!M76</f>
        <v>0</v>
      </c>
      <c r="O76" s="258">
        <f>IF(N76=0,0,M76/N76-1)</f>
        <v>0</v>
      </c>
      <c r="P76" s="247"/>
      <c r="Q76" s="257">
        <f>'AXA CREDIT'!$B$111</f>
        <v>68.412999999999997</v>
      </c>
      <c r="R76" s="257">
        <f>'[2]Syn prin concurents'!$Q$76</f>
        <v>68413</v>
      </c>
      <c r="S76" s="258">
        <f>IF(R76=0,0,Q76/R76-1)</f>
        <v>-0.999</v>
      </c>
      <c r="T76" s="247"/>
      <c r="U76" s="245">
        <f>Q76+M76+I76+E76</f>
        <v>446134.27900000004</v>
      </c>
      <c r="V76" s="245">
        <f>U76</f>
        <v>446134.27900000004</v>
      </c>
      <c r="W76" s="258">
        <f>IF(V76=0,0,U76/V76-1)</f>
        <v>0</v>
      </c>
    </row>
    <row r="77" spans="2:38" ht="19" thickBot="1" x14ac:dyDescent="0.3">
      <c r="B77" s="248" t="s">
        <v>67</v>
      </c>
      <c r="C77" s="259"/>
      <c r="D77" s="259"/>
      <c r="E77" s="260">
        <f>E76/E$78</f>
        <v>8.9760604037126526E-4</v>
      </c>
      <c r="F77" s="260">
        <f>F76/F$78</f>
        <v>1.0261358860615391E-3</v>
      </c>
      <c r="G77" s="261">
        <f>(E77-F77)*100</f>
        <v>-1.2852984569027384E-2</v>
      </c>
      <c r="H77" s="252"/>
      <c r="I77" s="260">
        <f>I76/I$78</f>
        <v>9.2067663722136775E-2</v>
      </c>
      <c r="J77" s="260">
        <f>J76/J$78</f>
        <v>9.3718103451798193E-2</v>
      </c>
      <c r="K77" s="261">
        <f>(I77-J77)*100</f>
        <v>-0.16504397296614182</v>
      </c>
      <c r="L77" s="252"/>
      <c r="M77" s="260">
        <f>M76/M$78</f>
        <v>0</v>
      </c>
      <c r="N77" s="260">
        <f>N76/N$78</f>
        <v>0</v>
      </c>
      <c r="O77" s="261">
        <f>(M77-N77)*100</f>
        <v>0</v>
      </c>
      <c r="P77" s="252"/>
      <c r="Q77" s="260">
        <f>Q76/Q$78</f>
        <v>8.2628937733038928E-4</v>
      </c>
      <c r="R77" s="260">
        <f>R76/R$78</f>
        <v>0.44835315461955927</v>
      </c>
      <c r="S77" s="261">
        <f>(Q77-R77)*100</f>
        <v>-44.752686524222888</v>
      </c>
      <c r="T77" s="252"/>
      <c r="U77" s="250">
        <f>U76/U$78</f>
        <v>3.5316506127845336E-2</v>
      </c>
      <c r="V77" s="250">
        <f>V76/V$78</f>
        <v>3.8317728942865947E-2</v>
      </c>
      <c r="W77" s="261">
        <f>(U77-V77)*100</f>
        <v>-0.30012228150206111</v>
      </c>
    </row>
    <row r="78" spans="2:38" ht="26.5" thickBot="1" x14ac:dyDescent="0.3">
      <c r="B78" s="231" t="s">
        <v>8</v>
      </c>
      <c r="C78" s="59"/>
      <c r="D78" s="60">
        <f>'[4]global '!$E$11</f>
        <v>3701704.9980545454</v>
      </c>
      <c r="E78" s="60">
        <f>GLOBAL!B97</f>
        <v>7706096.7606000006</v>
      </c>
      <c r="F78" s="60">
        <f>+'[2]Syn prin concurents'!$E$78</f>
        <v>6740860.6344999941</v>
      </c>
      <c r="G78" s="61">
        <f>IF(F78=0,0,E78/F78-1)</f>
        <v>0.14319182348317505</v>
      </c>
      <c r="H78" s="239"/>
      <c r="I78" s="60">
        <f>GLOBAL!B106</f>
        <v>4769848.7095899992</v>
      </c>
      <c r="J78" s="60">
        <f>+'[2]Syn prin concurents'!$I$78</f>
        <v>4685848.4201600002</v>
      </c>
      <c r="K78" s="61">
        <f>IF(J78=0,0,I78/J78-1)</f>
        <v>1.7926377871849919E-2</v>
      </c>
      <c r="L78" s="239"/>
      <c r="M78" s="60">
        <f>GLOBAL!B103-GLOBAL!B97</f>
        <v>73717.042109999806</v>
      </c>
      <c r="N78" s="60">
        <f>'[2]Syn prin concurents'!$M$78</f>
        <v>63728.716980000027</v>
      </c>
      <c r="O78" s="61">
        <f>IF(N78=0,0,M78/N78-1)</f>
        <v>0.15673193504169269</v>
      </c>
      <c r="P78" s="239"/>
      <c r="Q78" s="60">
        <f>GLOBAL!B111</f>
        <v>82795.448999999993</v>
      </c>
      <c r="R78" s="60">
        <f>'[2]Syn prin concurents'!$Q$78</f>
        <v>152587.30599999998</v>
      </c>
      <c r="S78" s="61">
        <f>IF(R78=0,0,Q78/R78-1)</f>
        <v>-0.45738966647723633</v>
      </c>
      <c r="T78" s="239"/>
      <c r="U78" s="233">
        <f>Q78+M78+I78+E78</f>
        <v>12632457.961300001</v>
      </c>
      <c r="V78" s="233">
        <f>R78+N78+J78+F78</f>
        <v>11643025.077639993</v>
      </c>
      <c r="W78" s="61">
        <f>IF(V78=0,0,U78/V78-1)</f>
        <v>8.4980739718595766E-2</v>
      </c>
      <c r="X78" s="57"/>
    </row>
    <row r="79" spans="2:38" ht="14" x14ac:dyDescent="0.25">
      <c r="B79" s="221"/>
    </row>
    <row r="80" spans="2:38" ht="27.5" x14ac:dyDescent="0.25">
      <c r="B80" s="757" t="s">
        <v>22</v>
      </c>
      <c r="C80" s="757"/>
      <c r="D80" s="757"/>
      <c r="E80" s="757"/>
      <c r="F80" s="757"/>
      <c r="G80" s="757"/>
      <c r="H80" s="757"/>
      <c r="I80" s="757"/>
      <c r="J80" s="757"/>
      <c r="K80" s="757"/>
      <c r="L80" s="757"/>
      <c r="M80" s="757"/>
      <c r="N80" s="757"/>
      <c r="O80" s="757"/>
      <c r="P80" s="757"/>
      <c r="Q80" s="757"/>
      <c r="R80" s="757"/>
      <c r="S80" s="757"/>
      <c r="T80" s="757"/>
      <c r="U80" s="757"/>
      <c r="V80" s="757"/>
      <c r="W80" s="757"/>
    </row>
    <row r="82" spans="2:38" ht="25" x14ac:dyDescent="0.25">
      <c r="B82" s="238"/>
      <c r="C82" s="238"/>
      <c r="D82" s="238"/>
      <c r="E82" s="759" t="s">
        <v>68</v>
      </c>
      <c r="F82" s="759"/>
      <c r="G82" s="759"/>
      <c r="H82" s="239"/>
      <c r="I82" s="759" t="s">
        <v>58</v>
      </c>
      <c r="J82" s="759"/>
      <c r="K82" s="759"/>
      <c r="L82" s="239"/>
      <c r="M82" s="759" t="s">
        <v>59</v>
      </c>
      <c r="N82" s="759"/>
      <c r="O82" s="759"/>
      <c r="P82" s="239"/>
      <c r="Q82" s="759" t="s">
        <v>60</v>
      </c>
      <c r="R82" s="759"/>
      <c r="S82" s="759"/>
      <c r="T82" s="239"/>
      <c r="U82" s="759" t="s">
        <v>61</v>
      </c>
      <c r="V82" s="759"/>
      <c r="W82" s="759"/>
    </row>
    <row r="84" spans="2:38" ht="24.75" customHeight="1" x14ac:dyDescent="0.25">
      <c r="B84" s="253"/>
      <c r="C84" s="254"/>
      <c r="D84" s="255"/>
      <c r="E84" s="559">
        <f>E61</f>
        <v>46082</v>
      </c>
      <c r="F84" s="558">
        <f>F61</f>
        <v>45992</v>
      </c>
      <c r="G84" s="560" t="s">
        <v>62</v>
      </c>
      <c r="H84" s="239"/>
      <c r="I84" s="559">
        <f>E84</f>
        <v>46082</v>
      </c>
      <c r="J84" s="558">
        <f>J61</f>
        <v>45992</v>
      </c>
      <c r="K84" s="560" t="s">
        <v>62</v>
      </c>
      <c r="L84" s="239"/>
      <c r="M84" s="559">
        <f>I84</f>
        <v>46082</v>
      </c>
      <c r="N84" s="558">
        <f>N61</f>
        <v>45992</v>
      </c>
      <c r="O84" s="560" t="s">
        <v>62</v>
      </c>
      <c r="P84" s="239"/>
      <c r="Q84" s="559">
        <f>M84</f>
        <v>46082</v>
      </c>
      <c r="R84" s="558">
        <f>R61</f>
        <v>45992</v>
      </c>
      <c r="S84" s="560" t="s">
        <v>62</v>
      </c>
      <c r="T84" s="239"/>
      <c r="U84" s="559">
        <f>Q84</f>
        <v>46082</v>
      </c>
      <c r="V84" s="558">
        <f>R84</f>
        <v>45992</v>
      </c>
      <c r="W84" s="560" t="s">
        <v>62</v>
      </c>
    </row>
    <row r="86" spans="2:38" ht="6" customHeight="1" x14ac:dyDescent="0.25">
      <c r="B86" s="561"/>
      <c r="C86" s="561"/>
      <c r="D86" s="561"/>
      <c r="E86" s="561"/>
      <c r="F86" s="561"/>
      <c r="G86" s="561"/>
      <c r="H86" s="238"/>
      <c r="I86" s="561"/>
      <c r="J86" s="561"/>
      <c r="K86" s="561"/>
      <c r="L86" s="238"/>
      <c r="M86" s="561"/>
      <c r="N86" s="561"/>
      <c r="O86" s="561"/>
      <c r="P86" s="238"/>
      <c r="Q86" s="561"/>
      <c r="R86" s="561"/>
      <c r="S86" s="561"/>
      <c r="T86" s="238"/>
      <c r="U86" s="561"/>
      <c r="V86" s="561"/>
      <c r="W86" s="561"/>
    </row>
    <row r="87" spans="2:38" ht="23.5" x14ac:dyDescent="0.25">
      <c r="B87" s="243" t="s">
        <v>10</v>
      </c>
      <c r="C87" s="256"/>
      <c r="D87" s="256"/>
      <c r="E87" s="257">
        <f>WAFASALAF!$B$69</f>
        <v>17040672.953000002</v>
      </c>
      <c r="F87" s="257">
        <f>+'[2]Syn prin concurents'!$E$87</f>
        <v>16185800.396</v>
      </c>
      <c r="G87" s="258">
        <f>IF(F87=0,0,E87/F87-1)</f>
        <v>5.2816205321008836E-2</v>
      </c>
      <c r="H87" s="247"/>
      <c r="I87" s="257">
        <f>WAFASALAF!$B$78</f>
        <v>10255185.9</v>
      </c>
      <c r="J87" s="257">
        <f>+'[2]Syn prin concurents'!$I$87</f>
        <v>10245593.552000001</v>
      </c>
      <c r="K87" s="258">
        <f>IF(J87=0,0,I87/J87-1)</f>
        <v>9.3624131694425294E-4</v>
      </c>
      <c r="L87" s="247"/>
      <c r="M87" s="257">
        <f>WAFASALAF!$B$75-WAFASALAF!$B$69</f>
        <v>673567.42199999839</v>
      </c>
      <c r="N87" s="257">
        <f>'[2]Syn prin concurents'!$M$87</f>
        <v>585032.48300000094</v>
      </c>
      <c r="O87" s="258">
        <f>IF(N87=0,0,M87/N87-1)</f>
        <v>0.1513333730564792</v>
      </c>
      <c r="P87" s="247"/>
      <c r="Q87" s="257">
        <f>WAFASALAF!$B$83</f>
        <v>112413.245</v>
      </c>
      <c r="R87" s="257">
        <f>'[2]Syn prin concurents'!$Q$87</f>
        <v>116017.49500000001</v>
      </c>
      <c r="S87" s="258">
        <f>IF(R87=0,0,Q87/R87-1)</f>
        <v>-3.1066435282023797E-2</v>
      </c>
      <c r="T87" s="247"/>
      <c r="U87" s="245">
        <f>Q87+M87+I87+E87</f>
        <v>28081839.52</v>
      </c>
      <c r="V87" s="245">
        <f>R87+N87+J87+F87</f>
        <v>27132443.925999999</v>
      </c>
      <c r="W87" s="258">
        <f>IF(V87=0,0,U87/V87-1)</f>
        <v>3.4991156586901884E-2</v>
      </c>
      <c r="Z87" s="348">
        <f>E87-'Syn prin concurents'!E87</f>
        <v>0</v>
      </c>
      <c r="AA87" s="348">
        <f>+Z87+AD87</f>
        <v>0</v>
      </c>
      <c r="AB87" s="315"/>
      <c r="AC87" s="315"/>
      <c r="AD87" s="348">
        <f>I87-'Syn prin concurents'!I87</f>
        <v>0</v>
      </c>
      <c r="AE87" s="348"/>
      <c r="AF87" s="314"/>
      <c r="AG87" s="348">
        <f>M87-'Syn prin concurents'!M87</f>
        <v>0</v>
      </c>
      <c r="AH87" s="315"/>
      <c r="AI87" s="348">
        <f>Q87-'Syn prin concurents'!Q87</f>
        <v>0</v>
      </c>
      <c r="AJ87" s="348">
        <f>W87-'Syn prin concurents'!W87</f>
        <v>0</v>
      </c>
      <c r="AK87" s="348"/>
      <c r="AL87" s="348">
        <f>U87-'Syn prin concurents'!U87</f>
        <v>0</v>
      </c>
    </row>
    <row r="88" spans="2:38" ht="23" x14ac:dyDescent="0.25">
      <c r="B88" s="248" t="s">
        <v>67</v>
      </c>
      <c r="C88" s="259"/>
      <c r="D88" s="259"/>
      <c r="E88" s="260">
        <f>E87/E$101</f>
        <v>0.26581959518604698</v>
      </c>
      <c r="F88" s="260">
        <f>F87/F$101</f>
        <v>0.26943923440221568</v>
      </c>
      <c r="G88" s="261">
        <f>(E88-F88)*100</f>
        <v>-0.36196392161687019</v>
      </c>
      <c r="H88" s="252"/>
      <c r="I88" s="260">
        <f>I87/I$101</f>
        <v>0.33399774784456027</v>
      </c>
      <c r="J88" s="260">
        <f>J87/J$101</f>
        <v>0.33388605481604772</v>
      </c>
      <c r="K88" s="261">
        <f>(I88-J88)*100</f>
        <v>1.1169302851254947E-2</v>
      </c>
      <c r="L88" s="252"/>
      <c r="M88" s="260">
        <f>M87/M$101</f>
        <v>0.98354357826769856</v>
      </c>
      <c r="N88" s="260">
        <f>N87/N$101</f>
        <v>0.98036745842891304</v>
      </c>
      <c r="O88" s="261">
        <f>(M88-N88)*100</f>
        <v>0.31761198387855183</v>
      </c>
      <c r="P88" s="252"/>
      <c r="Q88" s="260">
        <f>Q87/Q$101</f>
        <v>0.36432123366621355</v>
      </c>
      <c r="R88" s="260">
        <f>R87/R$101</f>
        <v>0.35609021894257203</v>
      </c>
      <c r="S88" s="261">
        <f>(Q88-R88)*100</f>
        <v>0.82310147236415165</v>
      </c>
      <c r="T88" s="252"/>
      <c r="U88" s="250">
        <f>U87/U$101</f>
        <v>0.29311789444607006</v>
      </c>
      <c r="V88" s="250">
        <f>V87/V$101</f>
        <v>0.2959452195024887</v>
      </c>
      <c r="W88" s="261">
        <f>(U88-V88)*100</f>
        <v>-0.28273250564186392</v>
      </c>
      <c r="Z88" s="348"/>
      <c r="AA88" s="320"/>
      <c r="AB88" s="320"/>
      <c r="AC88" s="320"/>
      <c r="AD88" s="320"/>
      <c r="AE88" s="320"/>
      <c r="AF88" s="320"/>
      <c r="AG88" s="320"/>
      <c r="AH88" s="320"/>
      <c r="AI88" s="320"/>
      <c r="AJ88" s="320"/>
      <c r="AK88" s="320"/>
      <c r="AL88" s="321"/>
    </row>
    <row r="89" spans="2:38" ht="23.5" x14ac:dyDescent="0.25">
      <c r="B89" s="243" t="s">
        <v>5</v>
      </c>
      <c r="C89" s="284"/>
      <c r="D89" s="284"/>
      <c r="E89" s="285">
        <f>VIVALIS!B69</f>
        <v>13406362.421</v>
      </c>
      <c r="F89" s="285">
        <f>+'[2]Syn prin concurents'!$E$89</f>
        <v>13198037.766000001</v>
      </c>
      <c r="G89" s="286">
        <f>IF(F89=0,0,E89/F89-1)</f>
        <v>1.5784517266397957E-2</v>
      </c>
      <c r="H89" s="247"/>
      <c r="I89" s="285">
        <f>VIVALIS!B78</f>
        <v>6069761.1150000002</v>
      </c>
      <c r="J89" s="285">
        <f>+'[2]Syn prin concurents'!$I$89</f>
        <v>6143621.3500000006</v>
      </c>
      <c r="K89" s="286">
        <f>IF(J89=0,0,I89/J89-1)</f>
        <v>-1.2022263546564438E-2</v>
      </c>
      <c r="L89" s="247"/>
      <c r="M89" s="285">
        <f>VIVALIS!$B$75-VIVALIS!$B$69</f>
        <v>0</v>
      </c>
      <c r="N89" s="285">
        <f>'[2]Syn prin concurents'!$M$89</f>
        <v>0</v>
      </c>
      <c r="O89" s="286">
        <f>IF(N89=0,0,M89/N89-1)</f>
        <v>0</v>
      </c>
      <c r="P89" s="247"/>
      <c r="Q89" s="285">
        <f>VIVALIS!$B$83</f>
        <v>0</v>
      </c>
      <c r="R89" s="285">
        <f>'[2]Syn prin concurents'!$Q$89</f>
        <v>0</v>
      </c>
      <c r="S89" s="286">
        <f>IF(R89=0,0,Q89/R89-1)</f>
        <v>0</v>
      </c>
      <c r="T89" s="247"/>
      <c r="U89" s="279">
        <f>Q89+M89+I89+E89</f>
        <v>19476123.535999998</v>
      </c>
      <c r="V89" s="279">
        <f>R89+N89+J89+F89</f>
        <v>19341659.116</v>
      </c>
      <c r="W89" s="286">
        <f>IF(V89=0,0,U89/V89-1)</f>
        <v>6.9520623434400353E-3</v>
      </c>
      <c r="X89" s="57"/>
      <c r="Z89" s="348">
        <f>E91-'Syn prin concurents'!E89</f>
        <v>3878364.4537169896</v>
      </c>
      <c r="AA89" s="348">
        <f>+Z89+AD89</f>
        <v>2467834.6617869921</v>
      </c>
      <c r="AB89" s="57"/>
      <c r="AC89" s="57"/>
      <c r="AD89" s="348">
        <f>I91-'Syn prin concurents'!I89</f>
        <v>-1410529.7919299975</v>
      </c>
      <c r="AF89" s="314"/>
      <c r="AG89" s="348">
        <f>M91-'Syn prin concurents'!M89</f>
        <v>4745.1359900012612</v>
      </c>
      <c r="AH89" s="315"/>
      <c r="AI89" s="348">
        <f>Q91-'Syn prin concurents'!Q89</f>
        <v>0</v>
      </c>
      <c r="AJ89" s="314"/>
      <c r="AK89" s="314"/>
      <c r="AL89" s="348">
        <f>U91-'Syn prin concurents'!U89</f>
        <v>2472579.7977769971</v>
      </c>
    </row>
    <row r="90" spans="2:38" ht="23" x14ac:dyDescent="0.25">
      <c r="B90" s="248" t="s">
        <v>67</v>
      </c>
      <c r="C90" s="287"/>
      <c r="D90" s="287"/>
      <c r="E90" s="288">
        <f>E89/E$101</f>
        <v>0.20912752926463915</v>
      </c>
      <c r="F90" s="288">
        <f>F89/F$101</f>
        <v>0.21970301772418876</v>
      </c>
      <c r="G90" s="289">
        <f>(E90-F90)*100</f>
        <v>-1.0575488459549613</v>
      </c>
      <c r="H90" s="252"/>
      <c r="I90" s="288">
        <f>I89/I$101</f>
        <v>0.19768403636295728</v>
      </c>
      <c r="J90" s="288">
        <f>J89/J$101</f>
        <v>0.20020992287310882</v>
      </c>
      <c r="K90" s="289">
        <f>(I90-J90)*100</f>
        <v>-0.25258865101515371</v>
      </c>
      <c r="L90" s="252"/>
      <c r="M90" s="288">
        <f>M89/M$101</f>
        <v>0</v>
      </c>
      <c r="N90" s="288">
        <f>N89/N$101</f>
        <v>0</v>
      </c>
      <c r="O90" s="289">
        <f>(M90-N90)*100</f>
        <v>0</v>
      </c>
      <c r="P90" s="252"/>
      <c r="Q90" s="288">
        <f>Q89/Q$101</f>
        <v>0</v>
      </c>
      <c r="R90" s="288">
        <f>R89/R$101</f>
        <v>0</v>
      </c>
      <c r="S90" s="289">
        <f>(Q90-R90)*100</f>
        <v>0</v>
      </c>
      <c r="T90" s="252"/>
      <c r="U90" s="282">
        <f>U89/U$101</f>
        <v>0.20329153717932325</v>
      </c>
      <c r="V90" s="282">
        <f>V89/V$101</f>
        <v>0.21096778337545072</v>
      </c>
      <c r="W90" s="289">
        <f>(U90-V90)*100</f>
        <v>-0.76762461961274731</v>
      </c>
      <c r="Z90" s="348"/>
      <c r="AB90" s="57"/>
      <c r="AC90" s="57"/>
      <c r="AD90" s="58"/>
      <c r="AL90" s="57"/>
    </row>
    <row r="91" spans="2:38" ht="23.5" x14ac:dyDescent="0.25">
      <c r="B91" s="223" t="s">
        <v>2</v>
      </c>
      <c r="C91" s="224"/>
      <c r="D91" s="224"/>
      <c r="E91" s="225">
        <f>SOFAC!B69</f>
        <v>17284726.87471699</v>
      </c>
      <c r="F91" s="225">
        <f>+'[2]Syn prin concurents'!$E$91</f>
        <v>15173069.538882174</v>
      </c>
      <c r="G91" s="226">
        <f>IF(F91=0,0,E91/F91-1)</f>
        <v>0.13917140038299625</v>
      </c>
      <c r="H91" s="247"/>
      <c r="I91" s="225">
        <f>SOFAC!B78</f>
        <v>4659231.3230700027</v>
      </c>
      <c r="J91" s="225">
        <f>+'[2]Syn prin concurents'!$I$91</f>
        <v>4483495.5052299928</v>
      </c>
      <c r="K91" s="226">
        <f>IF(J91=0,0,I91/J91-1)</f>
        <v>3.9196162377103771E-2</v>
      </c>
      <c r="L91" s="247"/>
      <c r="M91" s="225">
        <f>SOFAC!B75-SOFAC!B69</f>
        <v>4745.1359900012612</v>
      </c>
      <c r="N91" s="225">
        <f>'[2]Syn prin concurents'!$M$91</f>
        <v>4886.2971800006926</v>
      </c>
      <c r="O91" s="226">
        <f>IF(N91=0,0,M91/N91-1)</f>
        <v>-2.8889194578093913E-2</v>
      </c>
      <c r="P91" s="247"/>
      <c r="Q91" s="225">
        <f>SOFAC!B83</f>
        <v>0</v>
      </c>
      <c r="R91" s="225">
        <f>'[2]Syn prin concurents'!$Q$91</f>
        <v>0</v>
      </c>
      <c r="S91" s="226">
        <f>IF(R91=0,0,Q91/R91-1)</f>
        <v>0</v>
      </c>
      <c r="T91" s="247"/>
      <c r="U91" s="225">
        <f>Q91+M91+I91+E91</f>
        <v>21948703.333776996</v>
      </c>
      <c r="V91" s="225">
        <f>R91+N91+J91+F91</f>
        <v>19661451.341292165</v>
      </c>
      <c r="W91" s="226">
        <f>IF(V91=0,0,U91/V91-1)</f>
        <v>0.1163317983388763</v>
      </c>
      <c r="Z91" s="348">
        <f>E89-'Syn prin concurents'!E91</f>
        <v>-3878364.4537169896</v>
      </c>
      <c r="AA91" s="348">
        <f>+Z91+AD91</f>
        <v>-2467834.6617869921</v>
      </c>
      <c r="AB91" s="57"/>
      <c r="AC91" s="57"/>
      <c r="AD91" s="348">
        <f>I89-'Syn prin concurents'!I91</f>
        <v>1410529.7919299975</v>
      </c>
      <c r="AF91" s="314"/>
      <c r="AG91" s="348">
        <f>M89-'Syn prin concurents'!M91</f>
        <v>-4745.1359900012612</v>
      </c>
      <c r="AH91" s="315"/>
      <c r="AI91" s="348">
        <f>Q89-'Syn prin concurents'!Q91</f>
        <v>0</v>
      </c>
      <c r="AJ91" s="314"/>
      <c r="AK91" s="314"/>
      <c r="AL91" s="348">
        <f>U89-'Syn prin concurents'!U91</f>
        <v>-2472579.7977769971</v>
      </c>
    </row>
    <row r="92" spans="2:38" ht="18.5" x14ac:dyDescent="0.25">
      <c r="B92" s="227" t="s">
        <v>67</v>
      </c>
      <c r="C92" s="228"/>
      <c r="D92" s="228"/>
      <c r="E92" s="229">
        <f>E91/E$101</f>
        <v>0.26962662292804446</v>
      </c>
      <c r="F92" s="229">
        <f>F91/F$101</f>
        <v>0.252580665772841</v>
      </c>
      <c r="G92" s="230">
        <f>(E92-F92)*100</f>
        <v>1.7045957155203462</v>
      </c>
      <c r="H92" s="252"/>
      <c r="I92" s="229">
        <f>I91/I$101</f>
        <v>0.15174495945433925</v>
      </c>
      <c r="J92" s="229">
        <f>J91/J$101</f>
        <v>0.14610931210857042</v>
      </c>
      <c r="K92" s="230">
        <f>(I92-J92)*100</f>
        <v>0.56356473457688239</v>
      </c>
      <c r="L92" s="252"/>
      <c r="M92" s="229">
        <f>M91/M$101</f>
        <v>6.9288505924395638E-3</v>
      </c>
      <c r="N92" s="229">
        <f>N91/N$101</f>
        <v>8.1882064444029103E-3</v>
      </c>
      <c r="O92" s="230">
        <f>(M92-N92)*100</f>
        <v>-0.12593558519633463</v>
      </c>
      <c r="P92" s="252"/>
      <c r="Q92" s="229">
        <f>Q91/Q$101</f>
        <v>0</v>
      </c>
      <c r="R92" s="229">
        <f>R91/R$101</f>
        <v>0</v>
      </c>
      <c r="S92" s="230">
        <f>(Q92-R92)*100</f>
        <v>0</v>
      </c>
      <c r="T92" s="252"/>
      <c r="U92" s="229">
        <f>U91/U$101</f>
        <v>0.22910029460271453</v>
      </c>
      <c r="V92" s="229">
        <f>V91/V$101</f>
        <v>0.21445589453003006</v>
      </c>
      <c r="W92" s="230">
        <f>(U92-V92)*100</f>
        <v>1.4644400072684471</v>
      </c>
    </row>
    <row r="93" spans="2:38" ht="23.5" x14ac:dyDescent="0.25">
      <c r="B93" s="243" t="s">
        <v>6</v>
      </c>
      <c r="C93" s="256"/>
      <c r="D93" s="256"/>
      <c r="E93" s="257">
        <f>EQDOM!$B$69</f>
        <v>6195648.5319999997</v>
      </c>
      <c r="F93" s="257">
        <f>+'[2]Syn prin concurents'!$E$93</f>
        <v>5738752.1009999998</v>
      </c>
      <c r="G93" s="258">
        <f>IF(F93=0,0,E93/F93-1)</f>
        <v>7.9615990194171982E-2</v>
      </c>
      <c r="H93" s="247"/>
      <c r="I93" s="257">
        <f>EQDOM!$B$78</f>
        <v>5581964.875</v>
      </c>
      <c r="J93" s="257">
        <f>+'[2]Syn prin concurents'!$I$93</f>
        <v>5630014.8309999993</v>
      </c>
      <c r="K93" s="258">
        <f>IF(J93=0,0,I93/J93-1)</f>
        <v>-8.534605581396737E-3</v>
      </c>
      <c r="L93" s="247"/>
      <c r="M93" s="257">
        <f>EQDOM!$B$75-EQDOM!$B$69</f>
        <v>6524.8370000002906</v>
      </c>
      <c r="N93" s="257">
        <f>'[2]Syn prin concurents'!$M$93</f>
        <v>6829.3859999999995</v>
      </c>
      <c r="O93" s="258">
        <f>IF(N93=0,0,M93/N93-1)</f>
        <v>-4.4593906392127902E-2</v>
      </c>
      <c r="P93" s="247"/>
      <c r="Q93" s="257">
        <f>EQDOM!$B$83</f>
        <v>0</v>
      </c>
      <c r="R93" s="257">
        <f>'[2]Syn prin concurents'!$Q$93</f>
        <v>0</v>
      </c>
      <c r="S93" s="258">
        <f>IF(R93=0,0,Q93/R93-1)</f>
        <v>0</v>
      </c>
      <c r="T93" s="247"/>
      <c r="U93" s="245">
        <f>Q93+M93+I93+E93</f>
        <v>11784138.243999999</v>
      </c>
      <c r="V93" s="245">
        <f>R93+N93+J93+F93</f>
        <v>11375596.318</v>
      </c>
      <c r="W93" s="258">
        <f>IF(V93=0,0,U93/V93-1)</f>
        <v>3.5913890980251217E-2</v>
      </c>
    </row>
    <row r="94" spans="2:38" ht="18.5" x14ac:dyDescent="0.25">
      <c r="B94" s="248" t="s">
        <v>67</v>
      </c>
      <c r="C94" s="259"/>
      <c r="D94" s="259"/>
      <c r="E94" s="260">
        <f>E93/E$101</f>
        <v>9.6646698709238824E-2</v>
      </c>
      <c r="F94" s="260">
        <f>F93/F$101</f>
        <v>9.5530955200687551E-2</v>
      </c>
      <c r="G94" s="261">
        <f>(E94-F94)*100</f>
        <v>0.11157435085512729</v>
      </c>
      <c r="H94" s="252"/>
      <c r="I94" s="260">
        <f>I93/I$101</f>
        <v>0.18179716242856622</v>
      </c>
      <c r="J94" s="260">
        <f>J93/J$101</f>
        <v>0.18347238068130101</v>
      </c>
      <c r="K94" s="261">
        <f>(I94-J94)*100</f>
        <v>-0.16752182527347836</v>
      </c>
      <c r="L94" s="252"/>
      <c r="M94" s="260">
        <f>M93/M$101</f>
        <v>9.5275711398550636E-3</v>
      </c>
      <c r="N94" s="260">
        <f>N93/N$101</f>
        <v>1.1444335126687298E-2</v>
      </c>
      <c r="O94" s="261">
        <f>(M94-N94)*100</f>
        <v>-0.19167639868322342</v>
      </c>
      <c r="P94" s="252"/>
      <c r="Q94" s="260">
        <f>Q93/Q$101</f>
        <v>0</v>
      </c>
      <c r="R94" s="260">
        <f>R93/R$101</f>
        <v>0</v>
      </c>
      <c r="S94" s="261">
        <f>(Q94-R94)*100</f>
        <v>0</v>
      </c>
      <c r="T94" s="252"/>
      <c r="U94" s="250">
        <f>U93/U$101</f>
        <v>0.12300268960239003</v>
      </c>
      <c r="V94" s="250">
        <f>V93/V$101</f>
        <v>0.12407851494999943</v>
      </c>
      <c r="W94" s="261">
        <f>(U94-V94)*100</f>
        <v>-0.10758253476094021</v>
      </c>
    </row>
    <row r="95" spans="2:38" ht="23.5" x14ac:dyDescent="0.25">
      <c r="B95" s="243" t="s">
        <v>4</v>
      </c>
      <c r="C95" s="256"/>
      <c r="D95" s="256"/>
      <c r="E95" s="257">
        <f>'RCI '!$B$69</f>
        <v>7141121.727</v>
      </c>
      <c r="F95" s="257">
        <f>+'[2]Syn prin concurents'!$E$95</f>
        <v>6901755.9539999999</v>
      </c>
      <c r="G95" s="258">
        <f>IF(F95=0,0,E95/F95-1)</f>
        <v>3.4681865686843505E-2</v>
      </c>
      <c r="H95" s="247"/>
      <c r="I95" s="257">
        <f>'RCI '!$B$78</f>
        <v>0</v>
      </c>
      <c r="J95" s="257">
        <f>+'[2]Syn prin concurents'!$I$95</f>
        <v>0</v>
      </c>
      <c r="K95" s="258">
        <f>IF(J95=0,0,I95/J95-1)</f>
        <v>0</v>
      </c>
      <c r="L95" s="247"/>
      <c r="M95" s="257">
        <f>'RCI '!$B$75-'RCI '!$B$69</f>
        <v>0</v>
      </c>
      <c r="N95" s="257">
        <f>'[2]Syn prin concurents'!$M$95</f>
        <v>0</v>
      </c>
      <c r="O95" s="258">
        <f>IF(N95=0,0,M95/N95-1)</f>
        <v>0</v>
      </c>
      <c r="P95" s="247"/>
      <c r="Q95" s="257">
        <f>'RCI '!$B$83</f>
        <v>0</v>
      </c>
      <c r="R95" s="257">
        <f>'[2]Syn prin concurents'!$Q$95</f>
        <v>0</v>
      </c>
      <c r="S95" s="258">
        <f>IF(R95=0,0,Q95/R95-1)</f>
        <v>0</v>
      </c>
      <c r="T95" s="247"/>
      <c r="U95" s="245">
        <f>Q95+M95+I95+E95</f>
        <v>7141121.727</v>
      </c>
      <c r="V95" s="245">
        <f>R95+N95+J95+F95</f>
        <v>6901755.9539999999</v>
      </c>
      <c r="W95" s="258">
        <f>IF(V95=0,0,U95/V95-1)</f>
        <v>3.4681865686843505E-2</v>
      </c>
    </row>
    <row r="96" spans="2:38" ht="18.5" x14ac:dyDescent="0.25">
      <c r="B96" s="248" t="s">
        <v>67</v>
      </c>
      <c r="C96" s="259"/>
      <c r="D96" s="259"/>
      <c r="E96" s="260">
        <f>E95/E$101</f>
        <v>0.11139525368986315</v>
      </c>
      <c r="F96" s="260">
        <f>F95/F$101</f>
        <v>0.11489106468508398</v>
      </c>
      <c r="G96" s="261">
        <f>(E96-F96)*100</f>
        <v>-0.34958109952208244</v>
      </c>
      <c r="H96" s="252"/>
      <c r="I96" s="260">
        <f>I95/I$101</f>
        <v>0</v>
      </c>
      <c r="J96" s="260">
        <f>J95/J$101</f>
        <v>0</v>
      </c>
      <c r="K96" s="261">
        <f>(I96-J96)*100</f>
        <v>0</v>
      </c>
      <c r="L96" s="252"/>
      <c r="M96" s="260">
        <f>M95/M$101</f>
        <v>0</v>
      </c>
      <c r="N96" s="260">
        <f>N95/N$101</f>
        <v>0</v>
      </c>
      <c r="O96" s="261">
        <f>(M96-N96)*100</f>
        <v>0</v>
      </c>
      <c r="P96" s="252"/>
      <c r="Q96" s="260">
        <f>Q95/Q$101</f>
        <v>0</v>
      </c>
      <c r="R96" s="260">
        <f>R95/R$101</f>
        <v>0</v>
      </c>
      <c r="S96" s="261">
        <f>(Q96-R96)*100</f>
        <v>0</v>
      </c>
      <c r="T96" s="252"/>
      <c r="U96" s="250">
        <f>U95/U$101</f>
        <v>7.4538940481820817E-2</v>
      </c>
      <c r="V96" s="250">
        <f>V95/V$101</f>
        <v>7.5280416549644E-2</v>
      </c>
      <c r="W96" s="261">
        <f>(U96-V96)*100</f>
        <v>-7.4147606782318243E-2</v>
      </c>
    </row>
    <row r="97" spans="2:24" ht="23.5" x14ac:dyDescent="0.25">
      <c r="B97" s="243" t="s">
        <v>7</v>
      </c>
      <c r="C97" s="256"/>
      <c r="D97" s="256"/>
      <c r="E97" s="257">
        <f>SALAFIN!B69</f>
        <v>1760541.8289999999</v>
      </c>
      <c r="F97" s="245">
        <f>+'[2]Syn prin concurents'!$E$97</f>
        <v>1745721.1040000001</v>
      </c>
      <c r="G97" s="258">
        <f>IF(F97=0,0,E97/F97-1)</f>
        <v>8.489743846276987E-3</v>
      </c>
      <c r="H97" s="247"/>
      <c r="I97" s="257">
        <f>SALAFIN!B78</f>
        <v>1509366.341</v>
      </c>
      <c r="J97" s="245">
        <f>+'[2]Syn prin concurents'!$I$97</f>
        <v>1552322.598</v>
      </c>
      <c r="K97" s="258">
        <f>IF(J97=0,0,I97/J97-1)</f>
        <v>-2.7672248703552005E-2</v>
      </c>
      <c r="L97" s="247"/>
      <c r="M97" s="257">
        <f>SALAFIN!$B$75-SALAFIN!$B$69</f>
        <v>0</v>
      </c>
      <c r="N97" s="245">
        <f>'[2]Syn prin concurents'!$M$97</f>
        <v>0</v>
      </c>
      <c r="O97" s="258">
        <f>IF(N97=0,0,M97/N97-1)</f>
        <v>0</v>
      </c>
      <c r="P97" s="247"/>
      <c r="Q97" s="257">
        <f>SALAFIN!$B$83</f>
        <v>196073.63500000001</v>
      </c>
      <c r="R97" s="245">
        <f>'[2]Syn prin concurents'!$Q$97</f>
        <v>141378.777</v>
      </c>
      <c r="S97" s="258">
        <f>IF(R97=0,0,Q97/R97-1)</f>
        <v>0.38686752821464854</v>
      </c>
      <c r="T97" s="247"/>
      <c r="U97" s="245">
        <f>Q97+M97+I97+E97</f>
        <v>3465981.8049999997</v>
      </c>
      <c r="V97" s="245">
        <f>R97+N97+J97+F97</f>
        <v>3439422.4790000003</v>
      </c>
      <c r="W97" s="258">
        <f>IF(V97=0,0,U97/V97-1)</f>
        <v>7.7220307078185169E-3</v>
      </c>
    </row>
    <row r="98" spans="2:24" ht="18.5" x14ac:dyDescent="0.25">
      <c r="B98" s="248" t="s">
        <v>67</v>
      </c>
      <c r="C98" s="259"/>
      <c r="D98" s="259"/>
      <c r="E98" s="260">
        <f>E97/E$101</f>
        <v>2.7462912854653077E-2</v>
      </c>
      <c r="F98" s="260">
        <f>F97/F$101</f>
        <v>2.9060395299190293E-2</v>
      </c>
      <c r="G98" s="261">
        <f>(E98-F98)*100</f>
        <v>-0.15974824445372168</v>
      </c>
      <c r="H98" s="252"/>
      <c r="I98" s="260">
        <f>I97/I$101</f>
        <v>4.9158051690353512E-2</v>
      </c>
      <c r="J98" s="260">
        <f>J97/J$101</f>
        <v>5.0587490653173778E-2</v>
      </c>
      <c r="K98" s="261">
        <f>(I98-J98)*100</f>
        <v>-0.14294389628202661</v>
      </c>
      <c r="L98" s="252"/>
      <c r="M98" s="260">
        <f>M97/M$101</f>
        <v>0</v>
      </c>
      <c r="N98" s="260">
        <f>N97/N$101</f>
        <v>0</v>
      </c>
      <c r="O98" s="261">
        <f>(M98-N98)*100</f>
        <v>0</v>
      </c>
      <c r="P98" s="252"/>
      <c r="Q98" s="260">
        <f>Q97/Q$101</f>
        <v>0.63545704594346408</v>
      </c>
      <c r="R98" s="260">
        <f>R97/R$101</f>
        <v>0.43393110371640992</v>
      </c>
      <c r="S98" s="261">
        <f>(Q98-R98)*100</f>
        <v>20.152594222705417</v>
      </c>
      <c r="T98" s="252"/>
      <c r="U98" s="250">
        <f>U97/U$101</f>
        <v>3.6177875318546417E-2</v>
      </c>
      <c r="V98" s="250">
        <f>V97/V$101</f>
        <v>3.7515258237908015E-2</v>
      </c>
      <c r="W98" s="261">
        <f>(U98-V98)*100</f>
        <v>-0.13373829193615988</v>
      </c>
    </row>
    <row r="99" spans="2:24" ht="23.5" x14ac:dyDescent="0.25">
      <c r="B99" s="243" t="s">
        <v>11</v>
      </c>
      <c r="C99" s="256"/>
      <c r="D99" s="256"/>
      <c r="E99" s="257">
        <f>'AXA CREDIT'!$B$69</f>
        <v>20387.153999999999</v>
      </c>
      <c r="F99" s="257">
        <f>+'[2]Syn prin concurents'!$E$99</f>
        <v>20387.153999999999</v>
      </c>
      <c r="G99" s="258">
        <f>IF(F99=0,0,E99/F99-1)</f>
        <v>0</v>
      </c>
      <c r="H99" s="247"/>
      <c r="I99" s="257">
        <f>'AXA CREDIT'!$B$78</f>
        <v>2606188.1220000004</v>
      </c>
      <c r="J99" s="257">
        <f>+'[2]Syn prin concurents'!$I$99</f>
        <v>2606188.1220000004</v>
      </c>
      <c r="K99" s="258">
        <f>IF(J99=0,0,I99/J99-1)</f>
        <v>0</v>
      </c>
      <c r="L99" s="247"/>
      <c r="M99" s="257"/>
      <c r="N99" s="257">
        <f>'[3]Syn prin concurents'!M99</f>
        <v>0</v>
      </c>
      <c r="O99" s="258">
        <f>IF(N99=0,0,M99/N99-1)</f>
        <v>0</v>
      </c>
      <c r="P99" s="247"/>
      <c r="Q99" s="257">
        <f>'AXA CREDIT'!$B$83</f>
        <v>68.412999999999997</v>
      </c>
      <c r="R99" s="257">
        <f>'[2]Syn prin concurents'!$Q$99</f>
        <v>68413</v>
      </c>
      <c r="S99" s="258">
        <f>IF(R99=0,0,Q99/R99-1)</f>
        <v>-0.999</v>
      </c>
      <c r="T99" s="247"/>
      <c r="U99" s="245">
        <f>Q99+M99+I99+E99</f>
        <v>2626643.6890000007</v>
      </c>
      <c r="V99" s="245">
        <f>U99</f>
        <v>2626643.6890000007</v>
      </c>
      <c r="W99" s="258">
        <f>IF(V99=0,0,U99/V99-1)</f>
        <v>0</v>
      </c>
    </row>
    <row r="100" spans="2:24" ht="19" thickBot="1" x14ac:dyDescent="0.3">
      <c r="B100" s="248" t="s">
        <v>67</v>
      </c>
      <c r="C100" s="259"/>
      <c r="D100" s="259"/>
      <c r="E100" s="260">
        <f>E99/E$101</f>
        <v>3.1802177286205895E-4</v>
      </c>
      <c r="F100" s="260">
        <f>F99/F$101</f>
        <v>3.3937766628813613E-4</v>
      </c>
      <c r="G100" s="261">
        <f>(E100-F100)*100</f>
        <v>-2.135589342607718E-3</v>
      </c>
      <c r="H100" s="252"/>
      <c r="I100" s="260">
        <f>I99/I$101</f>
        <v>8.4880076450612574E-2</v>
      </c>
      <c r="J100" s="260">
        <f>J99/J$101</f>
        <v>8.4931133149739504E-2</v>
      </c>
      <c r="K100" s="261">
        <f>(I100-J100)*100</f>
        <v>-5.1056699126930671E-3</v>
      </c>
      <c r="L100" s="252"/>
      <c r="M100" s="260">
        <f>M99/M$101</f>
        <v>0</v>
      </c>
      <c r="N100" s="260">
        <f>N99/N$101</f>
        <v>0</v>
      </c>
      <c r="O100" s="261">
        <f>(M100-N100)*100</f>
        <v>0</v>
      </c>
      <c r="P100" s="252"/>
      <c r="Q100" s="260">
        <f>Q99/Q$101</f>
        <v>2.2172039032239191E-4</v>
      </c>
      <c r="R100" s="260">
        <f>R99/R$101</f>
        <v>0.20997867734101811</v>
      </c>
      <c r="S100" s="261">
        <f>(Q100-R100)*100</f>
        <v>-20.975695695069572</v>
      </c>
      <c r="T100" s="252"/>
      <c r="U100" s="250">
        <f>U99/U$101</f>
        <v>2.7416874419191835E-2</v>
      </c>
      <c r="V100" s="250">
        <f>V99/V$101</f>
        <v>2.8649930880389054E-2</v>
      </c>
      <c r="W100" s="261">
        <f>(U100-V100)*100</f>
        <v>-0.1233056461197219</v>
      </c>
    </row>
    <row r="101" spans="2:24" ht="26.5" thickBot="1" x14ac:dyDescent="0.3">
      <c r="B101" s="231" t="s">
        <v>8</v>
      </c>
      <c r="C101" s="59"/>
      <c r="D101" s="60">
        <f>'[4]global '!$E$11</f>
        <v>3701704.9980545454</v>
      </c>
      <c r="E101" s="60">
        <f>GLOBAL!B69</f>
        <v>64106157.941716991</v>
      </c>
      <c r="F101" s="60">
        <f>+'[2]Syn prin concurents'!$E$101</f>
        <v>60072173.348882176</v>
      </c>
      <c r="G101" s="61">
        <f>IF(F101=0,0,E101/F101-1)</f>
        <v>6.7152299774582369E-2</v>
      </c>
      <c r="H101" s="239"/>
      <c r="I101" s="60">
        <f>GLOBAL!B78</f>
        <v>30704356.440070003</v>
      </c>
      <c r="J101" s="60">
        <f>+'[2]Syn prin concurents'!$I$101</f>
        <v>30685898.390229993</v>
      </c>
      <c r="K101" s="61">
        <f>IF(J101=0,0,I101/J101-1)</f>
        <v>6.0151570618138805E-4</v>
      </c>
      <c r="L101" s="239"/>
      <c r="M101" s="60">
        <f>GLOBAL!B75-GLOBAL!B69</f>
        <v>684837.3949900046</v>
      </c>
      <c r="N101" s="60">
        <f>'[2]Syn prin concurents'!$M$101</f>
        <v>596748.16617999971</v>
      </c>
      <c r="O101" s="61">
        <f>IF(N101=0,0,M101/N101-1)</f>
        <v>0.14761541602028849</v>
      </c>
      <c r="P101" s="239"/>
      <c r="Q101" s="60">
        <f>GLOBAL!B83</f>
        <v>308555.29300000001</v>
      </c>
      <c r="R101" s="60">
        <f>'[2]Syn prin concurents'!$Q$101</f>
        <v>325809.272</v>
      </c>
      <c r="S101" s="61">
        <f>IF(R101=0,0,Q101/R101-1)</f>
        <v>-5.2957298894796279E-2</v>
      </c>
      <c r="T101" s="239"/>
      <c r="U101" s="233">
        <f>Q101+M101+I101+E101</f>
        <v>95803907.069776997</v>
      </c>
      <c r="V101" s="233">
        <f>R101+N101+J101+F101</f>
        <v>91680629.177292168</v>
      </c>
      <c r="W101" s="61">
        <f>IF(V101=0,0,U101/V101-1)</f>
        <v>4.4974362954155023E-2</v>
      </c>
      <c r="X101" s="57"/>
    </row>
    <row r="102" spans="2:24" ht="14" x14ac:dyDescent="0.25">
      <c r="B102" s="221"/>
    </row>
    <row r="103" spans="2:24" ht="27.5" x14ac:dyDescent="0.25">
      <c r="B103" s="757" t="s">
        <v>17</v>
      </c>
      <c r="C103" s="757"/>
      <c r="D103" s="757"/>
      <c r="E103" s="757"/>
      <c r="F103" s="757"/>
      <c r="G103" s="757"/>
      <c r="H103" s="757"/>
      <c r="I103" s="757"/>
      <c r="J103" s="757"/>
      <c r="K103" s="757"/>
      <c r="L103" s="757"/>
      <c r="M103" s="757"/>
      <c r="N103" s="757"/>
      <c r="O103" s="757"/>
      <c r="P103" s="757"/>
      <c r="Q103" s="757"/>
      <c r="R103" s="757"/>
      <c r="S103" s="757"/>
      <c r="T103" s="757"/>
      <c r="U103" s="757"/>
      <c r="V103" s="757"/>
      <c r="W103" s="757"/>
    </row>
    <row r="105" spans="2:24" ht="25" x14ac:dyDescent="0.25">
      <c r="B105" s="238"/>
      <c r="C105" s="238"/>
      <c r="D105" s="238"/>
      <c r="E105" s="758" t="s">
        <v>70</v>
      </c>
      <c r="F105" s="758"/>
      <c r="G105" s="758"/>
      <c r="H105" s="239"/>
      <c r="I105" s="758" t="s">
        <v>71</v>
      </c>
      <c r="J105" s="758"/>
      <c r="K105" s="758"/>
      <c r="L105" s="239"/>
      <c r="M105" s="758" t="s">
        <v>59</v>
      </c>
      <c r="N105" s="758"/>
      <c r="O105" s="758"/>
      <c r="P105" s="239"/>
      <c r="Q105" s="758" t="s">
        <v>60</v>
      </c>
      <c r="R105" s="758"/>
      <c r="S105" s="758"/>
      <c r="T105" s="239"/>
      <c r="U105" s="758" t="s">
        <v>43</v>
      </c>
      <c r="V105" s="758"/>
      <c r="W105" s="758"/>
    </row>
    <row r="107" spans="2:24" ht="24.75" customHeight="1" x14ac:dyDescent="0.25">
      <c r="B107" s="240"/>
      <c r="C107" s="241"/>
      <c r="D107" s="242"/>
      <c r="E107" s="554">
        <f>E84</f>
        <v>46082</v>
      </c>
      <c r="F107" s="555">
        <f>F84</f>
        <v>45992</v>
      </c>
      <c r="G107" s="556" t="s">
        <v>62</v>
      </c>
      <c r="H107" s="239"/>
      <c r="I107" s="554">
        <f>E107</f>
        <v>46082</v>
      </c>
      <c r="J107" s="555">
        <f>F107</f>
        <v>45992</v>
      </c>
      <c r="K107" s="556" t="s">
        <v>62</v>
      </c>
      <c r="L107" s="239"/>
      <c r="M107" s="554">
        <f>I107</f>
        <v>46082</v>
      </c>
      <c r="N107" s="555">
        <f>J107</f>
        <v>45992</v>
      </c>
      <c r="O107" s="556" t="s">
        <v>62</v>
      </c>
      <c r="P107" s="239"/>
      <c r="Q107" s="554">
        <f>M107</f>
        <v>46082</v>
      </c>
      <c r="R107" s="555">
        <f>N107</f>
        <v>45992</v>
      </c>
      <c r="S107" s="556" t="s">
        <v>62</v>
      </c>
      <c r="T107" s="239"/>
      <c r="U107" s="554">
        <f>Q107</f>
        <v>46082</v>
      </c>
      <c r="V107" s="555">
        <f>R107</f>
        <v>45992</v>
      </c>
      <c r="W107" s="556" t="s">
        <v>62</v>
      </c>
    </row>
    <row r="109" spans="2:24" ht="13" x14ac:dyDescent="0.25">
      <c r="B109" s="557"/>
      <c r="C109" s="557"/>
      <c r="D109" s="557"/>
      <c r="E109" s="557"/>
      <c r="F109" s="557"/>
      <c r="G109" s="557"/>
      <c r="H109" s="238"/>
      <c r="I109" s="557"/>
      <c r="J109" s="557"/>
      <c r="K109" s="557"/>
      <c r="L109" s="238"/>
      <c r="M109" s="557"/>
      <c r="N109" s="557"/>
      <c r="O109" s="557"/>
      <c r="P109" s="238"/>
      <c r="Q109" s="557"/>
      <c r="R109" s="557"/>
      <c r="S109" s="557"/>
      <c r="T109" s="238"/>
      <c r="U109" s="557"/>
      <c r="V109" s="557"/>
      <c r="W109" s="557"/>
    </row>
    <row r="110" spans="2:24" ht="23.25" customHeight="1" x14ac:dyDescent="0.25">
      <c r="B110" s="243" t="s">
        <v>7</v>
      </c>
      <c r="C110" s="244"/>
      <c r="D110" s="244"/>
      <c r="E110" s="246">
        <f>IF(E97=0,0,E72/E97)</f>
        <v>0.20767364227163729</v>
      </c>
      <c r="F110" s="246">
        <f>IF(F97=0,0,F72/F97)</f>
        <v>0.2418299475401198</v>
      </c>
      <c r="G110" s="262">
        <f t="shared" ref="G110:G116" si="0">(E110-F110)*100</f>
        <v>-3.4156305268482514</v>
      </c>
      <c r="H110" s="292"/>
      <c r="I110" s="246">
        <f>IF(I97=0,0,I72/I97)</f>
        <v>0.36442993530355922</v>
      </c>
      <c r="J110" s="246">
        <f>IF(J97=0,0,J72/J97)</f>
        <v>0.4255375093109352</v>
      </c>
      <c r="K110" s="262">
        <f t="shared" ref="K110:K117" si="1">(I110-J110)*100</f>
        <v>-6.1107574007375991</v>
      </c>
      <c r="L110" s="292"/>
      <c r="M110" s="246">
        <f>IF(M97=0,0,M72/M97)</f>
        <v>0</v>
      </c>
      <c r="N110" s="246">
        <f>IF(N97=0,0,N72/N97)</f>
        <v>0</v>
      </c>
      <c r="O110" s="262">
        <f t="shared" ref="O110:O116" si="2">(M110-N110)*100</f>
        <v>0</v>
      </c>
      <c r="P110" s="292"/>
      <c r="Q110" s="246">
        <f>IF(Q97=0,0,Q72/Q97)</f>
        <v>0.2261496452595475</v>
      </c>
      <c r="R110" s="246">
        <f>IF(R97=0,0,R72/R97)</f>
        <v>0.3080351374096269</v>
      </c>
      <c r="S110" s="262">
        <f t="shared" ref="S110:S116" si="3">(Q110-R110)*100</f>
        <v>-8.1885492150079404</v>
      </c>
      <c r="T110" s="292"/>
      <c r="U110" s="246">
        <f>IF(U97=0,0,U72/U97)</f>
        <v>0.27698310291620243</v>
      </c>
      <c r="V110" s="246">
        <f>IF(V97=0,0,V72/V97)</f>
        <v>0.32746450105410274</v>
      </c>
      <c r="W110" s="262">
        <f t="shared" ref="W110:W116" si="4">(U110-V110)*100</f>
        <v>-5.0481398137900317</v>
      </c>
    </row>
    <row r="111" spans="2:24" ht="23.25" customHeight="1" x14ac:dyDescent="0.25">
      <c r="B111" s="243" t="s">
        <v>6</v>
      </c>
      <c r="E111" s="246">
        <f>IF(E93=0,0,E66/E93)</f>
        <v>0.14298522316501217</v>
      </c>
      <c r="F111" s="246">
        <f>IF(F93=0,0,F66/F93)</f>
        <v>0.14420261294363931</v>
      </c>
      <c r="G111" s="262">
        <f t="shared" si="0"/>
        <v>-0.12173897786271481</v>
      </c>
      <c r="H111" s="292"/>
      <c r="I111" s="246">
        <f>IF(I93=0,0,I66/I93)</f>
        <v>0.16126285119269942</v>
      </c>
      <c r="J111" s="246">
        <f>IF(J93=0,0,J66/J93)</f>
        <v>0.16389076915381934</v>
      </c>
      <c r="K111" s="262">
        <f t="shared" si="1"/>
        <v>-0.26279179611199133</v>
      </c>
      <c r="L111" s="292"/>
      <c r="M111" s="246">
        <f>IF(M93=0,0,M66/M93)</f>
        <v>0.76253138584148827</v>
      </c>
      <c r="N111" s="246">
        <f>IF(N93=0,0,N66/N93)</f>
        <v>0.72916760013272064</v>
      </c>
      <c r="O111" s="262">
        <f t="shared" si="2"/>
        <v>3.3363785708767635</v>
      </c>
      <c r="P111" s="292"/>
      <c r="Q111" s="246">
        <f>IF(Q93=0,0,Q66/Q93)</f>
        <v>0</v>
      </c>
      <c r="R111" s="246">
        <f>IF(R93=0,0,R66/R93)</f>
        <v>0</v>
      </c>
      <c r="S111" s="262">
        <f t="shared" si="3"/>
        <v>0</v>
      </c>
      <c r="T111" s="292"/>
      <c r="U111" s="246">
        <f>IF(U93=0,0,U66/U93)</f>
        <v>0.15198609477548489</v>
      </c>
      <c r="V111" s="246">
        <f>IF(V93=0,0,V66/V93)</f>
        <v>0.15429786948598365</v>
      </c>
      <c r="W111" s="262">
        <f t="shared" si="4"/>
        <v>-0.23117747104987596</v>
      </c>
    </row>
    <row r="112" spans="2:24" ht="23.25" customHeight="1" x14ac:dyDescent="0.25">
      <c r="B112" s="243" t="s">
        <v>11</v>
      </c>
      <c r="C112" s="244"/>
      <c r="D112" s="244"/>
      <c r="E112" s="246">
        <f>IF(E99=0,0,E76/E99)</f>
        <v>0.33928418846495206</v>
      </c>
      <c r="F112" s="246">
        <f>IF(F99=0,0,F76/F99)</f>
        <v>0.33928418846495206</v>
      </c>
      <c r="G112" s="262">
        <f t="shared" si="0"/>
        <v>0</v>
      </c>
      <c r="H112" s="292"/>
      <c r="I112" s="246">
        <f>IF(I99=0,0,I76/I99)</f>
        <v>0.16850235149678883</v>
      </c>
      <c r="J112" s="246">
        <f>IF(J99=0,0,J76/J99)</f>
        <v>0.16850235149678883</v>
      </c>
      <c r="K112" s="262">
        <f t="shared" si="1"/>
        <v>0</v>
      </c>
      <c r="L112" s="292"/>
      <c r="M112" s="246">
        <f>IF(M99=0,0,M76/M99)</f>
        <v>0</v>
      </c>
      <c r="N112" s="246">
        <f>IF(N99=0,0,N76/N99)</f>
        <v>0</v>
      </c>
      <c r="O112" s="262">
        <f t="shared" si="2"/>
        <v>0</v>
      </c>
      <c r="P112" s="292"/>
      <c r="Q112" s="246">
        <f>IF(Q99=0,0,Q76/Q99)</f>
        <v>1</v>
      </c>
      <c r="R112" s="246">
        <f>IF(R99=0,0,R76/R99)</f>
        <v>1</v>
      </c>
      <c r="S112" s="262">
        <f t="shared" si="3"/>
        <v>0</v>
      </c>
      <c r="T112" s="292"/>
      <c r="U112" s="246">
        <f>IF(U99=0,0,U76/U99)</f>
        <v>0.16984956157865838</v>
      </c>
      <c r="V112" s="246">
        <f>IF(V99=0,0,V76/V99)</f>
        <v>0.16984956157865838</v>
      </c>
      <c r="W112" s="262">
        <f t="shared" si="4"/>
        <v>0</v>
      </c>
    </row>
    <row r="113" spans="2:23" ht="23.25" customHeight="1" x14ac:dyDescent="0.25">
      <c r="B113" s="243" t="s">
        <v>4</v>
      </c>
      <c r="C113" s="244"/>
      <c r="D113" s="244"/>
      <c r="E113" s="246">
        <f>IF(E95=0,0,E74/E95)</f>
        <v>0.12052687979617745</v>
      </c>
      <c r="F113" s="246">
        <f>IF(F95=0,0,F74/F95)</f>
        <v>0.12328516520594435</v>
      </c>
      <c r="G113" s="262">
        <f t="shared" si="0"/>
        <v>-0.27582854097669002</v>
      </c>
      <c r="H113" s="292"/>
      <c r="I113" s="246">
        <f>IF(I95=0,0,I74/I95)</f>
        <v>0</v>
      </c>
      <c r="J113" s="246">
        <f>IF(J95=0,0,J74/J95)</f>
        <v>0</v>
      </c>
      <c r="K113" s="262">
        <f t="shared" si="1"/>
        <v>0</v>
      </c>
      <c r="L113" s="292"/>
      <c r="M113" s="246">
        <f>IF(M95=0,0,M74/M95)</f>
        <v>0</v>
      </c>
      <c r="N113" s="246">
        <f>IF(N95=0,0,N74/N95)</f>
        <v>0</v>
      </c>
      <c r="O113" s="262">
        <f t="shared" si="2"/>
        <v>0</v>
      </c>
      <c r="P113" s="292"/>
      <c r="Q113" s="246">
        <f>IF(Q95=0,0,Q74/Q95)</f>
        <v>0</v>
      </c>
      <c r="R113" s="246">
        <f>IF(R95=0,0,R74/R95)</f>
        <v>0</v>
      </c>
      <c r="S113" s="262">
        <f t="shared" si="3"/>
        <v>0</v>
      </c>
      <c r="T113" s="292"/>
      <c r="U113" s="246">
        <f>IF(U95=0,0,U74/U95)</f>
        <v>0.12052687979617745</v>
      </c>
      <c r="V113" s="246">
        <f>IF(V95=0,0,V74/V95)</f>
        <v>0.12328516520594435</v>
      </c>
      <c r="W113" s="262">
        <f t="shared" si="4"/>
        <v>-0.27582854097669002</v>
      </c>
    </row>
    <row r="114" spans="2:23" ht="23.25" customHeight="1" x14ac:dyDescent="0.25">
      <c r="B114" s="243" t="s">
        <v>10</v>
      </c>
      <c r="C114" s="396"/>
      <c r="D114" s="396"/>
      <c r="E114" s="246">
        <f>IF(E87=0,0,E64/E87)</f>
        <v>7.9569710934525667E-2</v>
      </c>
      <c r="F114" s="246">
        <f>IF(F87=0,0,F64/F87)</f>
        <v>7.5499528790803461E-2</v>
      </c>
      <c r="G114" s="262">
        <f t="shared" si="0"/>
        <v>0.40701821437222063</v>
      </c>
      <c r="H114" s="292"/>
      <c r="I114" s="246">
        <f>IF(I87=0,0,I64/I87)</f>
        <v>0.14255297780608736</v>
      </c>
      <c r="J114" s="246">
        <f>IF(J87=0,0,J64/J87)</f>
        <v>0.14176153471523151</v>
      </c>
      <c r="K114" s="262">
        <f t="shared" si="1"/>
        <v>7.914430908558534E-2</v>
      </c>
      <c r="L114" s="292"/>
      <c r="M114" s="246">
        <f>IF(M87=0,0,M64/M87)</f>
        <v>0.10157856328152418</v>
      </c>
      <c r="N114" s="246">
        <f>IF(N87=0,0,N64/N87)</f>
        <v>9.9998373936443327E-2</v>
      </c>
      <c r="O114" s="262">
        <f t="shared" si="2"/>
        <v>0.15801893450808485</v>
      </c>
      <c r="P114" s="292"/>
      <c r="Q114" s="246">
        <f>IF(Q87=0,0,Q64/Q87)</f>
        <v>0.34146379281195915</v>
      </c>
      <c r="R114" s="246">
        <f>IF(R87=0,0,R64/R87)</f>
        <v>0.35015990476263947</v>
      </c>
      <c r="S114" s="262">
        <f t="shared" si="3"/>
        <v>-0.86961119506803186</v>
      </c>
      <c r="T114" s="292"/>
      <c r="U114" s="535">
        <f>IF(U87=0,0,U64/U87)</f>
        <v>0.10414680174057202</v>
      </c>
      <c r="V114" s="535">
        <f>IF(V87=0,0,V64/V87)</f>
        <v>0.10222368278230125</v>
      </c>
      <c r="W114" s="262">
        <f t="shared" si="4"/>
        <v>0.19231189582707697</v>
      </c>
    </row>
    <row r="115" spans="2:23" ht="23.25" customHeight="1" x14ac:dyDescent="0.25">
      <c r="B115" s="223" t="s">
        <v>2</v>
      </c>
      <c r="C115" s="224"/>
      <c r="D115" s="224"/>
      <c r="E115" s="293">
        <f>IF(E91=0,0,E70/E91)</f>
        <v>9.4809037798396348E-2</v>
      </c>
      <c r="F115" s="293">
        <f>IF(F91=0,0,F70/F91)</f>
        <v>9.6455075405118995E-2</v>
      </c>
      <c r="G115" s="294">
        <f t="shared" si="0"/>
        <v>-0.16460376067226473</v>
      </c>
      <c r="H115" s="292"/>
      <c r="I115" s="293">
        <f>IF(I91=0,0,I70/I91)</f>
        <v>0.16831286862856973</v>
      </c>
      <c r="J115" s="293">
        <f>IF(J91=0,0,J70/J91)</f>
        <v>0.16382523040408878</v>
      </c>
      <c r="K115" s="294">
        <f t="shared" si="1"/>
        <v>0.44876382244809498</v>
      </c>
      <c r="L115" s="292"/>
      <c r="M115" s="293">
        <f>IF(M91=0,0,M70/M91)</f>
        <v>6.7782695939101245E-2</v>
      </c>
      <c r="N115" s="293">
        <f>IF(N91=0,0,N70/N91)</f>
        <v>5.0478505689246375E-2</v>
      </c>
      <c r="O115" s="294">
        <f t="shared" si="2"/>
        <v>1.7304190249854869</v>
      </c>
      <c r="P115" s="292"/>
      <c r="Q115" s="293">
        <f>IF(Q91=0,0,Q70/Q91)</f>
        <v>0</v>
      </c>
      <c r="R115" s="293">
        <f>IF(R91=0,0,R70/R91)</f>
        <v>0</v>
      </c>
      <c r="S115" s="294">
        <f t="shared" si="3"/>
        <v>0</v>
      </c>
      <c r="T115" s="292"/>
      <c r="U115" s="293">
        <f>IF(U91=0,0,U70/U91)</f>
        <v>0.11040645611036166</v>
      </c>
      <c r="V115" s="293">
        <f>IF(V91=0,0,V70/V91)</f>
        <v>0.11180639035650772</v>
      </c>
      <c r="W115" s="294">
        <f t="shared" si="4"/>
        <v>-0.13999342461460534</v>
      </c>
    </row>
    <row r="116" spans="2:23" ht="23.25" customHeight="1" thickBot="1" x14ac:dyDescent="0.3">
      <c r="B116" s="243" t="s">
        <v>5</v>
      </c>
      <c r="C116" s="244"/>
      <c r="D116" s="244"/>
      <c r="E116" s="246">
        <f>IF(E89=0,0,E68/E89)</f>
        <v>0.18723827345350563</v>
      </c>
      <c r="F116" s="246">
        <f>IF(F89=0,0,F68/F89)</f>
        <v>0.14270250505358342</v>
      </c>
      <c r="G116" s="262">
        <f t="shared" si="0"/>
        <v>4.4535768399922206</v>
      </c>
      <c r="H116" s="292"/>
      <c r="I116" s="246">
        <f>IF(I89=0,0,I68/I89)</f>
        <v>0.10433147235976517</v>
      </c>
      <c r="J116" s="246">
        <f>IF(J89=0,0,J68/J89)</f>
        <v>7.7302080962395242E-2</v>
      </c>
      <c r="K116" s="262">
        <f t="shared" si="1"/>
        <v>2.7029391397369928</v>
      </c>
      <c r="L116" s="292"/>
      <c r="M116" s="246">
        <f>IF(M89=0,0,M68/M89)</f>
        <v>0</v>
      </c>
      <c r="N116" s="246">
        <f>IF(N89=0,0,N68/N89)</f>
        <v>0</v>
      </c>
      <c r="O116" s="262">
        <f t="shared" si="2"/>
        <v>0</v>
      </c>
      <c r="P116" s="292"/>
      <c r="Q116" s="246">
        <f>IF(Q89=0,0,Q68/Q89)</f>
        <v>0</v>
      </c>
      <c r="R116" s="246">
        <f>IF(R89=0,0,R68/R89)</f>
        <v>0</v>
      </c>
      <c r="S116" s="262">
        <f t="shared" si="3"/>
        <v>0</v>
      </c>
      <c r="T116" s="292"/>
      <c r="U116" s="246">
        <f>IF(U89=0,0,U68/U89)</f>
        <v>0.16140025304263403</v>
      </c>
      <c r="V116" s="246">
        <f>IF(V89=0,0,V68/V89)</f>
        <v>0.12192892821945853</v>
      </c>
      <c r="W116" s="262">
        <f t="shared" si="4"/>
        <v>3.9471324823175502</v>
      </c>
    </row>
    <row r="117" spans="2:23" ht="26.5" thickBot="1" x14ac:dyDescent="0.3">
      <c r="B117" s="231" t="s">
        <v>8</v>
      </c>
      <c r="C117" s="232"/>
      <c r="D117" s="233">
        <f>'[4]global '!$E$11</f>
        <v>3701704.9980545454</v>
      </c>
      <c r="E117" s="236">
        <f>IF(E101=0,0,E78/E101)</f>
        <v>0.12020837011642635</v>
      </c>
      <c r="F117" s="236">
        <f>IF(F101=0,0,F78/F101)</f>
        <v>0.11221269780520482</v>
      </c>
      <c r="G117" s="237">
        <f t="shared" ref="G117" si="5">(E117-F117)*100</f>
        <v>0.799567231122153</v>
      </c>
      <c r="H117" s="295"/>
      <c r="I117" s="236">
        <f>IF(I101=0,0,I78/I101)</f>
        <v>0.1553476204231794</v>
      </c>
      <c r="J117" s="236">
        <f>IF(J101=0,0,J78/J101)</f>
        <v>0.15270364128077527</v>
      </c>
      <c r="K117" s="237">
        <f t="shared" si="1"/>
        <v>0.26439791424041348</v>
      </c>
      <c r="L117" s="295"/>
      <c r="M117" s="236">
        <f>IF(M101=0,0,M78/M101)</f>
        <v>0.10764167180309382</v>
      </c>
      <c r="N117" s="236">
        <f>IF(N101=0,0,N78/N101)</f>
        <v>0.10679331850812468</v>
      </c>
      <c r="O117" s="237">
        <f t="shared" ref="O117" si="6">(M117-N117)*100</f>
        <v>8.4835329496914247E-2</v>
      </c>
      <c r="P117" s="295"/>
      <c r="Q117" s="236">
        <f>IF(Q101=0,0,Q78/Q101)</f>
        <v>0.26833261615771403</v>
      </c>
      <c r="R117" s="236">
        <f>IF(R101=0,0,R78/R101)</f>
        <v>0.46833322165245189</v>
      </c>
      <c r="S117" s="237">
        <f t="shared" ref="S117" si="7">(Q117-R117)*100</f>
        <v>-20.000060549473787</v>
      </c>
      <c r="T117" s="295"/>
      <c r="U117" s="236">
        <f>IF(U101=0,0,U78/U101)</f>
        <v>0.13185744034530225</v>
      </c>
      <c r="V117" s="236">
        <f>IF(V101=0,0,V78/V101)</f>
        <v>0.12699547529418337</v>
      </c>
      <c r="W117" s="237">
        <f t="shared" ref="W117" si="8">(U117-V117)*100</f>
        <v>0.48619650511188828</v>
      </c>
    </row>
    <row r="118" spans="2:23" ht="16.5" customHeight="1" x14ac:dyDescent="0.25">
      <c r="B118" s="221"/>
    </row>
  </sheetData>
  <mergeCells count="33">
    <mergeCell ref="B2:V2"/>
    <mergeCell ref="B103:W103"/>
    <mergeCell ref="E105:G105"/>
    <mergeCell ref="I105:K105"/>
    <mergeCell ref="M105:O105"/>
    <mergeCell ref="Q105:S105"/>
    <mergeCell ref="U105:W105"/>
    <mergeCell ref="B80:W80"/>
    <mergeCell ref="E82:G82"/>
    <mergeCell ref="I82:K82"/>
    <mergeCell ref="M82:O82"/>
    <mergeCell ref="Q82:S82"/>
    <mergeCell ref="U82:W82"/>
    <mergeCell ref="B57:W57"/>
    <mergeCell ref="E59:G59"/>
    <mergeCell ref="I59:K59"/>
    <mergeCell ref="M59:O59"/>
    <mergeCell ref="Q59:S59"/>
    <mergeCell ref="U59:W59"/>
    <mergeCell ref="B33:W33"/>
    <mergeCell ref="E35:G35"/>
    <mergeCell ref="I35:K35"/>
    <mergeCell ref="M35:O35"/>
    <mergeCell ref="Q35:S35"/>
    <mergeCell ref="U35:W35"/>
    <mergeCell ref="AF13:AH14"/>
    <mergeCell ref="AI13:AK13"/>
    <mergeCell ref="B9:W9"/>
    <mergeCell ref="E11:G11"/>
    <mergeCell ref="I11:K11"/>
    <mergeCell ref="M11:O11"/>
    <mergeCell ref="Q11:S11"/>
    <mergeCell ref="U11:W11"/>
  </mergeCells>
  <printOptions horizontalCentered="1"/>
  <pageMargins left="0" right="0" top="0" bottom="0" header="0" footer="0"/>
  <pageSetup paperSize="9" scale="45" fitToHeight="3" orientation="landscape" r:id="rId1"/>
  <rowBreaks count="1" manualBreakCount="1">
    <brk id="56" max="22" man="1"/>
  </rowBreaks>
  <ignoredErrors>
    <ignoredError sqref="G76:H76 G77:I77 K76:L76 O76:P76 S76:U76 E98 K97:L97 E100 K99:L99 O97:P97 O99:P99 S97:T97 S99:U99 G97:H97 G99:H99 E29:L29 G30:H30 K30:L30 O30:P30 S30:W30 G78:H78 K78:L78 O78:P78 S78:W78 G101:H101 K101:L101 O101:P101 S101:W101 O29:P29 S29:W29 O77:P77 S77:W77 O98:P98 O100:P100 S98:W98 S100:W100 S53:W53 S51:W51 O53:P53 E53 O51:P51 E51 O50:P50 S54:T54 O54:P54 K54:L54 G54:H54 M51 Q51 M53 Q53 K50:L50 O52:P52 S50:T50 S52:W52 G50:H50 G52:H52 K52:L52 E77 K53:L53 K51:L51 K77:L77 K98:L98 K100:L100 G53:I53 G51:I51 G98:I98 G100:I100 V27:W27 K28:L28 K26:L26 S27:T27 O27:P27 G28:H28 G26:H26 S28:W28 S26:U26 O28:P28 O26:P26 E27:L27 E28:F28 M27:N27 Q26:R26 Q28:R28 I28:J28 Q27:R27 U27 M26:N26 M28:N28 V50:W50 V54:W54 V97:W97 W26 W76 W99"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FF0000"/>
  </sheetPr>
  <dimension ref="A2:AX152"/>
  <sheetViews>
    <sheetView showGridLines="0" view="pageBreakPreview" zoomScale="60" zoomScaleNormal="60" workbookViewId="0">
      <pane xSplit="1" topLeftCell="B1" activePane="topRight" state="frozen"/>
      <selection activeCell="AD29" sqref="AD29"/>
      <selection pane="topRight" activeCell="AJ37" sqref="AJ37"/>
    </sheetView>
  </sheetViews>
  <sheetFormatPr baseColWidth="10" defaultColWidth="11.453125" defaultRowHeight="12.5" x14ac:dyDescent="0.25"/>
  <cols>
    <col min="1" max="1" width="35.7265625" style="2" customWidth="1"/>
    <col min="2" max="2" width="1.453125" style="2" customWidth="1"/>
    <col min="3" max="3" width="17.81640625" style="2" bestFit="1" customWidth="1"/>
    <col min="4" max="4" width="16.7265625" style="2" bestFit="1" customWidth="1"/>
    <col min="5" max="5" width="17.54296875" style="2" bestFit="1" customWidth="1"/>
    <col min="6" max="6" width="1.26953125" style="2" customWidth="1"/>
    <col min="7" max="7" width="17.81640625" style="2" bestFit="1" customWidth="1"/>
    <col min="8" max="8" width="17.453125" style="2" bestFit="1" customWidth="1"/>
    <col min="9" max="9" width="16.1796875" style="2" customWidth="1"/>
    <col min="10" max="10" width="1.7265625" style="2" customWidth="1"/>
    <col min="11" max="12" width="17.453125" style="2" bestFit="1" customWidth="1"/>
    <col min="13" max="13" width="18.453125" style="2" customWidth="1"/>
    <col min="14" max="14" width="1.26953125" style="2" customWidth="1"/>
    <col min="15" max="16" width="15.453125" style="2" bestFit="1" customWidth="1"/>
    <col min="17" max="17" width="18.453125" style="2" customWidth="1"/>
    <col min="18" max="18" width="1.26953125" style="2" customWidth="1"/>
    <col min="19" max="20" width="15.453125" style="2" bestFit="1" customWidth="1"/>
    <col min="21" max="21" width="18.453125" style="2" customWidth="1"/>
    <col min="22" max="22" width="1.26953125" style="2" customWidth="1"/>
    <col min="23" max="24" width="15.453125" style="2" customWidth="1"/>
    <col min="25" max="25" width="18.453125" style="2" customWidth="1"/>
    <col min="26" max="26" width="1.26953125" style="2" hidden="1" customWidth="1"/>
    <col min="27" max="29" width="19.26953125" style="2" hidden="1" customWidth="1"/>
    <col min="30" max="30" width="1.7265625" style="2" hidden="1" customWidth="1"/>
    <col min="31" max="31" width="17.1796875" style="2" hidden="1" customWidth="1"/>
    <col min="32" max="32" width="15.54296875" style="2" hidden="1" customWidth="1"/>
    <col min="33" max="33" width="17" style="2" hidden="1" customWidth="1"/>
    <col min="34" max="34" width="1.7265625" style="2" customWidth="1"/>
    <col min="35" max="37" width="18.7265625" style="2" bestFit="1" customWidth="1"/>
    <col min="38" max="38" width="13.54296875" style="35" bestFit="1" customWidth="1"/>
    <col min="39" max="39" width="13.1796875" style="35" bestFit="1" customWidth="1"/>
    <col min="40" max="40" width="13.54296875" style="35" bestFit="1" customWidth="1"/>
    <col min="41" max="41" width="13.1796875" style="35" bestFit="1" customWidth="1"/>
    <col min="42" max="42" width="13.54296875" style="35" bestFit="1" customWidth="1"/>
    <col min="43" max="43" width="13.1796875" style="35" bestFit="1" customWidth="1"/>
    <col min="44" max="44" width="13.54296875" style="35" bestFit="1" customWidth="1"/>
    <col min="45" max="45" width="13.1796875" style="35" bestFit="1" customWidth="1"/>
    <col min="46" max="46" width="13.54296875" style="35" bestFit="1" customWidth="1"/>
    <col min="47" max="47" width="13.1796875" style="35" bestFit="1" customWidth="1"/>
    <col min="48" max="48" width="11.453125" style="29"/>
    <col min="49" max="256" width="11.453125" style="2"/>
    <col min="257" max="257" width="27.453125" style="2" customWidth="1"/>
    <col min="258" max="258" width="1.453125" style="2" customWidth="1"/>
    <col min="259" max="259" width="17.81640625" style="2" bestFit="1" customWidth="1"/>
    <col min="260" max="260" width="15.54296875" style="2" bestFit="1" customWidth="1"/>
    <col min="261" max="261" width="16.1796875" style="2" customWidth="1"/>
    <col min="262" max="262" width="1.26953125" style="2" customWidth="1"/>
    <col min="263" max="263" width="17.81640625" style="2" bestFit="1" customWidth="1"/>
    <col min="264" max="264" width="15.54296875" style="2" bestFit="1" customWidth="1"/>
    <col min="265" max="265" width="16.1796875" style="2" customWidth="1"/>
    <col min="266" max="266" width="1.7265625" style="2" customWidth="1"/>
    <col min="267" max="268" width="15.453125" style="2" bestFit="1" customWidth="1"/>
    <col min="269" max="269" width="18.453125" style="2" customWidth="1"/>
    <col min="270" max="270" width="1.26953125" style="2" customWidth="1"/>
    <col min="271" max="272" width="15.453125" style="2" bestFit="1" customWidth="1"/>
    <col min="273" max="273" width="18.453125" style="2" customWidth="1"/>
    <col min="274" max="274" width="1.26953125" style="2" customWidth="1"/>
    <col min="275" max="276" width="15.453125" style="2" bestFit="1" customWidth="1"/>
    <col min="277" max="277" width="18.453125" style="2" customWidth="1"/>
    <col min="278" max="278" width="1.26953125" style="2" customWidth="1"/>
    <col min="279" max="280" width="15.453125" style="2" customWidth="1"/>
    <col min="281" max="281" width="18.453125" style="2" customWidth="1"/>
    <col min="282" max="282" width="1.26953125" style="2" customWidth="1"/>
    <col min="283" max="290" width="11.453125" style="2" customWidth="1"/>
    <col min="291" max="293" width="18.7265625" style="2" bestFit="1" customWidth="1"/>
    <col min="294" max="294" width="13.54296875" style="2" bestFit="1" customWidth="1"/>
    <col min="295" max="295" width="13.1796875" style="2" bestFit="1" customWidth="1"/>
    <col min="296" max="296" width="13.54296875" style="2" bestFit="1" customWidth="1"/>
    <col min="297" max="297" width="13.1796875" style="2" bestFit="1" customWidth="1"/>
    <col min="298" max="298" width="13.54296875" style="2" bestFit="1" customWidth="1"/>
    <col min="299" max="299" width="13.1796875" style="2" bestFit="1" customWidth="1"/>
    <col min="300" max="300" width="13.54296875" style="2" bestFit="1" customWidth="1"/>
    <col min="301" max="301" width="13.1796875" style="2" bestFit="1" customWidth="1"/>
    <col min="302" max="302" width="13.54296875" style="2" bestFit="1" customWidth="1"/>
    <col min="303" max="303" width="13.1796875" style="2" bestFit="1" customWidth="1"/>
    <col min="304" max="512" width="11.453125" style="2"/>
    <col min="513" max="513" width="27.453125" style="2" customWidth="1"/>
    <col min="514" max="514" width="1.453125" style="2" customWidth="1"/>
    <col min="515" max="515" width="17.81640625" style="2" bestFit="1" customWidth="1"/>
    <col min="516" max="516" width="15.54296875" style="2" bestFit="1" customWidth="1"/>
    <col min="517" max="517" width="16.1796875" style="2" customWidth="1"/>
    <col min="518" max="518" width="1.26953125" style="2" customWidth="1"/>
    <col min="519" max="519" width="17.81640625" style="2" bestFit="1" customWidth="1"/>
    <col min="520" max="520" width="15.54296875" style="2" bestFit="1" customWidth="1"/>
    <col min="521" max="521" width="16.1796875" style="2" customWidth="1"/>
    <col min="522" max="522" width="1.7265625" style="2" customWidth="1"/>
    <col min="523" max="524" width="15.453125" style="2" bestFit="1" customWidth="1"/>
    <col min="525" max="525" width="18.453125" style="2" customWidth="1"/>
    <col min="526" max="526" width="1.26953125" style="2" customWidth="1"/>
    <col min="527" max="528" width="15.453125" style="2" bestFit="1" customWidth="1"/>
    <col min="529" max="529" width="18.453125" style="2" customWidth="1"/>
    <col min="530" max="530" width="1.26953125" style="2" customWidth="1"/>
    <col min="531" max="532" width="15.453125" style="2" bestFit="1" customWidth="1"/>
    <col min="533" max="533" width="18.453125" style="2" customWidth="1"/>
    <col min="534" max="534" width="1.26953125" style="2" customWidth="1"/>
    <col min="535" max="536" width="15.453125" style="2" customWidth="1"/>
    <col min="537" max="537" width="18.453125" style="2" customWidth="1"/>
    <col min="538" max="538" width="1.26953125" style="2" customWidth="1"/>
    <col min="539" max="546" width="11.453125" style="2" customWidth="1"/>
    <col min="547" max="549" width="18.7265625" style="2" bestFit="1" customWidth="1"/>
    <col min="550" max="550" width="13.54296875" style="2" bestFit="1" customWidth="1"/>
    <col min="551" max="551" width="13.1796875" style="2" bestFit="1" customWidth="1"/>
    <col min="552" max="552" width="13.54296875" style="2" bestFit="1" customWidth="1"/>
    <col min="553" max="553" width="13.1796875" style="2" bestFit="1" customWidth="1"/>
    <col min="554" max="554" width="13.54296875" style="2" bestFit="1" customWidth="1"/>
    <col min="555" max="555" width="13.1796875" style="2" bestFit="1" customWidth="1"/>
    <col min="556" max="556" width="13.54296875" style="2" bestFit="1" customWidth="1"/>
    <col min="557" max="557" width="13.1796875" style="2" bestFit="1" customWidth="1"/>
    <col min="558" max="558" width="13.54296875" style="2" bestFit="1" customWidth="1"/>
    <col min="559" max="559" width="13.1796875" style="2" bestFit="1" customWidth="1"/>
    <col min="560" max="768" width="11.453125" style="2"/>
    <col min="769" max="769" width="27.453125" style="2" customWidth="1"/>
    <col min="770" max="770" width="1.453125" style="2" customWidth="1"/>
    <col min="771" max="771" width="17.81640625" style="2" bestFit="1" customWidth="1"/>
    <col min="772" max="772" width="15.54296875" style="2" bestFit="1" customWidth="1"/>
    <col min="773" max="773" width="16.1796875" style="2" customWidth="1"/>
    <col min="774" max="774" width="1.26953125" style="2" customWidth="1"/>
    <col min="775" max="775" width="17.81640625" style="2" bestFit="1" customWidth="1"/>
    <col min="776" max="776" width="15.54296875" style="2" bestFit="1" customWidth="1"/>
    <col min="777" max="777" width="16.1796875" style="2" customWidth="1"/>
    <col min="778" max="778" width="1.7265625" style="2" customWidth="1"/>
    <col min="779" max="780" width="15.453125" style="2" bestFit="1" customWidth="1"/>
    <col min="781" max="781" width="18.453125" style="2" customWidth="1"/>
    <col min="782" max="782" width="1.26953125" style="2" customWidth="1"/>
    <col min="783" max="784" width="15.453125" style="2" bestFit="1" customWidth="1"/>
    <col min="785" max="785" width="18.453125" style="2" customWidth="1"/>
    <col min="786" max="786" width="1.26953125" style="2" customWidth="1"/>
    <col min="787" max="788" width="15.453125" style="2" bestFit="1" customWidth="1"/>
    <col min="789" max="789" width="18.453125" style="2" customWidth="1"/>
    <col min="790" max="790" width="1.26953125" style="2" customWidth="1"/>
    <col min="791" max="792" width="15.453125" style="2" customWidth="1"/>
    <col min="793" max="793" width="18.453125" style="2" customWidth="1"/>
    <col min="794" max="794" width="1.26953125" style="2" customWidth="1"/>
    <col min="795" max="802" width="11.453125" style="2" customWidth="1"/>
    <col min="803" max="805" width="18.7265625" style="2" bestFit="1" customWidth="1"/>
    <col min="806" max="806" width="13.54296875" style="2" bestFit="1" customWidth="1"/>
    <col min="807" max="807" width="13.1796875" style="2" bestFit="1" customWidth="1"/>
    <col min="808" max="808" width="13.54296875" style="2" bestFit="1" customWidth="1"/>
    <col min="809" max="809" width="13.1796875" style="2" bestFit="1" customWidth="1"/>
    <col min="810" max="810" width="13.54296875" style="2" bestFit="1" customWidth="1"/>
    <col min="811" max="811" width="13.1796875" style="2" bestFit="1" customWidth="1"/>
    <col min="812" max="812" width="13.54296875" style="2" bestFit="1" customWidth="1"/>
    <col min="813" max="813" width="13.1796875" style="2" bestFit="1" customWidth="1"/>
    <col min="814" max="814" width="13.54296875" style="2" bestFit="1" customWidth="1"/>
    <col min="815" max="815" width="13.1796875" style="2" bestFit="1" customWidth="1"/>
    <col min="816" max="1024" width="11.453125" style="2"/>
    <col min="1025" max="1025" width="27.453125" style="2" customWidth="1"/>
    <col min="1026" max="1026" width="1.453125" style="2" customWidth="1"/>
    <col min="1027" max="1027" width="17.81640625" style="2" bestFit="1" customWidth="1"/>
    <col min="1028" max="1028" width="15.54296875" style="2" bestFit="1" customWidth="1"/>
    <col min="1029" max="1029" width="16.1796875" style="2" customWidth="1"/>
    <col min="1030" max="1030" width="1.26953125" style="2" customWidth="1"/>
    <col min="1031" max="1031" width="17.81640625" style="2" bestFit="1" customWidth="1"/>
    <col min="1032" max="1032" width="15.54296875" style="2" bestFit="1" customWidth="1"/>
    <col min="1033" max="1033" width="16.1796875" style="2" customWidth="1"/>
    <col min="1034" max="1034" width="1.7265625" style="2" customWidth="1"/>
    <col min="1035" max="1036" width="15.453125" style="2" bestFit="1" customWidth="1"/>
    <col min="1037" max="1037" width="18.453125" style="2" customWidth="1"/>
    <col min="1038" max="1038" width="1.26953125" style="2" customWidth="1"/>
    <col min="1039" max="1040" width="15.453125" style="2" bestFit="1" customWidth="1"/>
    <col min="1041" max="1041" width="18.453125" style="2" customWidth="1"/>
    <col min="1042" max="1042" width="1.26953125" style="2" customWidth="1"/>
    <col min="1043" max="1044" width="15.453125" style="2" bestFit="1" customWidth="1"/>
    <col min="1045" max="1045" width="18.453125" style="2" customWidth="1"/>
    <col min="1046" max="1046" width="1.26953125" style="2" customWidth="1"/>
    <col min="1047" max="1048" width="15.453125" style="2" customWidth="1"/>
    <col min="1049" max="1049" width="18.453125" style="2" customWidth="1"/>
    <col min="1050" max="1050" width="1.26953125" style="2" customWidth="1"/>
    <col min="1051" max="1058" width="11.453125" style="2" customWidth="1"/>
    <col min="1059" max="1061" width="18.7265625" style="2" bestFit="1" customWidth="1"/>
    <col min="1062" max="1062" width="13.54296875" style="2" bestFit="1" customWidth="1"/>
    <col min="1063" max="1063" width="13.1796875" style="2" bestFit="1" customWidth="1"/>
    <col min="1064" max="1064" width="13.54296875" style="2" bestFit="1" customWidth="1"/>
    <col min="1065" max="1065" width="13.1796875" style="2" bestFit="1" customWidth="1"/>
    <col min="1066" max="1066" width="13.54296875" style="2" bestFit="1" customWidth="1"/>
    <col min="1067" max="1067" width="13.1796875" style="2" bestFit="1" customWidth="1"/>
    <col min="1068" max="1068" width="13.54296875" style="2" bestFit="1" customWidth="1"/>
    <col min="1069" max="1069" width="13.1796875" style="2" bestFit="1" customWidth="1"/>
    <col min="1070" max="1070" width="13.54296875" style="2" bestFit="1" customWidth="1"/>
    <col min="1071" max="1071" width="13.1796875" style="2" bestFit="1" customWidth="1"/>
    <col min="1072" max="1280" width="11.453125" style="2"/>
    <col min="1281" max="1281" width="27.453125" style="2" customWidth="1"/>
    <col min="1282" max="1282" width="1.453125" style="2" customWidth="1"/>
    <col min="1283" max="1283" width="17.81640625" style="2" bestFit="1" customWidth="1"/>
    <col min="1284" max="1284" width="15.54296875" style="2" bestFit="1" customWidth="1"/>
    <col min="1285" max="1285" width="16.1796875" style="2" customWidth="1"/>
    <col min="1286" max="1286" width="1.26953125" style="2" customWidth="1"/>
    <col min="1287" max="1287" width="17.81640625" style="2" bestFit="1" customWidth="1"/>
    <col min="1288" max="1288" width="15.54296875" style="2" bestFit="1" customWidth="1"/>
    <col min="1289" max="1289" width="16.1796875" style="2" customWidth="1"/>
    <col min="1290" max="1290" width="1.7265625" style="2" customWidth="1"/>
    <col min="1291" max="1292" width="15.453125" style="2" bestFit="1" customWidth="1"/>
    <col min="1293" max="1293" width="18.453125" style="2" customWidth="1"/>
    <col min="1294" max="1294" width="1.26953125" style="2" customWidth="1"/>
    <col min="1295" max="1296" width="15.453125" style="2" bestFit="1" customWidth="1"/>
    <col min="1297" max="1297" width="18.453125" style="2" customWidth="1"/>
    <col min="1298" max="1298" width="1.26953125" style="2" customWidth="1"/>
    <col min="1299" max="1300" width="15.453125" style="2" bestFit="1" customWidth="1"/>
    <col min="1301" max="1301" width="18.453125" style="2" customWidth="1"/>
    <col min="1302" max="1302" width="1.26953125" style="2" customWidth="1"/>
    <col min="1303" max="1304" width="15.453125" style="2" customWidth="1"/>
    <col min="1305" max="1305" width="18.453125" style="2" customWidth="1"/>
    <col min="1306" max="1306" width="1.26953125" style="2" customWidth="1"/>
    <col min="1307" max="1314" width="11.453125" style="2" customWidth="1"/>
    <col min="1315" max="1317" width="18.7265625" style="2" bestFit="1" customWidth="1"/>
    <col min="1318" max="1318" width="13.54296875" style="2" bestFit="1" customWidth="1"/>
    <col min="1319" max="1319" width="13.1796875" style="2" bestFit="1" customWidth="1"/>
    <col min="1320" max="1320" width="13.54296875" style="2" bestFit="1" customWidth="1"/>
    <col min="1321" max="1321" width="13.1796875" style="2" bestFit="1" customWidth="1"/>
    <col min="1322" max="1322" width="13.54296875" style="2" bestFit="1" customWidth="1"/>
    <col min="1323" max="1323" width="13.1796875" style="2" bestFit="1" customWidth="1"/>
    <col min="1324" max="1324" width="13.54296875" style="2" bestFit="1" customWidth="1"/>
    <col min="1325" max="1325" width="13.1796875" style="2" bestFit="1" customWidth="1"/>
    <col min="1326" max="1326" width="13.54296875" style="2" bestFit="1" customWidth="1"/>
    <col min="1327" max="1327" width="13.1796875" style="2" bestFit="1" customWidth="1"/>
    <col min="1328" max="1536" width="11.453125" style="2"/>
    <col min="1537" max="1537" width="27.453125" style="2" customWidth="1"/>
    <col min="1538" max="1538" width="1.453125" style="2" customWidth="1"/>
    <col min="1539" max="1539" width="17.81640625" style="2" bestFit="1" customWidth="1"/>
    <col min="1540" max="1540" width="15.54296875" style="2" bestFit="1" customWidth="1"/>
    <col min="1541" max="1541" width="16.1796875" style="2" customWidth="1"/>
    <col min="1542" max="1542" width="1.26953125" style="2" customWidth="1"/>
    <col min="1543" max="1543" width="17.81640625" style="2" bestFit="1" customWidth="1"/>
    <col min="1544" max="1544" width="15.54296875" style="2" bestFit="1" customWidth="1"/>
    <col min="1545" max="1545" width="16.1796875" style="2" customWidth="1"/>
    <col min="1546" max="1546" width="1.7265625" style="2" customWidth="1"/>
    <col min="1547" max="1548" width="15.453125" style="2" bestFit="1" customWidth="1"/>
    <col min="1549" max="1549" width="18.453125" style="2" customWidth="1"/>
    <col min="1550" max="1550" width="1.26953125" style="2" customWidth="1"/>
    <col min="1551" max="1552" width="15.453125" style="2" bestFit="1" customWidth="1"/>
    <col min="1553" max="1553" width="18.453125" style="2" customWidth="1"/>
    <col min="1554" max="1554" width="1.26953125" style="2" customWidth="1"/>
    <col min="1555" max="1556" width="15.453125" style="2" bestFit="1" customWidth="1"/>
    <col min="1557" max="1557" width="18.453125" style="2" customWidth="1"/>
    <col min="1558" max="1558" width="1.26953125" style="2" customWidth="1"/>
    <col min="1559" max="1560" width="15.453125" style="2" customWidth="1"/>
    <col min="1561" max="1561" width="18.453125" style="2" customWidth="1"/>
    <col min="1562" max="1562" width="1.26953125" style="2" customWidth="1"/>
    <col min="1563" max="1570" width="11.453125" style="2" customWidth="1"/>
    <col min="1571" max="1573" width="18.7265625" style="2" bestFit="1" customWidth="1"/>
    <col min="1574" max="1574" width="13.54296875" style="2" bestFit="1" customWidth="1"/>
    <col min="1575" max="1575" width="13.1796875" style="2" bestFit="1" customWidth="1"/>
    <col min="1576" max="1576" width="13.54296875" style="2" bestFit="1" customWidth="1"/>
    <col min="1577" max="1577" width="13.1796875" style="2" bestFit="1" customWidth="1"/>
    <col min="1578" max="1578" width="13.54296875" style="2" bestFit="1" customWidth="1"/>
    <col min="1579" max="1579" width="13.1796875" style="2" bestFit="1" customWidth="1"/>
    <col min="1580" max="1580" width="13.54296875" style="2" bestFit="1" customWidth="1"/>
    <col min="1581" max="1581" width="13.1796875" style="2" bestFit="1" customWidth="1"/>
    <col min="1582" max="1582" width="13.54296875" style="2" bestFit="1" customWidth="1"/>
    <col min="1583" max="1583" width="13.1796875" style="2" bestFit="1" customWidth="1"/>
    <col min="1584" max="1792" width="11.453125" style="2"/>
    <col min="1793" max="1793" width="27.453125" style="2" customWidth="1"/>
    <col min="1794" max="1794" width="1.453125" style="2" customWidth="1"/>
    <col min="1795" max="1795" width="17.81640625" style="2" bestFit="1" customWidth="1"/>
    <col min="1796" max="1796" width="15.54296875" style="2" bestFit="1" customWidth="1"/>
    <col min="1797" max="1797" width="16.1796875" style="2" customWidth="1"/>
    <col min="1798" max="1798" width="1.26953125" style="2" customWidth="1"/>
    <col min="1799" max="1799" width="17.81640625" style="2" bestFit="1" customWidth="1"/>
    <col min="1800" max="1800" width="15.54296875" style="2" bestFit="1" customWidth="1"/>
    <col min="1801" max="1801" width="16.1796875" style="2" customWidth="1"/>
    <col min="1802" max="1802" width="1.7265625" style="2" customWidth="1"/>
    <col min="1803" max="1804" width="15.453125" style="2" bestFit="1" customWidth="1"/>
    <col min="1805" max="1805" width="18.453125" style="2" customWidth="1"/>
    <col min="1806" max="1806" width="1.26953125" style="2" customWidth="1"/>
    <col min="1807" max="1808" width="15.453125" style="2" bestFit="1" customWidth="1"/>
    <col min="1809" max="1809" width="18.453125" style="2" customWidth="1"/>
    <col min="1810" max="1810" width="1.26953125" style="2" customWidth="1"/>
    <col min="1811" max="1812" width="15.453125" style="2" bestFit="1" customWidth="1"/>
    <col min="1813" max="1813" width="18.453125" style="2" customWidth="1"/>
    <col min="1814" max="1814" width="1.26953125" style="2" customWidth="1"/>
    <col min="1815" max="1816" width="15.453125" style="2" customWidth="1"/>
    <col min="1817" max="1817" width="18.453125" style="2" customWidth="1"/>
    <col min="1818" max="1818" width="1.26953125" style="2" customWidth="1"/>
    <col min="1819" max="1826" width="11.453125" style="2" customWidth="1"/>
    <col min="1827" max="1829" width="18.7265625" style="2" bestFit="1" customWidth="1"/>
    <col min="1830" max="1830" width="13.54296875" style="2" bestFit="1" customWidth="1"/>
    <col min="1831" max="1831" width="13.1796875" style="2" bestFit="1" customWidth="1"/>
    <col min="1832" max="1832" width="13.54296875" style="2" bestFit="1" customWidth="1"/>
    <col min="1833" max="1833" width="13.1796875" style="2" bestFit="1" customWidth="1"/>
    <col min="1834" max="1834" width="13.54296875" style="2" bestFit="1" customWidth="1"/>
    <col min="1835" max="1835" width="13.1796875" style="2" bestFit="1" customWidth="1"/>
    <col min="1836" max="1836" width="13.54296875" style="2" bestFit="1" customWidth="1"/>
    <col min="1837" max="1837" width="13.1796875" style="2" bestFit="1" customWidth="1"/>
    <col min="1838" max="1838" width="13.54296875" style="2" bestFit="1" customWidth="1"/>
    <col min="1839" max="1839" width="13.1796875" style="2" bestFit="1" customWidth="1"/>
    <col min="1840" max="2048" width="11.453125" style="2"/>
    <col min="2049" max="2049" width="27.453125" style="2" customWidth="1"/>
    <col min="2050" max="2050" width="1.453125" style="2" customWidth="1"/>
    <col min="2051" max="2051" width="17.81640625" style="2" bestFit="1" customWidth="1"/>
    <col min="2052" max="2052" width="15.54296875" style="2" bestFit="1" customWidth="1"/>
    <col min="2053" max="2053" width="16.1796875" style="2" customWidth="1"/>
    <col min="2054" max="2054" width="1.26953125" style="2" customWidth="1"/>
    <col min="2055" max="2055" width="17.81640625" style="2" bestFit="1" customWidth="1"/>
    <col min="2056" max="2056" width="15.54296875" style="2" bestFit="1" customWidth="1"/>
    <col min="2057" max="2057" width="16.1796875" style="2" customWidth="1"/>
    <col min="2058" max="2058" width="1.7265625" style="2" customWidth="1"/>
    <col min="2059" max="2060" width="15.453125" style="2" bestFit="1" customWidth="1"/>
    <col min="2061" max="2061" width="18.453125" style="2" customWidth="1"/>
    <col min="2062" max="2062" width="1.26953125" style="2" customWidth="1"/>
    <col min="2063" max="2064" width="15.453125" style="2" bestFit="1" customWidth="1"/>
    <col min="2065" max="2065" width="18.453125" style="2" customWidth="1"/>
    <col min="2066" max="2066" width="1.26953125" style="2" customWidth="1"/>
    <col min="2067" max="2068" width="15.453125" style="2" bestFit="1" customWidth="1"/>
    <col min="2069" max="2069" width="18.453125" style="2" customWidth="1"/>
    <col min="2070" max="2070" width="1.26953125" style="2" customWidth="1"/>
    <col min="2071" max="2072" width="15.453125" style="2" customWidth="1"/>
    <col min="2073" max="2073" width="18.453125" style="2" customWidth="1"/>
    <col min="2074" max="2074" width="1.26953125" style="2" customWidth="1"/>
    <col min="2075" max="2082" width="11.453125" style="2" customWidth="1"/>
    <col min="2083" max="2085" width="18.7265625" style="2" bestFit="1" customWidth="1"/>
    <col min="2086" max="2086" width="13.54296875" style="2" bestFit="1" customWidth="1"/>
    <col min="2087" max="2087" width="13.1796875" style="2" bestFit="1" customWidth="1"/>
    <col min="2088" max="2088" width="13.54296875" style="2" bestFit="1" customWidth="1"/>
    <col min="2089" max="2089" width="13.1796875" style="2" bestFit="1" customWidth="1"/>
    <col min="2090" max="2090" width="13.54296875" style="2" bestFit="1" customWidth="1"/>
    <col min="2091" max="2091" width="13.1796875" style="2" bestFit="1" customWidth="1"/>
    <col min="2092" max="2092" width="13.54296875" style="2" bestFit="1" customWidth="1"/>
    <col min="2093" max="2093" width="13.1796875" style="2" bestFit="1" customWidth="1"/>
    <col min="2094" max="2094" width="13.54296875" style="2" bestFit="1" customWidth="1"/>
    <col min="2095" max="2095" width="13.1796875" style="2" bestFit="1" customWidth="1"/>
    <col min="2096" max="2304" width="11.453125" style="2"/>
    <col min="2305" max="2305" width="27.453125" style="2" customWidth="1"/>
    <col min="2306" max="2306" width="1.453125" style="2" customWidth="1"/>
    <col min="2307" max="2307" width="17.81640625" style="2" bestFit="1" customWidth="1"/>
    <col min="2308" max="2308" width="15.54296875" style="2" bestFit="1" customWidth="1"/>
    <col min="2309" max="2309" width="16.1796875" style="2" customWidth="1"/>
    <col min="2310" max="2310" width="1.26953125" style="2" customWidth="1"/>
    <col min="2311" max="2311" width="17.81640625" style="2" bestFit="1" customWidth="1"/>
    <col min="2312" max="2312" width="15.54296875" style="2" bestFit="1" customWidth="1"/>
    <col min="2313" max="2313" width="16.1796875" style="2" customWidth="1"/>
    <col min="2314" max="2314" width="1.7265625" style="2" customWidth="1"/>
    <col min="2315" max="2316" width="15.453125" style="2" bestFit="1" customWidth="1"/>
    <col min="2317" max="2317" width="18.453125" style="2" customWidth="1"/>
    <col min="2318" max="2318" width="1.26953125" style="2" customWidth="1"/>
    <col min="2319" max="2320" width="15.453125" style="2" bestFit="1" customWidth="1"/>
    <col min="2321" max="2321" width="18.453125" style="2" customWidth="1"/>
    <col min="2322" max="2322" width="1.26953125" style="2" customWidth="1"/>
    <col min="2323" max="2324" width="15.453125" style="2" bestFit="1" customWidth="1"/>
    <col min="2325" max="2325" width="18.453125" style="2" customWidth="1"/>
    <col min="2326" max="2326" width="1.26953125" style="2" customWidth="1"/>
    <col min="2327" max="2328" width="15.453125" style="2" customWidth="1"/>
    <col min="2329" max="2329" width="18.453125" style="2" customWidth="1"/>
    <col min="2330" max="2330" width="1.26953125" style="2" customWidth="1"/>
    <col min="2331" max="2338" width="11.453125" style="2" customWidth="1"/>
    <col min="2339" max="2341" width="18.7265625" style="2" bestFit="1" customWidth="1"/>
    <col min="2342" max="2342" width="13.54296875" style="2" bestFit="1" customWidth="1"/>
    <col min="2343" max="2343" width="13.1796875" style="2" bestFit="1" customWidth="1"/>
    <col min="2344" max="2344" width="13.54296875" style="2" bestFit="1" customWidth="1"/>
    <col min="2345" max="2345" width="13.1796875" style="2" bestFit="1" customWidth="1"/>
    <col min="2346" max="2346" width="13.54296875" style="2" bestFit="1" customWidth="1"/>
    <col min="2347" max="2347" width="13.1796875" style="2" bestFit="1" customWidth="1"/>
    <col min="2348" max="2348" width="13.54296875" style="2" bestFit="1" customWidth="1"/>
    <col min="2349" max="2349" width="13.1796875" style="2" bestFit="1" customWidth="1"/>
    <col min="2350" max="2350" width="13.54296875" style="2" bestFit="1" customWidth="1"/>
    <col min="2351" max="2351" width="13.1796875" style="2" bestFit="1" customWidth="1"/>
    <col min="2352" max="2560" width="11.453125" style="2"/>
    <col min="2561" max="2561" width="27.453125" style="2" customWidth="1"/>
    <col min="2562" max="2562" width="1.453125" style="2" customWidth="1"/>
    <col min="2563" max="2563" width="17.81640625" style="2" bestFit="1" customWidth="1"/>
    <col min="2564" max="2564" width="15.54296875" style="2" bestFit="1" customWidth="1"/>
    <col min="2565" max="2565" width="16.1796875" style="2" customWidth="1"/>
    <col min="2566" max="2566" width="1.26953125" style="2" customWidth="1"/>
    <col min="2567" max="2567" width="17.81640625" style="2" bestFit="1" customWidth="1"/>
    <col min="2568" max="2568" width="15.54296875" style="2" bestFit="1" customWidth="1"/>
    <col min="2569" max="2569" width="16.1796875" style="2" customWidth="1"/>
    <col min="2570" max="2570" width="1.7265625" style="2" customWidth="1"/>
    <col min="2571" max="2572" width="15.453125" style="2" bestFit="1" customWidth="1"/>
    <col min="2573" max="2573" width="18.453125" style="2" customWidth="1"/>
    <col min="2574" max="2574" width="1.26953125" style="2" customWidth="1"/>
    <col min="2575" max="2576" width="15.453125" style="2" bestFit="1" customWidth="1"/>
    <col min="2577" max="2577" width="18.453125" style="2" customWidth="1"/>
    <col min="2578" max="2578" width="1.26953125" style="2" customWidth="1"/>
    <col min="2579" max="2580" width="15.453125" style="2" bestFit="1" customWidth="1"/>
    <col min="2581" max="2581" width="18.453125" style="2" customWidth="1"/>
    <col min="2582" max="2582" width="1.26953125" style="2" customWidth="1"/>
    <col min="2583" max="2584" width="15.453125" style="2" customWidth="1"/>
    <col min="2585" max="2585" width="18.453125" style="2" customWidth="1"/>
    <col min="2586" max="2586" width="1.26953125" style="2" customWidth="1"/>
    <col min="2587" max="2594" width="11.453125" style="2" customWidth="1"/>
    <col min="2595" max="2597" width="18.7265625" style="2" bestFit="1" customWidth="1"/>
    <col min="2598" max="2598" width="13.54296875" style="2" bestFit="1" customWidth="1"/>
    <col min="2599" max="2599" width="13.1796875" style="2" bestFit="1" customWidth="1"/>
    <col min="2600" max="2600" width="13.54296875" style="2" bestFit="1" customWidth="1"/>
    <col min="2601" max="2601" width="13.1796875" style="2" bestFit="1" customWidth="1"/>
    <col min="2602" max="2602" width="13.54296875" style="2" bestFit="1" customWidth="1"/>
    <col min="2603" max="2603" width="13.1796875" style="2" bestFit="1" customWidth="1"/>
    <col min="2604" max="2604" width="13.54296875" style="2" bestFit="1" customWidth="1"/>
    <col min="2605" max="2605" width="13.1796875" style="2" bestFit="1" customWidth="1"/>
    <col min="2606" max="2606" width="13.54296875" style="2" bestFit="1" customWidth="1"/>
    <col min="2607" max="2607" width="13.1796875" style="2" bestFit="1" customWidth="1"/>
    <col min="2608" max="2816" width="11.453125" style="2"/>
    <col min="2817" max="2817" width="27.453125" style="2" customWidth="1"/>
    <col min="2818" max="2818" width="1.453125" style="2" customWidth="1"/>
    <col min="2819" max="2819" width="17.81640625" style="2" bestFit="1" customWidth="1"/>
    <col min="2820" max="2820" width="15.54296875" style="2" bestFit="1" customWidth="1"/>
    <col min="2821" max="2821" width="16.1796875" style="2" customWidth="1"/>
    <col min="2822" max="2822" width="1.26953125" style="2" customWidth="1"/>
    <col min="2823" max="2823" width="17.81640625" style="2" bestFit="1" customWidth="1"/>
    <col min="2824" max="2824" width="15.54296875" style="2" bestFit="1" customWidth="1"/>
    <col min="2825" max="2825" width="16.1796875" style="2" customWidth="1"/>
    <col min="2826" max="2826" width="1.7265625" style="2" customWidth="1"/>
    <col min="2827" max="2828" width="15.453125" style="2" bestFit="1" customWidth="1"/>
    <col min="2829" max="2829" width="18.453125" style="2" customWidth="1"/>
    <col min="2830" max="2830" width="1.26953125" style="2" customWidth="1"/>
    <col min="2831" max="2832" width="15.453125" style="2" bestFit="1" customWidth="1"/>
    <col min="2833" max="2833" width="18.453125" style="2" customWidth="1"/>
    <col min="2834" max="2834" width="1.26953125" style="2" customWidth="1"/>
    <col min="2835" max="2836" width="15.453125" style="2" bestFit="1" customWidth="1"/>
    <col min="2837" max="2837" width="18.453125" style="2" customWidth="1"/>
    <col min="2838" max="2838" width="1.26953125" style="2" customWidth="1"/>
    <col min="2839" max="2840" width="15.453125" style="2" customWidth="1"/>
    <col min="2841" max="2841" width="18.453125" style="2" customWidth="1"/>
    <col min="2842" max="2842" width="1.26953125" style="2" customWidth="1"/>
    <col min="2843" max="2850" width="11.453125" style="2" customWidth="1"/>
    <col min="2851" max="2853" width="18.7265625" style="2" bestFit="1" customWidth="1"/>
    <col min="2854" max="2854" width="13.54296875" style="2" bestFit="1" customWidth="1"/>
    <col min="2855" max="2855" width="13.1796875" style="2" bestFit="1" customWidth="1"/>
    <col min="2856" max="2856" width="13.54296875" style="2" bestFit="1" customWidth="1"/>
    <col min="2857" max="2857" width="13.1796875" style="2" bestFit="1" customWidth="1"/>
    <col min="2858" max="2858" width="13.54296875" style="2" bestFit="1" customWidth="1"/>
    <col min="2859" max="2859" width="13.1796875" style="2" bestFit="1" customWidth="1"/>
    <col min="2860" max="2860" width="13.54296875" style="2" bestFit="1" customWidth="1"/>
    <col min="2861" max="2861" width="13.1796875" style="2" bestFit="1" customWidth="1"/>
    <col min="2862" max="2862" width="13.54296875" style="2" bestFit="1" customWidth="1"/>
    <col min="2863" max="2863" width="13.1796875" style="2" bestFit="1" customWidth="1"/>
    <col min="2864" max="3072" width="11.453125" style="2"/>
    <col min="3073" max="3073" width="27.453125" style="2" customWidth="1"/>
    <col min="3074" max="3074" width="1.453125" style="2" customWidth="1"/>
    <col min="3075" max="3075" width="17.81640625" style="2" bestFit="1" customWidth="1"/>
    <col min="3076" max="3076" width="15.54296875" style="2" bestFit="1" customWidth="1"/>
    <col min="3077" max="3077" width="16.1796875" style="2" customWidth="1"/>
    <col min="3078" max="3078" width="1.26953125" style="2" customWidth="1"/>
    <col min="3079" max="3079" width="17.81640625" style="2" bestFit="1" customWidth="1"/>
    <col min="3080" max="3080" width="15.54296875" style="2" bestFit="1" customWidth="1"/>
    <col min="3081" max="3081" width="16.1796875" style="2" customWidth="1"/>
    <col min="3082" max="3082" width="1.7265625" style="2" customWidth="1"/>
    <col min="3083" max="3084" width="15.453125" style="2" bestFit="1" customWidth="1"/>
    <col min="3085" max="3085" width="18.453125" style="2" customWidth="1"/>
    <col min="3086" max="3086" width="1.26953125" style="2" customWidth="1"/>
    <col min="3087" max="3088" width="15.453125" style="2" bestFit="1" customWidth="1"/>
    <col min="3089" max="3089" width="18.453125" style="2" customWidth="1"/>
    <col min="3090" max="3090" width="1.26953125" style="2" customWidth="1"/>
    <col min="3091" max="3092" width="15.453125" style="2" bestFit="1" customWidth="1"/>
    <col min="3093" max="3093" width="18.453125" style="2" customWidth="1"/>
    <col min="3094" max="3094" width="1.26953125" style="2" customWidth="1"/>
    <col min="3095" max="3096" width="15.453125" style="2" customWidth="1"/>
    <col min="3097" max="3097" width="18.453125" style="2" customWidth="1"/>
    <col min="3098" max="3098" width="1.26953125" style="2" customWidth="1"/>
    <col min="3099" max="3106" width="11.453125" style="2" customWidth="1"/>
    <col min="3107" max="3109" width="18.7265625" style="2" bestFit="1" customWidth="1"/>
    <col min="3110" max="3110" width="13.54296875" style="2" bestFit="1" customWidth="1"/>
    <col min="3111" max="3111" width="13.1796875" style="2" bestFit="1" customWidth="1"/>
    <col min="3112" max="3112" width="13.54296875" style="2" bestFit="1" customWidth="1"/>
    <col min="3113" max="3113" width="13.1796875" style="2" bestFit="1" customWidth="1"/>
    <col min="3114" max="3114" width="13.54296875" style="2" bestFit="1" customWidth="1"/>
    <col min="3115" max="3115" width="13.1796875" style="2" bestFit="1" customWidth="1"/>
    <col min="3116" max="3116" width="13.54296875" style="2" bestFit="1" customWidth="1"/>
    <col min="3117" max="3117" width="13.1796875" style="2" bestFit="1" customWidth="1"/>
    <col min="3118" max="3118" width="13.54296875" style="2" bestFit="1" customWidth="1"/>
    <col min="3119" max="3119" width="13.1796875" style="2" bestFit="1" customWidth="1"/>
    <col min="3120" max="3328" width="11.453125" style="2"/>
    <col min="3329" max="3329" width="27.453125" style="2" customWidth="1"/>
    <col min="3330" max="3330" width="1.453125" style="2" customWidth="1"/>
    <col min="3331" max="3331" width="17.81640625" style="2" bestFit="1" customWidth="1"/>
    <col min="3332" max="3332" width="15.54296875" style="2" bestFit="1" customWidth="1"/>
    <col min="3333" max="3333" width="16.1796875" style="2" customWidth="1"/>
    <col min="3334" max="3334" width="1.26953125" style="2" customWidth="1"/>
    <col min="3335" max="3335" width="17.81640625" style="2" bestFit="1" customWidth="1"/>
    <col min="3336" max="3336" width="15.54296875" style="2" bestFit="1" customWidth="1"/>
    <col min="3337" max="3337" width="16.1796875" style="2" customWidth="1"/>
    <col min="3338" max="3338" width="1.7265625" style="2" customWidth="1"/>
    <col min="3339" max="3340" width="15.453125" style="2" bestFit="1" customWidth="1"/>
    <col min="3341" max="3341" width="18.453125" style="2" customWidth="1"/>
    <col min="3342" max="3342" width="1.26953125" style="2" customWidth="1"/>
    <col min="3343" max="3344" width="15.453125" style="2" bestFit="1" customWidth="1"/>
    <col min="3345" max="3345" width="18.453125" style="2" customWidth="1"/>
    <col min="3346" max="3346" width="1.26953125" style="2" customWidth="1"/>
    <col min="3347" max="3348" width="15.453125" style="2" bestFit="1" customWidth="1"/>
    <col min="3349" max="3349" width="18.453125" style="2" customWidth="1"/>
    <col min="3350" max="3350" width="1.26953125" style="2" customWidth="1"/>
    <col min="3351" max="3352" width="15.453125" style="2" customWidth="1"/>
    <col min="3353" max="3353" width="18.453125" style="2" customWidth="1"/>
    <col min="3354" max="3354" width="1.26953125" style="2" customWidth="1"/>
    <col min="3355" max="3362" width="11.453125" style="2" customWidth="1"/>
    <col min="3363" max="3365" width="18.7265625" style="2" bestFit="1" customWidth="1"/>
    <col min="3366" max="3366" width="13.54296875" style="2" bestFit="1" customWidth="1"/>
    <col min="3367" max="3367" width="13.1796875" style="2" bestFit="1" customWidth="1"/>
    <col min="3368" max="3368" width="13.54296875" style="2" bestFit="1" customWidth="1"/>
    <col min="3369" max="3369" width="13.1796875" style="2" bestFit="1" customWidth="1"/>
    <col min="3370" max="3370" width="13.54296875" style="2" bestFit="1" customWidth="1"/>
    <col min="3371" max="3371" width="13.1796875" style="2" bestFit="1" customWidth="1"/>
    <col min="3372" max="3372" width="13.54296875" style="2" bestFit="1" customWidth="1"/>
    <col min="3373" max="3373" width="13.1796875" style="2" bestFit="1" customWidth="1"/>
    <col min="3374" max="3374" width="13.54296875" style="2" bestFit="1" customWidth="1"/>
    <col min="3375" max="3375" width="13.1796875" style="2" bestFit="1" customWidth="1"/>
    <col min="3376" max="3584" width="11.453125" style="2"/>
    <col min="3585" max="3585" width="27.453125" style="2" customWidth="1"/>
    <col min="3586" max="3586" width="1.453125" style="2" customWidth="1"/>
    <col min="3587" max="3587" width="17.81640625" style="2" bestFit="1" customWidth="1"/>
    <col min="3588" max="3588" width="15.54296875" style="2" bestFit="1" customWidth="1"/>
    <col min="3589" max="3589" width="16.1796875" style="2" customWidth="1"/>
    <col min="3590" max="3590" width="1.26953125" style="2" customWidth="1"/>
    <col min="3591" max="3591" width="17.81640625" style="2" bestFit="1" customWidth="1"/>
    <col min="3592" max="3592" width="15.54296875" style="2" bestFit="1" customWidth="1"/>
    <col min="3593" max="3593" width="16.1796875" style="2" customWidth="1"/>
    <col min="3594" max="3594" width="1.7265625" style="2" customWidth="1"/>
    <col min="3595" max="3596" width="15.453125" style="2" bestFit="1" customWidth="1"/>
    <col min="3597" max="3597" width="18.453125" style="2" customWidth="1"/>
    <col min="3598" max="3598" width="1.26953125" style="2" customWidth="1"/>
    <col min="3599" max="3600" width="15.453125" style="2" bestFit="1" customWidth="1"/>
    <col min="3601" max="3601" width="18.453125" style="2" customWidth="1"/>
    <col min="3602" max="3602" width="1.26953125" style="2" customWidth="1"/>
    <col min="3603" max="3604" width="15.453125" style="2" bestFit="1" customWidth="1"/>
    <col min="3605" max="3605" width="18.453125" style="2" customWidth="1"/>
    <col min="3606" max="3606" width="1.26953125" style="2" customWidth="1"/>
    <col min="3607" max="3608" width="15.453125" style="2" customWidth="1"/>
    <col min="3609" max="3609" width="18.453125" style="2" customWidth="1"/>
    <col min="3610" max="3610" width="1.26953125" style="2" customWidth="1"/>
    <col min="3611" max="3618" width="11.453125" style="2" customWidth="1"/>
    <col min="3619" max="3621" width="18.7265625" style="2" bestFit="1" customWidth="1"/>
    <col min="3622" max="3622" width="13.54296875" style="2" bestFit="1" customWidth="1"/>
    <col min="3623" max="3623" width="13.1796875" style="2" bestFit="1" customWidth="1"/>
    <col min="3624" max="3624" width="13.54296875" style="2" bestFit="1" customWidth="1"/>
    <col min="3625" max="3625" width="13.1796875" style="2" bestFit="1" customWidth="1"/>
    <col min="3626" max="3626" width="13.54296875" style="2" bestFit="1" customWidth="1"/>
    <col min="3627" max="3627" width="13.1796875" style="2" bestFit="1" customWidth="1"/>
    <col min="3628" max="3628" width="13.54296875" style="2" bestFit="1" customWidth="1"/>
    <col min="3629" max="3629" width="13.1796875" style="2" bestFit="1" customWidth="1"/>
    <col min="3630" max="3630" width="13.54296875" style="2" bestFit="1" customWidth="1"/>
    <col min="3631" max="3631" width="13.1796875" style="2" bestFit="1" customWidth="1"/>
    <col min="3632" max="3840" width="11.453125" style="2"/>
    <col min="3841" max="3841" width="27.453125" style="2" customWidth="1"/>
    <col min="3842" max="3842" width="1.453125" style="2" customWidth="1"/>
    <col min="3843" max="3843" width="17.81640625" style="2" bestFit="1" customWidth="1"/>
    <col min="3844" max="3844" width="15.54296875" style="2" bestFit="1" customWidth="1"/>
    <col min="3845" max="3845" width="16.1796875" style="2" customWidth="1"/>
    <col min="3846" max="3846" width="1.26953125" style="2" customWidth="1"/>
    <col min="3847" max="3847" width="17.81640625" style="2" bestFit="1" customWidth="1"/>
    <col min="3848" max="3848" width="15.54296875" style="2" bestFit="1" customWidth="1"/>
    <col min="3849" max="3849" width="16.1796875" style="2" customWidth="1"/>
    <col min="3850" max="3850" width="1.7265625" style="2" customWidth="1"/>
    <col min="3851" max="3852" width="15.453125" style="2" bestFit="1" customWidth="1"/>
    <col min="3853" max="3853" width="18.453125" style="2" customWidth="1"/>
    <col min="3854" max="3854" width="1.26953125" style="2" customWidth="1"/>
    <col min="3855" max="3856" width="15.453125" style="2" bestFit="1" customWidth="1"/>
    <col min="3857" max="3857" width="18.453125" style="2" customWidth="1"/>
    <col min="3858" max="3858" width="1.26953125" style="2" customWidth="1"/>
    <col min="3859" max="3860" width="15.453125" style="2" bestFit="1" customWidth="1"/>
    <col min="3861" max="3861" width="18.453125" style="2" customWidth="1"/>
    <col min="3862" max="3862" width="1.26953125" style="2" customWidth="1"/>
    <col min="3863" max="3864" width="15.453125" style="2" customWidth="1"/>
    <col min="3865" max="3865" width="18.453125" style="2" customWidth="1"/>
    <col min="3866" max="3866" width="1.26953125" style="2" customWidth="1"/>
    <col min="3867" max="3874" width="11.453125" style="2" customWidth="1"/>
    <col min="3875" max="3877" width="18.7265625" style="2" bestFit="1" customWidth="1"/>
    <col min="3878" max="3878" width="13.54296875" style="2" bestFit="1" customWidth="1"/>
    <col min="3879" max="3879" width="13.1796875" style="2" bestFit="1" customWidth="1"/>
    <col min="3880" max="3880" width="13.54296875" style="2" bestFit="1" customWidth="1"/>
    <col min="3881" max="3881" width="13.1796875" style="2" bestFit="1" customWidth="1"/>
    <col min="3882" max="3882" width="13.54296875" style="2" bestFit="1" customWidth="1"/>
    <col min="3883" max="3883" width="13.1796875" style="2" bestFit="1" customWidth="1"/>
    <col min="3884" max="3884" width="13.54296875" style="2" bestFit="1" customWidth="1"/>
    <col min="3885" max="3885" width="13.1796875" style="2" bestFit="1" customWidth="1"/>
    <col min="3886" max="3886" width="13.54296875" style="2" bestFit="1" customWidth="1"/>
    <col min="3887" max="3887" width="13.1796875" style="2" bestFit="1" customWidth="1"/>
    <col min="3888" max="4096" width="11.453125" style="2"/>
    <col min="4097" max="4097" width="27.453125" style="2" customWidth="1"/>
    <col min="4098" max="4098" width="1.453125" style="2" customWidth="1"/>
    <col min="4099" max="4099" width="17.81640625" style="2" bestFit="1" customWidth="1"/>
    <col min="4100" max="4100" width="15.54296875" style="2" bestFit="1" customWidth="1"/>
    <col min="4101" max="4101" width="16.1796875" style="2" customWidth="1"/>
    <col min="4102" max="4102" width="1.26953125" style="2" customWidth="1"/>
    <col min="4103" max="4103" width="17.81640625" style="2" bestFit="1" customWidth="1"/>
    <col min="4104" max="4104" width="15.54296875" style="2" bestFit="1" customWidth="1"/>
    <col min="4105" max="4105" width="16.1796875" style="2" customWidth="1"/>
    <col min="4106" max="4106" width="1.7265625" style="2" customWidth="1"/>
    <col min="4107" max="4108" width="15.453125" style="2" bestFit="1" customWidth="1"/>
    <col min="4109" max="4109" width="18.453125" style="2" customWidth="1"/>
    <col min="4110" max="4110" width="1.26953125" style="2" customWidth="1"/>
    <col min="4111" max="4112" width="15.453125" style="2" bestFit="1" customWidth="1"/>
    <col min="4113" max="4113" width="18.453125" style="2" customWidth="1"/>
    <col min="4114" max="4114" width="1.26953125" style="2" customWidth="1"/>
    <col min="4115" max="4116" width="15.453125" style="2" bestFit="1" customWidth="1"/>
    <col min="4117" max="4117" width="18.453125" style="2" customWidth="1"/>
    <col min="4118" max="4118" width="1.26953125" style="2" customWidth="1"/>
    <col min="4119" max="4120" width="15.453125" style="2" customWidth="1"/>
    <col min="4121" max="4121" width="18.453125" style="2" customWidth="1"/>
    <col min="4122" max="4122" width="1.26953125" style="2" customWidth="1"/>
    <col min="4123" max="4130" width="11.453125" style="2" customWidth="1"/>
    <col min="4131" max="4133" width="18.7265625" style="2" bestFit="1" customWidth="1"/>
    <col min="4134" max="4134" width="13.54296875" style="2" bestFit="1" customWidth="1"/>
    <col min="4135" max="4135" width="13.1796875" style="2" bestFit="1" customWidth="1"/>
    <col min="4136" max="4136" width="13.54296875" style="2" bestFit="1" customWidth="1"/>
    <col min="4137" max="4137" width="13.1796875" style="2" bestFit="1" customWidth="1"/>
    <col min="4138" max="4138" width="13.54296875" style="2" bestFit="1" customWidth="1"/>
    <col min="4139" max="4139" width="13.1796875" style="2" bestFit="1" customWidth="1"/>
    <col min="4140" max="4140" width="13.54296875" style="2" bestFit="1" customWidth="1"/>
    <col min="4141" max="4141" width="13.1796875" style="2" bestFit="1" customWidth="1"/>
    <col min="4142" max="4142" width="13.54296875" style="2" bestFit="1" customWidth="1"/>
    <col min="4143" max="4143" width="13.1796875" style="2" bestFit="1" customWidth="1"/>
    <col min="4144" max="4352" width="11.453125" style="2"/>
    <col min="4353" max="4353" width="27.453125" style="2" customWidth="1"/>
    <col min="4354" max="4354" width="1.453125" style="2" customWidth="1"/>
    <col min="4355" max="4355" width="17.81640625" style="2" bestFit="1" customWidth="1"/>
    <col min="4356" max="4356" width="15.54296875" style="2" bestFit="1" customWidth="1"/>
    <col min="4357" max="4357" width="16.1796875" style="2" customWidth="1"/>
    <col min="4358" max="4358" width="1.26953125" style="2" customWidth="1"/>
    <col min="4359" max="4359" width="17.81640625" style="2" bestFit="1" customWidth="1"/>
    <col min="4360" max="4360" width="15.54296875" style="2" bestFit="1" customWidth="1"/>
    <col min="4361" max="4361" width="16.1796875" style="2" customWidth="1"/>
    <col min="4362" max="4362" width="1.7265625" style="2" customWidth="1"/>
    <col min="4363" max="4364" width="15.453125" style="2" bestFit="1" customWidth="1"/>
    <col min="4365" max="4365" width="18.453125" style="2" customWidth="1"/>
    <col min="4366" max="4366" width="1.26953125" style="2" customWidth="1"/>
    <col min="4367" max="4368" width="15.453125" style="2" bestFit="1" customWidth="1"/>
    <col min="4369" max="4369" width="18.453125" style="2" customWidth="1"/>
    <col min="4370" max="4370" width="1.26953125" style="2" customWidth="1"/>
    <col min="4371" max="4372" width="15.453125" style="2" bestFit="1" customWidth="1"/>
    <col min="4373" max="4373" width="18.453125" style="2" customWidth="1"/>
    <col min="4374" max="4374" width="1.26953125" style="2" customWidth="1"/>
    <col min="4375" max="4376" width="15.453125" style="2" customWidth="1"/>
    <col min="4377" max="4377" width="18.453125" style="2" customWidth="1"/>
    <col min="4378" max="4378" width="1.26953125" style="2" customWidth="1"/>
    <col min="4379" max="4386" width="11.453125" style="2" customWidth="1"/>
    <col min="4387" max="4389" width="18.7265625" style="2" bestFit="1" customWidth="1"/>
    <col min="4390" max="4390" width="13.54296875" style="2" bestFit="1" customWidth="1"/>
    <col min="4391" max="4391" width="13.1796875" style="2" bestFit="1" customWidth="1"/>
    <col min="4392" max="4392" width="13.54296875" style="2" bestFit="1" customWidth="1"/>
    <col min="4393" max="4393" width="13.1796875" style="2" bestFit="1" customWidth="1"/>
    <col min="4394" max="4394" width="13.54296875" style="2" bestFit="1" customWidth="1"/>
    <col min="4395" max="4395" width="13.1796875" style="2" bestFit="1" customWidth="1"/>
    <col min="4396" max="4396" width="13.54296875" style="2" bestFit="1" customWidth="1"/>
    <col min="4397" max="4397" width="13.1796875" style="2" bestFit="1" customWidth="1"/>
    <col min="4398" max="4398" width="13.54296875" style="2" bestFit="1" customWidth="1"/>
    <col min="4399" max="4399" width="13.1796875" style="2" bestFit="1" customWidth="1"/>
    <col min="4400" max="4608" width="11.453125" style="2"/>
    <col min="4609" max="4609" width="27.453125" style="2" customWidth="1"/>
    <col min="4610" max="4610" width="1.453125" style="2" customWidth="1"/>
    <col min="4611" max="4611" width="17.81640625" style="2" bestFit="1" customWidth="1"/>
    <col min="4612" max="4612" width="15.54296875" style="2" bestFit="1" customWidth="1"/>
    <col min="4613" max="4613" width="16.1796875" style="2" customWidth="1"/>
    <col min="4614" max="4614" width="1.26953125" style="2" customWidth="1"/>
    <col min="4615" max="4615" width="17.81640625" style="2" bestFit="1" customWidth="1"/>
    <col min="4616" max="4616" width="15.54296875" style="2" bestFit="1" customWidth="1"/>
    <col min="4617" max="4617" width="16.1796875" style="2" customWidth="1"/>
    <col min="4618" max="4618" width="1.7265625" style="2" customWidth="1"/>
    <col min="4619" max="4620" width="15.453125" style="2" bestFit="1" customWidth="1"/>
    <col min="4621" max="4621" width="18.453125" style="2" customWidth="1"/>
    <col min="4622" max="4622" width="1.26953125" style="2" customWidth="1"/>
    <col min="4623" max="4624" width="15.453125" style="2" bestFit="1" customWidth="1"/>
    <col min="4625" max="4625" width="18.453125" style="2" customWidth="1"/>
    <col min="4626" max="4626" width="1.26953125" style="2" customWidth="1"/>
    <col min="4627" max="4628" width="15.453125" style="2" bestFit="1" customWidth="1"/>
    <col min="4629" max="4629" width="18.453125" style="2" customWidth="1"/>
    <col min="4630" max="4630" width="1.26953125" style="2" customWidth="1"/>
    <col min="4631" max="4632" width="15.453125" style="2" customWidth="1"/>
    <col min="4633" max="4633" width="18.453125" style="2" customWidth="1"/>
    <col min="4634" max="4634" width="1.26953125" style="2" customWidth="1"/>
    <col min="4635" max="4642" width="11.453125" style="2" customWidth="1"/>
    <col min="4643" max="4645" width="18.7265625" style="2" bestFit="1" customWidth="1"/>
    <col min="4646" max="4646" width="13.54296875" style="2" bestFit="1" customWidth="1"/>
    <col min="4647" max="4647" width="13.1796875" style="2" bestFit="1" customWidth="1"/>
    <col min="4648" max="4648" width="13.54296875" style="2" bestFit="1" customWidth="1"/>
    <col min="4649" max="4649" width="13.1796875" style="2" bestFit="1" customWidth="1"/>
    <col min="4650" max="4650" width="13.54296875" style="2" bestFit="1" customWidth="1"/>
    <col min="4651" max="4651" width="13.1796875" style="2" bestFit="1" customWidth="1"/>
    <col min="4652" max="4652" width="13.54296875" style="2" bestFit="1" customWidth="1"/>
    <col min="4653" max="4653" width="13.1796875" style="2" bestFit="1" customWidth="1"/>
    <col min="4654" max="4654" width="13.54296875" style="2" bestFit="1" customWidth="1"/>
    <col min="4655" max="4655" width="13.1796875" style="2" bestFit="1" customWidth="1"/>
    <col min="4656" max="4864" width="11.453125" style="2"/>
    <col min="4865" max="4865" width="27.453125" style="2" customWidth="1"/>
    <col min="4866" max="4866" width="1.453125" style="2" customWidth="1"/>
    <col min="4867" max="4867" width="17.81640625" style="2" bestFit="1" customWidth="1"/>
    <col min="4868" max="4868" width="15.54296875" style="2" bestFit="1" customWidth="1"/>
    <col min="4869" max="4869" width="16.1796875" style="2" customWidth="1"/>
    <col min="4870" max="4870" width="1.26953125" style="2" customWidth="1"/>
    <col min="4871" max="4871" width="17.81640625" style="2" bestFit="1" customWidth="1"/>
    <col min="4872" max="4872" width="15.54296875" style="2" bestFit="1" customWidth="1"/>
    <col min="4873" max="4873" width="16.1796875" style="2" customWidth="1"/>
    <col min="4874" max="4874" width="1.7265625" style="2" customWidth="1"/>
    <col min="4875" max="4876" width="15.453125" style="2" bestFit="1" customWidth="1"/>
    <col min="4877" max="4877" width="18.453125" style="2" customWidth="1"/>
    <col min="4878" max="4878" width="1.26953125" style="2" customWidth="1"/>
    <col min="4879" max="4880" width="15.453125" style="2" bestFit="1" customWidth="1"/>
    <col min="4881" max="4881" width="18.453125" style="2" customWidth="1"/>
    <col min="4882" max="4882" width="1.26953125" style="2" customWidth="1"/>
    <col min="4883" max="4884" width="15.453125" style="2" bestFit="1" customWidth="1"/>
    <col min="4885" max="4885" width="18.453125" style="2" customWidth="1"/>
    <col min="4886" max="4886" width="1.26953125" style="2" customWidth="1"/>
    <col min="4887" max="4888" width="15.453125" style="2" customWidth="1"/>
    <col min="4889" max="4889" width="18.453125" style="2" customWidth="1"/>
    <col min="4890" max="4890" width="1.26953125" style="2" customWidth="1"/>
    <col min="4891" max="4898" width="11.453125" style="2" customWidth="1"/>
    <col min="4899" max="4901" width="18.7265625" style="2" bestFit="1" customWidth="1"/>
    <col min="4902" max="4902" width="13.54296875" style="2" bestFit="1" customWidth="1"/>
    <col min="4903" max="4903" width="13.1796875" style="2" bestFit="1" customWidth="1"/>
    <col min="4904" max="4904" width="13.54296875" style="2" bestFit="1" customWidth="1"/>
    <col min="4905" max="4905" width="13.1796875" style="2" bestFit="1" customWidth="1"/>
    <col min="4906" max="4906" width="13.54296875" style="2" bestFit="1" customWidth="1"/>
    <col min="4907" max="4907" width="13.1796875" style="2" bestFit="1" customWidth="1"/>
    <col min="4908" max="4908" width="13.54296875" style="2" bestFit="1" customWidth="1"/>
    <col min="4909" max="4909" width="13.1796875" style="2" bestFit="1" customWidth="1"/>
    <col min="4910" max="4910" width="13.54296875" style="2" bestFit="1" customWidth="1"/>
    <col min="4911" max="4911" width="13.1796875" style="2" bestFit="1" customWidth="1"/>
    <col min="4912" max="5120" width="11.453125" style="2"/>
    <col min="5121" max="5121" width="27.453125" style="2" customWidth="1"/>
    <col min="5122" max="5122" width="1.453125" style="2" customWidth="1"/>
    <col min="5123" max="5123" width="17.81640625" style="2" bestFit="1" customWidth="1"/>
    <col min="5124" max="5124" width="15.54296875" style="2" bestFit="1" customWidth="1"/>
    <col min="5125" max="5125" width="16.1796875" style="2" customWidth="1"/>
    <col min="5126" max="5126" width="1.26953125" style="2" customWidth="1"/>
    <col min="5127" max="5127" width="17.81640625" style="2" bestFit="1" customWidth="1"/>
    <col min="5128" max="5128" width="15.54296875" style="2" bestFit="1" customWidth="1"/>
    <col min="5129" max="5129" width="16.1796875" style="2" customWidth="1"/>
    <col min="5130" max="5130" width="1.7265625" style="2" customWidth="1"/>
    <col min="5131" max="5132" width="15.453125" style="2" bestFit="1" customWidth="1"/>
    <col min="5133" max="5133" width="18.453125" style="2" customWidth="1"/>
    <col min="5134" max="5134" width="1.26953125" style="2" customWidth="1"/>
    <col min="5135" max="5136" width="15.453125" style="2" bestFit="1" customWidth="1"/>
    <col min="5137" max="5137" width="18.453125" style="2" customWidth="1"/>
    <col min="5138" max="5138" width="1.26953125" style="2" customWidth="1"/>
    <col min="5139" max="5140" width="15.453125" style="2" bestFit="1" customWidth="1"/>
    <col min="5141" max="5141" width="18.453125" style="2" customWidth="1"/>
    <col min="5142" max="5142" width="1.26953125" style="2" customWidth="1"/>
    <col min="5143" max="5144" width="15.453125" style="2" customWidth="1"/>
    <col min="5145" max="5145" width="18.453125" style="2" customWidth="1"/>
    <col min="5146" max="5146" width="1.26953125" style="2" customWidth="1"/>
    <col min="5147" max="5154" width="11.453125" style="2" customWidth="1"/>
    <col min="5155" max="5157" width="18.7265625" style="2" bestFit="1" customWidth="1"/>
    <col min="5158" max="5158" width="13.54296875" style="2" bestFit="1" customWidth="1"/>
    <col min="5159" max="5159" width="13.1796875" style="2" bestFit="1" customWidth="1"/>
    <col min="5160" max="5160" width="13.54296875" style="2" bestFit="1" customWidth="1"/>
    <col min="5161" max="5161" width="13.1796875" style="2" bestFit="1" customWidth="1"/>
    <col min="5162" max="5162" width="13.54296875" style="2" bestFit="1" customWidth="1"/>
    <col min="5163" max="5163" width="13.1796875" style="2" bestFit="1" customWidth="1"/>
    <col min="5164" max="5164" width="13.54296875" style="2" bestFit="1" customWidth="1"/>
    <col min="5165" max="5165" width="13.1796875" style="2" bestFit="1" customWidth="1"/>
    <col min="5166" max="5166" width="13.54296875" style="2" bestFit="1" customWidth="1"/>
    <col min="5167" max="5167" width="13.1796875" style="2" bestFit="1" customWidth="1"/>
    <col min="5168" max="5376" width="11.453125" style="2"/>
    <col min="5377" max="5377" width="27.453125" style="2" customWidth="1"/>
    <col min="5378" max="5378" width="1.453125" style="2" customWidth="1"/>
    <col min="5379" max="5379" width="17.81640625" style="2" bestFit="1" customWidth="1"/>
    <col min="5380" max="5380" width="15.54296875" style="2" bestFit="1" customWidth="1"/>
    <col min="5381" max="5381" width="16.1796875" style="2" customWidth="1"/>
    <col min="5382" max="5382" width="1.26953125" style="2" customWidth="1"/>
    <col min="5383" max="5383" width="17.81640625" style="2" bestFit="1" customWidth="1"/>
    <col min="5384" max="5384" width="15.54296875" style="2" bestFit="1" customWidth="1"/>
    <col min="5385" max="5385" width="16.1796875" style="2" customWidth="1"/>
    <col min="5386" max="5386" width="1.7265625" style="2" customWidth="1"/>
    <col min="5387" max="5388" width="15.453125" style="2" bestFit="1" customWidth="1"/>
    <col min="5389" max="5389" width="18.453125" style="2" customWidth="1"/>
    <col min="5390" max="5390" width="1.26953125" style="2" customWidth="1"/>
    <col min="5391" max="5392" width="15.453125" style="2" bestFit="1" customWidth="1"/>
    <col min="5393" max="5393" width="18.453125" style="2" customWidth="1"/>
    <col min="5394" max="5394" width="1.26953125" style="2" customWidth="1"/>
    <col min="5395" max="5396" width="15.453125" style="2" bestFit="1" customWidth="1"/>
    <col min="5397" max="5397" width="18.453125" style="2" customWidth="1"/>
    <col min="5398" max="5398" width="1.26953125" style="2" customWidth="1"/>
    <col min="5399" max="5400" width="15.453125" style="2" customWidth="1"/>
    <col min="5401" max="5401" width="18.453125" style="2" customWidth="1"/>
    <col min="5402" max="5402" width="1.26953125" style="2" customWidth="1"/>
    <col min="5403" max="5410" width="11.453125" style="2" customWidth="1"/>
    <col min="5411" max="5413" width="18.7265625" style="2" bestFit="1" customWidth="1"/>
    <col min="5414" max="5414" width="13.54296875" style="2" bestFit="1" customWidth="1"/>
    <col min="5415" max="5415" width="13.1796875" style="2" bestFit="1" customWidth="1"/>
    <col min="5416" max="5416" width="13.54296875" style="2" bestFit="1" customWidth="1"/>
    <col min="5417" max="5417" width="13.1796875" style="2" bestFit="1" customWidth="1"/>
    <col min="5418" max="5418" width="13.54296875" style="2" bestFit="1" customWidth="1"/>
    <col min="5419" max="5419" width="13.1796875" style="2" bestFit="1" customWidth="1"/>
    <col min="5420" max="5420" width="13.54296875" style="2" bestFit="1" customWidth="1"/>
    <col min="5421" max="5421" width="13.1796875" style="2" bestFit="1" customWidth="1"/>
    <col min="5422" max="5422" width="13.54296875" style="2" bestFit="1" customWidth="1"/>
    <col min="5423" max="5423" width="13.1796875" style="2" bestFit="1" customWidth="1"/>
    <col min="5424" max="5632" width="11.453125" style="2"/>
    <col min="5633" max="5633" width="27.453125" style="2" customWidth="1"/>
    <col min="5634" max="5634" width="1.453125" style="2" customWidth="1"/>
    <col min="5635" max="5635" width="17.81640625" style="2" bestFit="1" customWidth="1"/>
    <col min="5636" max="5636" width="15.54296875" style="2" bestFit="1" customWidth="1"/>
    <col min="5637" max="5637" width="16.1796875" style="2" customWidth="1"/>
    <col min="5638" max="5638" width="1.26953125" style="2" customWidth="1"/>
    <col min="5639" max="5639" width="17.81640625" style="2" bestFit="1" customWidth="1"/>
    <col min="5640" max="5640" width="15.54296875" style="2" bestFit="1" customWidth="1"/>
    <col min="5641" max="5641" width="16.1796875" style="2" customWidth="1"/>
    <col min="5642" max="5642" width="1.7265625" style="2" customWidth="1"/>
    <col min="5643" max="5644" width="15.453125" style="2" bestFit="1" customWidth="1"/>
    <col min="5645" max="5645" width="18.453125" style="2" customWidth="1"/>
    <col min="5646" max="5646" width="1.26953125" style="2" customWidth="1"/>
    <col min="5647" max="5648" width="15.453125" style="2" bestFit="1" customWidth="1"/>
    <col min="5649" max="5649" width="18.453125" style="2" customWidth="1"/>
    <col min="5650" max="5650" width="1.26953125" style="2" customWidth="1"/>
    <col min="5651" max="5652" width="15.453125" style="2" bestFit="1" customWidth="1"/>
    <col min="5653" max="5653" width="18.453125" style="2" customWidth="1"/>
    <col min="5654" max="5654" width="1.26953125" style="2" customWidth="1"/>
    <col min="5655" max="5656" width="15.453125" style="2" customWidth="1"/>
    <col min="5657" max="5657" width="18.453125" style="2" customWidth="1"/>
    <col min="5658" max="5658" width="1.26953125" style="2" customWidth="1"/>
    <col min="5659" max="5666" width="11.453125" style="2" customWidth="1"/>
    <col min="5667" max="5669" width="18.7265625" style="2" bestFit="1" customWidth="1"/>
    <col min="5670" max="5670" width="13.54296875" style="2" bestFit="1" customWidth="1"/>
    <col min="5671" max="5671" width="13.1796875" style="2" bestFit="1" customWidth="1"/>
    <col min="5672" max="5672" width="13.54296875" style="2" bestFit="1" customWidth="1"/>
    <col min="5673" max="5673" width="13.1796875" style="2" bestFit="1" customWidth="1"/>
    <col min="5674" max="5674" width="13.54296875" style="2" bestFit="1" customWidth="1"/>
    <col min="5675" max="5675" width="13.1796875" style="2" bestFit="1" customWidth="1"/>
    <col min="5676" max="5676" width="13.54296875" style="2" bestFit="1" customWidth="1"/>
    <col min="5677" max="5677" width="13.1796875" style="2" bestFit="1" customWidth="1"/>
    <col min="5678" max="5678" width="13.54296875" style="2" bestFit="1" customWidth="1"/>
    <col min="5679" max="5679" width="13.1796875" style="2" bestFit="1" customWidth="1"/>
    <col min="5680" max="5888" width="11.453125" style="2"/>
    <col min="5889" max="5889" width="27.453125" style="2" customWidth="1"/>
    <col min="5890" max="5890" width="1.453125" style="2" customWidth="1"/>
    <col min="5891" max="5891" width="17.81640625" style="2" bestFit="1" customWidth="1"/>
    <col min="5892" max="5892" width="15.54296875" style="2" bestFit="1" customWidth="1"/>
    <col min="5893" max="5893" width="16.1796875" style="2" customWidth="1"/>
    <col min="5894" max="5894" width="1.26953125" style="2" customWidth="1"/>
    <col min="5895" max="5895" width="17.81640625" style="2" bestFit="1" customWidth="1"/>
    <col min="5896" max="5896" width="15.54296875" style="2" bestFit="1" customWidth="1"/>
    <col min="5897" max="5897" width="16.1796875" style="2" customWidth="1"/>
    <col min="5898" max="5898" width="1.7265625" style="2" customWidth="1"/>
    <col min="5899" max="5900" width="15.453125" style="2" bestFit="1" customWidth="1"/>
    <col min="5901" max="5901" width="18.453125" style="2" customWidth="1"/>
    <col min="5902" max="5902" width="1.26953125" style="2" customWidth="1"/>
    <col min="5903" max="5904" width="15.453125" style="2" bestFit="1" customWidth="1"/>
    <col min="5905" max="5905" width="18.453125" style="2" customWidth="1"/>
    <col min="5906" max="5906" width="1.26953125" style="2" customWidth="1"/>
    <col min="5907" max="5908" width="15.453125" style="2" bestFit="1" customWidth="1"/>
    <col min="5909" max="5909" width="18.453125" style="2" customWidth="1"/>
    <col min="5910" max="5910" width="1.26953125" style="2" customWidth="1"/>
    <col min="5911" max="5912" width="15.453125" style="2" customWidth="1"/>
    <col min="5913" max="5913" width="18.453125" style="2" customWidth="1"/>
    <col min="5914" max="5914" width="1.26953125" style="2" customWidth="1"/>
    <col min="5915" max="5922" width="11.453125" style="2" customWidth="1"/>
    <col min="5923" max="5925" width="18.7265625" style="2" bestFit="1" customWidth="1"/>
    <col min="5926" max="5926" width="13.54296875" style="2" bestFit="1" customWidth="1"/>
    <col min="5927" max="5927" width="13.1796875" style="2" bestFit="1" customWidth="1"/>
    <col min="5928" max="5928" width="13.54296875" style="2" bestFit="1" customWidth="1"/>
    <col min="5929" max="5929" width="13.1796875" style="2" bestFit="1" customWidth="1"/>
    <col min="5930" max="5930" width="13.54296875" style="2" bestFit="1" customWidth="1"/>
    <col min="5931" max="5931" width="13.1796875" style="2" bestFit="1" customWidth="1"/>
    <col min="5932" max="5932" width="13.54296875" style="2" bestFit="1" customWidth="1"/>
    <col min="5933" max="5933" width="13.1796875" style="2" bestFit="1" customWidth="1"/>
    <col min="5934" max="5934" width="13.54296875" style="2" bestFit="1" customWidth="1"/>
    <col min="5935" max="5935" width="13.1796875" style="2" bestFit="1" customWidth="1"/>
    <col min="5936" max="6144" width="11.453125" style="2"/>
    <col min="6145" max="6145" width="27.453125" style="2" customWidth="1"/>
    <col min="6146" max="6146" width="1.453125" style="2" customWidth="1"/>
    <col min="6147" max="6147" width="17.81640625" style="2" bestFit="1" customWidth="1"/>
    <col min="6148" max="6148" width="15.54296875" style="2" bestFit="1" customWidth="1"/>
    <col min="6149" max="6149" width="16.1796875" style="2" customWidth="1"/>
    <col min="6150" max="6150" width="1.26953125" style="2" customWidth="1"/>
    <col min="6151" max="6151" width="17.81640625" style="2" bestFit="1" customWidth="1"/>
    <col min="6152" max="6152" width="15.54296875" style="2" bestFit="1" customWidth="1"/>
    <col min="6153" max="6153" width="16.1796875" style="2" customWidth="1"/>
    <col min="6154" max="6154" width="1.7265625" style="2" customWidth="1"/>
    <col min="6155" max="6156" width="15.453125" style="2" bestFit="1" customWidth="1"/>
    <col min="6157" max="6157" width="18.453125" style="2" customWidth="1"/>
    <col min="6158" max="6158" width="1.26953125" style="2" customWidth="1"/>
    <col min="6159" max="6160" width="15.453125" style="2" bestFit="1" customWidth="1"/>
    <col min="6161" max="6161" width="18.453125" style="2" customWidth="1"/>
    <col min="6162" max="6162" width="1.26953125" style="2" customWidth="1"/>
    <col min="6163" max="6164" width="15.453125" style="2" bestFit="1" customWidth="1"/>
    <col min="6165" max="6165" width="18.453125" style="2" customWidth="1"/>
    <col min="6166" max="6166" width="1.26953125" style="2" customWidth="1"/>
    <col min="6167" max="6168" width="15.453125" style="2" customWidth="1"/>
    <col min="6169" max="6169" width="18.453125" style="2" customWidth="1"/>
    <col min="6170" max="6170" width="1.26953125" style="2" customWidth="1"/>
    <col min="6171" max="6178" width="11.453125" style="2" customWidth="1"/>
    <col min="6179" max="6181" width="18.7265625" style="2" bestFit="1" customWidth="1"/>
    <col min="6182" max="6182" width="13.54296875" style="2" bestFit="1" customWidth="1"/>
    <col min="6183" max="6183" width="13.1796875" style="2" bestFit="1" customWidth="1"/>
    <col min="6184" max="6184" width="13.54296875" style="2" bestFit="1" customWidth="1"/>
    <col min="6185" max="6185" width="13.1796875" style="2" bestFit="1" customWidth="1"/>
    <col min="6186" max="6186" width="13.54296875" style="2" bestFit="1" customWidth="1"/>
    <col min="6187" max="6187" width="13.1796875" style="2" bestFit="1" customWidth="1"/>
    <col min="6188" max="6188" width="13.54296875" style="2" bestFit="1" customWidth="1"/>
    <col min="6189" max="6189" width="13.1796875" style="2" bestFit="1" customWidth="1"/>
    <col min="6190" max="6190" width="13.54296875" style="2" bestFit="1" customWidth="1"/>
    <col min="6191" max="6191" width="13.1796875" style="2" bestFit="1" customWidth="1"/>
    <col min="6192" max="6400" width="11.453125" style="2"/>
    <col min="6401" max="6401" width="27.453125" style="2" customWidth="1"/>
    <col min="6402" max="6402" width="1.453125" style="2" customWidth="1"/>
    <col min="6403" max="6403" width="17.81640625" style="2" bestFit="1" customWidth="1"/>
    <col min="6404" max="6404" width="15.54296875" style="2" bestFit="1" customWidth="1"/>
    <col min="6405" max="6405" width="16.1796875" style="2" customWidth="1"/>
    <col min="6406" max="6406" width="1.26953125" style="2" customWidth="1"/>
    <col min="6407" max="6407" width="17.81640625" style="2" bestFit="1" customWidth="1"/>
    <col min="6408" max="6408" width="15.54296875" style="2" bestFit="1" customWidth="1"/>
    <col min="6409" max="6409" width="16.1796875" style="2" customWidth="1"/>
    <col min="6410" max="6410" width="1.7265625" style="2" customWidth="1"/>
    <col min="6411" max="6412" width="15.453125" style="2" bestFit="1" customWidth="1"/>
    <col min="6413" max="6413" width="18.453125" style="2" customWidth="1"/>
    <col min="6414" max="6414" width="1.26953125" style="2" customWidth="1"/>
    <col min="6415" max="6416" width="15.453125" style="2" bestFit="1" customWidth="1"/>
    <col min="6417" max="6417" width="18.453125" style="2" customWidth="1"/>
    <col min="6418" max="6418" width="1.26953125" style="2" customWidth="1"/>
    <col min="6419" max="6420" width="15.453125" style="2" bestFit="1" customWidth="1"/>
    <col min="6421" max="6421" width="18.453125" style="2" customWidth="1"/>
    <col min="6422" max="6422" width="1.26953125" style="2" customWidth="1"/>
    <col min="6423" max="6424" width="15.453125" style="2" customWidth="1"/>
    <col min="6425" max="6425" width="18.453125" style="2" customWidth="1"/>
    <col min="6426" max="6426" width="1.26953125" style="2" customWidth="1"/>
    <col min="6427" max="6434" width="11.453125" style="2" customWidth="1"/>
    <col min="6435" max="6437" width="18.7265625" style="2" bestFit="1" customWidth="1"/>
    <col min="6438" max="6438" width="13.54296875" style="2" bestFit="1" customWidth="1"/>
    <col min="6439" max="6439" width="13.1796875" style="2" bestFit="1" customWidth="1"/>
    <col min="6440" max="6440" width="13.54296875" style="2" bestFit="1" customWidth="1"/>
    <col min="6441" max="6441" width="13.1796875" style="2" bestFit="1" customWidth="1"/>
    <col min="6442" max="6442" width="13.54296875" style="2" bestFit="1" customWidth="1"/>
    <col min="6443" max="6443" width="13.1796875" style="2" bestFit="1" customWidth="1"/>
    <col min="6444" max="6444" width="13.54296875" style="2" bestFit="1" customWidth="1"/>
    <col min="6445" max="6445" width="13.1796875" style="2" bestFit="1" customWidth="1"/>
    <col min="6446" max="6446" width="13.54296875" style="2" bestFit="1" customWidth="1"/>
    <col min="6447" max="6447" width="13.1796875" style="2" bestFit="1" customWidth="1"/>
    <col min="6448" max="6656" width="11.453125" style="2"/>
    <col min="6657" max="6657" width="27.453125" style="2" customWidth="1"/>
    <col min="6658" max="6658" width="1.453125" style="2" customWidth="1"/>
    <col min="6659" max="6659" width="17.81640625" style="2" bestFit="1" customWidth="1"/>
    <col min="6660" max="6660" width="15.54296875" style="2" bestFit="1" customWidth="1"/>
    <col min="6661" max="6661" width="16.1796875" style="2" customWidth="1"/>
    <col min="6662" max="6662" width="1.26953125" style="2" customWidth="1"/>
    <col min="6663" max="6663" width="17.81640625" style="2" bestFit="1" customWidth="1"/>
    <col min="6664" max="6664" width="15.54296875" style="2" bestFit="1" customWidth="1"/>
    <col min="6665" max="6665" width="16.1796875" style="2" customWidth="1"/>
    <col min="6666" max="6666" width="1.7265625" style="2" customWidth="1"/>
    <col min="6667" max="6668" width="15.453125" style="2" bestFit="1" customWidth="1"/>
    <col min="6669" max="6669" width="18.453125" style="2" customWidth="1"/>
    <col min="6670" max="6670" width="1.26953125" style="2" customWidth="1"/>
    <col min="6671" max="6672" width="15.453125" style="2" bestFit="1" customWidth="1"/>
    <col min="6673" max="6673" width="18.453125" style="2" customWidth="1"/>
    <col min="6674" max="6674" width="1.26953125" style="2" customWidth="1"/>
    <col min="6675" max="6676" width="15.453125" style="2" bestFit="1" customWidth="1"/>
    <col min="6677" max="6677" width="18.453125" style="2" customWidth="1"/>
    <col min="6678" max="6678" width="1.26953125" style="2" customWidth="1"/>
    <col min="6679" max="6680" width="15.453125" style="2" customWidth="1"/>
    <col min="6681" max="6681" width="18.453125" style="2" customWidth="1"/>
    <col min="6682" max="6682" width="1.26953125" style="2" customWidth="1"/>
    <col min="6683" max="6690" width="11.453125" style="2" customWidth="1"/>
    <col min="6691" max="6693" width="18.7265625" style="2" bestFit="1" customWidth="1"/>
    <col min="6694" max="6694" width="13.54296875" style="2" bestFit="1" customWidth="1"/>
    <col min="6695" max="6695" width="13.1796875" style="2" bestFit="1" customWidth="1"/>
    <col min="6696" max="6696" width="13.54296875" style="2" bestFit="1" customWidth="1"/>
    <col min="6697" max="6697" width="13.1796875" style="2" bestFit="1" customWidth="1"/>
    <col min="6698" max="6698" width="13.54296875" style="2" bestFit="1" customWidth="1"/>
    <col min="6699" max="6699" width="13.1796875" style="2" bestFit="1" customWidth="1"/>
    <col min="6700" max="6700" width="13.54296875" style="2" bestFit="1" customWidth="1"/>
    <col min="6701" max="6701" width="13.1796875" style="2" bestFit="1" customWidth="1"/>
    <col min="6702" max="6702" width="13.54296875" style="2" bestFit="1" customWidth="1"/>
    <col min="6703" max="6703" width="13.1796875" style="2" bestFit="1" customWidth="1"/>
    <col min="6704" max="6912" width="11.453125" style="2"/>
    <col min="6913" max="6913" width="27.453125" style="2" customWidth="1"/>
    <col min="6914" max="6914" width="1.453125" style="2" customWidth="1"/>
    <col min="6915" max="6915" width="17.81640625" style="2" bestFit="1" customWidth="1"/>
    <col min="6916" max="6916" width="15.54296875" style="2" bestFit="1" customWidth="1"/>
    <col min="6917" max="6917" width="16.1796875" style="2" customWidth="1"/>
    <col min="6918" max="6918" width="1.26953125" style="2" customWidth="1"/>
    <col min="6919" max="6919" width="17.81640625" style="2" bestFit="1" customWidth="1"/>
    <col min="6920" max="6920" width="15.54296875" style="2" bestFit="1" customWidth="1"/>
    <col min="6921" max="6921" width="16.1796875" style="2" customWidth="1"/>
    <col min="6922" max="6922" width="1.7265625" style="2" customWidth="1"/>
    <col min="6923" max="6924" width="15.453125" style="2" bestFit="1" customWidth="1"/>
    <col min="6925" max="6925" width="18.453125" style="2" customWidth="1"/>
    <col min="6926" max="6926" width="1.26953125" style="2" customWidth="1"/>
    <col min="6927" max="6928" width="15.453125" style="2" bestFit="1" customWidth="1"/>
    <col min="6929" max="6929" width="18.453125" style="2" customWidth="1"/>
    <col min="6930" max="6930" width="1.26953125" style="2" customWidth="1"/>
    <col min="6931" max="6932" width="15.453125" style="2" bestFit="1" customWidth="1"/>
    <col min="6933" max="6933" width="18.453125" style="2" customWidth="1"/>
    <col min="6934" max="6934" width="1.26953125" style="2" customWidth="1"/>
    <col min="6935" max="6936" width="15.453125" style="2" customWidth="1"/>
    <col min="6937" max="6937" width="18.453125" style="2" customWidth="1"/>
    <col min="6938" max="6938" width="1.26953125" style="2" customWidth="1"/>
    <col min="6939" max="6946" width="11.453125" style="2" customWidth="1"/>
    <col min="6947" max="6949" width="18.7265625" style="2" bestFit="1" customWidth="1"/>
    <col min="6950" max="6950" width="13.54296875" style="2" bestFit="1" customWidth="1"/>
    <col min="6951" max="6951" width="13.1796875" style="2" bestFit="1" customWidth="1"/>
    <col min="6952" max="6952" width="13.54296875" style="2" bestFit="1" customWidth="1"/>
    <col min="6953" max="6953" width="13.1796875" style="2" bestFit="1" customWidth="1"/>
    <col min="6954" max="6954" width="13.54296875" style="2" bestFit="1" customWidth="1"/>
    <col min="6955" max="6955" width="13.1796875" style="2" bestFit="1" customWidth="1"/>
    <col min="6956" max="6956" width="13.54296875" style="2" bestFit="1" customWidth="1"/>
    <col min="6957" max="6957" width="13.1796875" style="2" bestFit="1" customWidth="1"/>
    <col min="6958" max="6958" width="13.54296875" style="2" bestFit="1" customWidth="1"/>
    <col min="6959" max="6959" width="13.1796875" style="2" bestFit="1" customWidth="1"/>
    <col min="6960" max="7168" width="11.453125" style="2"/>
    <col min="7169" max="7169" width="27.453125" style="2" customWidth="1"/>
    <col min="7170" max="7170" width="1.453125" style="2" customWidth="1"/>
    <col min="7171" max="7171" width="17.81640625" style="2" bestFit="1" customWidth="1"/>
    <col min="7172" max="7172" width="15.54296875" style="2" bestFit="1" customWidth="1"/>
    <col min="7173" max="7173" width="16.1796875" style="2" customWidth="1"/>
    <col min="7174" max="7174" width="1.26953125" style="2" customWidth="1"/>
    <col min="7175" max="7175" width="17.81640625" style="2" bestFit="1" customWidth="1"/>
    <col min="7176" max="7176" width="15.54296875" style="2" bestFit="1" customWidth="1"/>
    <col min="7177" max="7177" width="16.1796875" style="2" customWidth="1"/>
    <col min="7178" max="7178" width="1.7265625" style="2" customWidth="1"/>
    <col min="7179" max="7180" width="15.453125" style="2" bestFit="1" customWidth="1"/>
    <col min="7181" max="7181" width="18.453125" style="2" customWidth="1"/>
    <col min="7182" max="7182" width="1.26953125" style="2" customWidth="1"/>
    <col min="7183" max="7184" width="15.453125" style="2" bestFit="1" customWidth="1"/>
    <col min="7185" max="7185" width="18.453125" style="2" customWidth="1"/>
    <col min="7186" max="7186" width="1.26953125" style="2" customWidth="1"/>
    <col min="7187" max="7188" width="15.453125" style="2" bestFit="1" customWidth="1"/>
    <col min="7189" max="7189" width="18.453125" style="2" customWidth="1"/>
    <col min="7190" max="7190" width="1.26953125" style="2" customWidth="1"/>
    <col min="7191" max="7192" width="15.453125" style="2" customWidth="1"/>
    <col min="7193" max="7193" width="18.453125" style="2" customWidth="1"/>
    <col min="7194" max="7194" width="1.26953125" style="2" customWidth="1"/>
    <col min="7195" max="7202" width="11.453125" style="2" customWidth="1"/>
    <col min="7203" max="7205" width="18.7265625" style="2" bestFit="1" customWidth="1"/>
    <col min="7206" max="7206" width="13.54296875" style="2" bestFit="1" customWidth="1"/>
    <col min="7207" max="7207" width="13.1796875" style="2" bestFit="1" customWidth="1"/>
    <col min="7208" max="7208" width="13.54296875" style="2" bestFit="1" customWidth="1"/>
    <col min="7209" max="7209" width="13.1796875" style="2" bestFit="1" customWidth="1"/>
    <col min="7210" max="7210" width="13.54296875" style="2" bestFit="1" customWidth="1"/>
    <col min="7211" max="7211" width="13.1796875" style="2" bestFit="1" customWidth="1"/>
    <col min="7212" max="7212" width="13.54296875" style="2" bestFit="1" customWidth="1"/>
    <col min="7213" max="7213" width="13.1796875" style="2" bestFit="1" customWidth="1"/>
    <col min="7214" max="7214" width="13.54296875" style="2" bestFit="1" customWidth="1"/>
    <col min="7215" max="7215" width="13.1796875" style="2" bestFit="1" customWidth="1"/>
    <col min="7216" max="7424" width="11.453125" style="2"/>
    <col min="7425" max="7425" width="27.453125" style="2" customWidth="1"/>
    <col min="7426" max="7426" width="1.453125" style="2" customWidth="1"/>
    <col min="7427" max="7427" width="17.81640625" style="2" bestFit="1" customWidth="1"/>
    <col min="7428" max="7428" width="15.54296875" style="2" bestFit="1" customWidth="1"/>
    <col min="7429" max="7429" width="16.1796875" style="2" customWidth="1"/>
    <col min="7430" max="7430" width="1.26953125" style="2" customWidth="1"/>
    <col min="7431" max="7431" width="17.81640625" style="2" bestFit="1" customWidth="1"/>
    <col min="7432" max="7432" width="15.54296875" style="2" bestFit="1" customWidth="1"/>
    <col min="7433" max="7433" width="16.1796875" style="2" customWidth="1"/>
    <col min="7434" max="7434" width="1.7265625" style="2" customWidth="1"/>
    <col min="7435" max="7436" width="15.453125" style="2" bestFit="1" customWidth="1"/>
    <col min="7437" max="7437" width="18.453125" style="2" customWidth="1"/>
    <col min="7438" max="7438" width="1.26953125" style="2" customWidth="1"/>
    <col min="7439" max="7440" width="15.453125" style="2" bestFit="1" customWidth="1"/>
    <col min="7441" max="7441" width="18.453125" style="2" customWidth="1"/>
    <col min="7442" max="7442" width="1.26953125" style="2" customWidth="1"/>
    <col min="7443" max="7444" width="15.453125" style="2" bestFit="1" customWidth="1"/>
    <col min="7445" max="7445" width="18.453125" style="2" customWidth="1"/>
    <col min="7446" max="7446" width="1.26953125" style="2" customWidth="1"/>
    <col min="7447" max="7448" width="15.453125" style="2" customWidth="1"/>
    <col min="7449" max="7449" width="18.453125" style="2" customWidth="1"/>
    <col min="7450" max="7450" width="1.26953125" style="2" customWidth="1"/>
    <col min="7451" max="7458" width="11.453125" style="2" customWidth="1"/>
    <col min="7459" max="7461" width="18.7265625" style="2" bestFit="1" customWidth="1"/>
    <col min="7462" max="7462" width="13.54296875" style="2" bestFit="1" customWidth="1"/>
    <col min="7463" max="7463" width="13.1796875" style="2" bestFit="1" customWidth="1"/>
    <col min="7464" max="7464" width="13.54296875" style="2" bestFit="1" customWidth="1"/>
    <col min="7465" max="7465" width="13.1796875" style="2" bestFit="1" customWidth="1"/>
    <col min="7466" max="7466" width="13.54296875" style="2" bestFit="1" customWidth="1"/>
    <col min="7467" max="7467" width="13.1796875" style="2" bestFit="1" customWidth="1"/>
    <col min="7468" max="7468" width="13.54296875" style="2" bestFit="1" customWidth="1"/>
    <col min="7469" max="7469" width="13.1796875" style="2" bestFit="1" customWidth="1"/>
    <col min="7470" max="7470" width="13.54296875" style="2" bestFit="1" customWidth="1"/>
    <col min="7471" max="7471" width="13.1796875" style="2" bestFit="1" customWidth="1"/>
    <col min="7472" max="7680" width="11.453125" style="2"/>
    <col min="7681" max="7681" width="27.453125" style="2" customWidth="1"/>
    <col min="7682" max="7682" width="1.453125" style="2" customWidth="1"/>
    <col min="7683" max="7683" width="17.81640625" style="2" bestFit="1" customWidth="1"/>
    <col min="7684" max="7684" width="15.54296875" style="2" bestFit="1" customWidth="1"/>
    <col min="7685" max="7685" width="16.1796875" style="2" customWidth="1"/>
    <col min="7686" max="7686" width="1.26953125" style="2" customWidth="1"/>
    <col min="7687" max="7687" width="17.81640625" style="2" bestFit="1" customWidth="1"/>
    <col min="7688" max="7688" width="15.54296875" style="2" bestFit="1" customWidth="1"/>
    <col min="7689" max="7689" width="16.1796875" style="2" customWidth="1"/>
    <col min="7690" max="7690" width="1.7265625" style="2" customWidth="1"/>
    <col min="7691" max="7692" width="15.453125" style="2" bestFit="1" customWidth="1"/>
    <col min="7693" max="7693" width="18.453125" style="2" customWidth="1"/>
    <col min="7694" max="7694" width="1.26953125" style="2" customWidth="1"/>
    <col min="7695" max="7696" width="15.453125" style="2" bestFit="1" customWidth="1"/>
    <col min="7697" max="7697" width="18.453125" style="2" customWidth="1"/>
    <col min="7698" max="7698" width="1.26953125" style="2" customWidth="1"/>
    <col min="7699" max="7700" width="15.453125" style="2" bestFit="1" customWidth="1"/>
    <col min="7701" max="7701" width="18.453125" style="2" customWidth="1"/>
    <col min="7702" max="7702" width="1.26953125" style="2" customWidth="1"/>
    <col min="7703" max="7704" width="15.453125" style="2" customWidth="1"/>
    <col min="7705" max="7705" width="18.453125" style="2" customWidth="1"/>
    <col min="7706" max="7706" width="1.26953125" style="2" customWidth="1"/>
    <col min="7707" max="7714" width="11.453125" style="2" customWidth="1"/>
    <col min="7715" max="7717" width="18.7265625" style="2" bestFit="1" customWidth="1"/>
    <col min="7718" max="7718" width="13.54296875" style="2" bestFit="1" customWidth="1"/>
    <col min="7719" max="7719" width="13.1796875" style="2" bestFit="1" customWidth="1"/>
    <col min="7720" max="7720" width="13.54296875" style="2" bestFit="1" customWidth="1"/>
    <col min="7721" max="7721" width="13.1796875" style="2" bestFit="1" customWidth="1"/>
    <col min="7722" max="7722" width="13.54296875" style="2" bestFit="1" customWidth="1"/>
    <col min="7723" max="7723" width="13.1796875" style="2" bestFit="1" customWidth="1"/>
    <col min="7724" max="7724" width="13.54296875" style="2" bestFit="1" customWidth="1"/>
    <col min="7725" max="7725" width="13.1796875" style="2" bestFit="1" customWidth="1"/>
    <col min="7726" max="7726" width="13.54296875" style="2" bestFit="1" customWidth="1"/>
    <col min="7727" max="7727" width="13.1796875" style="2" bestFit="1" customWidth="1"/>
    <col min="7728" max="7936" width="11.453125" style="2"/>
    <col min="7937" max="7937" width="27.453125" style="2" customWidth="1"/>
    <col min="7938" max="7938" width="1.453125" style="2" customWidth="1"/>
    <col min="7939" max="7939" width="17.81640625" style="2" bestFit="1" customWidth="1"/>
    <col min="7940" max="7940" width="15.54296875" style="2" bestFit="1" customWidth="1"/>
    <col min="7941" max="7941" width="16.1796875" style="2" customWidth="1"/>
    <col min="7942" max="7942" width="1.26953125" style="2" customWidth="1"/>
    <col min="7943" max="7943" width="17.81640625" style="2" bestFit="1" customWidth="1"/>
    <col min="7944" max="7944" width="15.54296875" style="2" bestFit="1" customWidth="1"/>
    <col min="7945" max="7945" width="16.1796875" style="2" customWidth="1"/>
    <col min="7946" max="7946" width="1.7265625" style="2" customWidth="1"/>
    <col min="7947" max="7948" width="15.453125" style="2" bestFit="1" customWidth="1"/>
    <col min="7949" max="7949" width="18.453125" style="2" customWidth="1"/>
    <col min="7950" max="7950" width="1.26953125" style="2" customWidth="1"/>
    <col min="7951" max="7952" width="15.453125" style="2" bestFit="1" customWidth="1"/>
    <col min="7953" max="7953" width="18.453125" style="2" customWidth="1"/>
    <col min="7954" max="7954" width="1.26953125" style="2" customWidth="1"/>
    <col min="7955" max="7956" width="15.453125" style="2" bestFit="1" customWidth="1"/>
    <col min="7957" max="7957" width="18.453125" style="2" customWidth="1"/>
    <col min="7958" max="7958" width="1.26953125" style="2" customWidth="1"/>
    <col min="7959" max="7960" width="15.453125" style="2" customWidth="1"/>
    <col min="7961" max="7961" width="18.453125" style="2" customWidth="1"/>
    <col min="7962" max="7962" width="1.26953125" style="2" customWidth="1"/>
    <col min="7963" max="7970" width="11.453125" style="2" customWidth="1"/>
    <col min="7971" max="7973" width="18.7265625" style="2" bestFit="1" customWidth="1"/>
    <col min="7974" max="7974" width="13.54296875" style="2" bestFit="1" customWidth="1"/>
    <col min="7975" max="7975" width="13.1796875" style="2" bestFit="1" customWidth="1"/>
    <col min="7976" max="7976" width="13.54296875" style="2" bestFit="1" customWidth="1"/>
    <col min="7977" max="7977" width="13.1796875" style="2" bestFit="1" customWidth="1"/>
    <col min="7978" max="7978" width="13.54296875" style="2" bestFit="1" customWidth="1"/>
    <col min="7979" max="7979" width="13.1796875" style="2" bestFit="1" customWidth="1"/>
    <col min="7980" max="7980" width="13.54296875" style="2" bestFit="1" customWidth="1"/>
    <col min="7981" max="7981" width="13.1796875" style="2" bestFit="1" customWidth="1"/>
    <col min="7982" max="7982" width="13.54296875" style="2" bestFit="1" customWidth="1"/>
    <col min="7983" max="7983" width="13.1796875" style="2" bestFit="1" customWidth="1"/>
    <col min="7984" max="8192" width="11.453125" style="2"/>
    <col min="8193" max="8193" width="27.453125" style="2" customWidth="1"/>
    <col min="8194" max="8194" width="1.453125" style="2" customWidth="1"/>
    <col min="8195" max="8195" width="17.81640625" style="2" bestFit="1" customWidth="1"/>
    <col min="8196" max="8196" width="15.54296875" style="2" bestFit="1" customWidth="1"/>
    <col min="8197" max="8197" width="16.1796875" style="2" customWidth="1"/>
    <col min="8198" max="8198" width="1.26953125" style="2" customWidth="1"/>
    <col min="8199" max="8199" width="17.81640625" style="2" bestFit="1" customWidth="1"/>
    <col min="8200" max="8200" width="15.54296875" style="2" bestFit="1" customWidth="1"/>
    <col min="8201" max="8201" width="16.1796875" style="2" customWidth="1"/>
    <col min="8202" max="8202" width="1.7265625" style="2" customWidth="1"/>
    <col min="8203" max="8204" width="15.453125" style="2" bestFit="1" customWidth="1"/>
    <col min="8205" max="8205" width="18.453125" style="2" customWidth="1"/>
    <col min="8206" max="8206" width="1.26953125" style="2" customWidth="1"/>
    <col min="8207" max="8208" width="15.453125" style="2" bestFit="1" customWidth="1"/>
    <col min="8209" max="8209" width="18.453125" style="2" customWidth="1"/>
    <col min="8210" max="8210" width="1.26953125" style="2" customWidth="1"/>
    <col min="8211" max="8212" width="15.453125" style="2" bestFit="1" customWidth="1"/>
    <col min="8213" max="8213" width="18.453125" style="2" customWidth="1"/>
    <col min="8214" max="8214" width="1.26953125" style="2" customWidth="1"/>
    <col min="8215" max="8216" width="15.453125" style="2" customWidth="1"/>
    <col min="8217" max="8217" width="18.453125" style="2" customWidth="1"/>
    <col min="8218" max="8218" width="1.26953125" style="2" customWidth="1"/>
    <col min="8219" max="8226" width="11.453125" style="2" customWidth="1"/>
    <col min="8227" max="8229" width="18.7265625" style="2" bestFit="1" customWidth="1"/>
    <col min="8230" max="8230" width="13.54296875" style="2" bestFit="1" customWidth="1"/>
    <col min="8231" max="8231" width="13.1796875" style="2" bestFit="1" customWidth="1"/>
    <col min="8232" max="8232" width="13.54296875" style="2" bestFit="1" customWidth="1"/>
    <col min="8233" max="8233" width="13.1796875" style="2" bestFit="1" customWidth="1"/>
    <col min="8234" max="8234" width="13.54296875" style="2" bestFit="1" customWidth="1"/>
    <col min="8235" max="8235" width="13.1796875" style="2" bestFit="1" customWidth="1"/>
    <col min="8236" max="8236" width="13.54296875" style="2" bestFit="1" customWidth="1"/>
    <col min="8237" max="8237" width="13.1796875" style="2" bestFit="1" customWidth="1"/>
    <col min="8238" max="8238" width="13.54296875" style="2" bestFit="1" customWidth="1"/>
    <col min="8239" max="8239" width="13.1796875" style="2" bestFit="1" customWidth="1"/>
    <col min="8240" max="8448" width="11.453125" style="2"/>
    <col min="8449" max="8449" width="27.453125" style="2" customWidth="1"/>
    <col min="8450" max="8450" width="1.453125" style="2" customWidth="1"/>
    <col min="8451" max="8451" width="17.81640625" style="2" bestFit="1" customWidth="1"/>
    <col min="8452" max="8452" width="15.54296875" style="2" bestFit="1" customWidth="1"/>
    <col min="8453" max="8453" width="16.1796875" style="2" customWidth="1"/>
    <col min="8454" max="8454" width="1.26953125" style="2" customWidth="1"/>
    <col min="8455" max="8455" width="17.81640625" style="2" bestFit="1" customWidth="1"/>
    <col min="8456" max="8456" width="15.54296875" style="2" bestFit="1" customWidth="1"/>
    <col min="8457" max="8457" width="16.1796875" style="2" customWidth="1"/>
    <col min="8458" max="8458" width="1.7265625" style="2" customWidth="1"/>
    <col min="8459" max="8460" width="15.453125" style="2" bestFit="1" customWidth="1"/>
    <col min="8461" max="8461" width="18.453125" style="2" customWidth="1"/>
    <col min="8462" max="8462" width="1.26953125" style="2" customWidth="1"/>
    <col min="8463" max="8464" width="15.453125" style="2" bestFit="1" customWidth="1"/>
    <col min="8465" max="8465" width="18.453125" style="2" customWidth="1"/>
    <col min="8466" max="8466" width="1.26953125" style="2" customWidth="1"/>
    <col min="8467" max="8468" width="15.453125" style="2" bestFit="1" customWidth="1"/>
    <col min="8469" max="8469" width="18.453125" style="2" customWidth="1"/>
    <col min="8470" max="8470" width="1.26953125" style="2" customWidth="1"/>
    <col min="8471" max="8472" width="15.453125" style="2" customWidth="1"/>
    <col min="8473" max="8473" width="18.453125" style="2" customWidth="1"/>
    <col min="8474" max="8474" width="1.26953125" style="2" customWidth="1"/>
    <col min="8475" max="8482" width="11.453125" style="2" customWidth="1"/>
    <col min="8483" max="8485" width="18.7265625" style="2" bestFit="1" customWidth="1"/>
    <col min="8486" max="8486" width="13.54296875" style="2" bestFit="1" customWidth="1"/>
    <col min="8487" max="8487" width="13.1796875" style="2" bestFit="1" customWidth="1"/>
    <col min="8488" max="8488" width="13.54296875" style="2" bestFit="1" customWidth="1"/>
    <col min="8489" max="8489" width="13.1796875" style="2" bestFit="1" customWidth="1"/>
    <col min="8490" max="8490" width="13.54296875" style="2" bestFit="1" customWidth="1"/>
    <col min="8491" max="8491" width="13.1796875" style="2" bestFit="1" customWidth="1"/>
    <col min="8492" max="8492" width="13.54296875" style="2" bestFit="1" customWidth="1"/>
    <col min="8493" max="8493" width="13.1796875" style="2" bestFit="1" customWidth="1"/>
    <col min="8494" max="8494" width="13.54296875" style="2" bestFit="1" customWidth="1"/>
    <col min="8495" max="8495" width="13.1796875" style="2" bestFit="1" customWidth="1"/>
    <col min="8496" max="8704" width="11.453125" style="2"/>
    <col min="8705" max="8705" width="27.453125" style="2" customWidth="1"/>
    <col min="8706" max="8706" width="1.453125" style="2" customWidth="1"/>
    <col min="8707" max="8707" width="17.81640625" style="2" bestFit="1" customWidth="1"/>
    <col min="8708" max="8708" width="15.54296875" style="2" bestFit="1" customWidth="1"/>
    <col min="8709" max="8709" width="16.1796875" style="2" customWidth="1"/>
    <col min="8710" max="8710" width="1.26953125" style="2" customWidth="1"/>
    <col min="8711" max="8711" width="17.81640625" style="2" bestFit="1" customWidth="1"/>
    <col min="8712" max="8712" width="15.54296875" style="2" bestFit="1" customWidth="1"/>
    <col min="8713" max="8713" width="16.1796875" style="2" customWidth="1"/>
    <col min="8714" max="8714" width="1.7265625" style="2" customWidth="1"/>
    <col min="8715" max="8716" width="15.453125" style="2" bestFit="1" customWidth="1"/>
    <col min="8717" max="8717" width="18.453125" style="2" customWidth="1"/>
    <col min="8718" max="8718" width="1.26953125" style="2" customWidth="1"/>
    <col min="8719" max="8720" width="15.453125" style="2" bestFit="1" customWidth="1"/>
    <col min="8721" max="8721" width="18.453125" style="2" customWidth="1"/>
    <col min="8722" max="8722" width="1.26953125" style="2" customWidth="1"/>
    <col min="8723" max="8724" width="15.453125" style="2" bestFit="1" customWidth="1"/>
    <col min="8725" max="8725" width="18.453125" style="2" customWidth="1"/>
    <col min="8726" max="8726" width="1.26953125" style="2" customWidth="1"/>
    <col min="8727" max="8728" width="15.453125" style="2" customWidth="1"/>
    <col min="8729" max="8729" width="18.453125" style="2" customWidth="1"/>
    <col min="8730" max="8730" width="1.26953125" style="2" customWidth="1"/>
    <col min="8731" max="8738" width="11.453125" style="2" customWidth="1"/>
    <col min="8739" max="8741" width="18.7265625" style="2" bestFit="1" customWidth="1"/>
    <col min="8742" max="8742" width="13.54296875" style="2" bestFit="1" customWidth="1"/>
    <col min="8743" max="8743" width="13.1796875" style="2" bestFit="1" customWidth="1"/>
    <col min="8744" max="8744" width="13.54296875" style="2" bestFit="1" customWidth="1"/>
    <col min="8745" max="8745" width="13.1796875" style="2" bestFit="1" customWidth="1"/>
    <col min="8746" max="8746" width="13.54296875" style="2" bestFit="1" customWidth="1"/>
    <col min="8747" max="8747" width="13.1796875" style="2" bestFit="1" customWidth="1"/>
    <col min="8748" max="8748" width="13.54296875" style="2" bestFit="1" customWidth="1"/>
    <col min="8749" max="8749" width="13.1796875" style="2" bestFit="1" customWidth="1"/>
    <col min="8750" max="8750" width="13.54296875" style="2" bestFit="1" customWidth="1"/>
    <col min="8751" max="8751" width="13.1796875" style="2" bestFit="1" customWidth="1"/>
    <col min="8752" max="8960" width="11.453125" style="2"/>
    <col min="8961" max="8961" width="27.453125" style="2" customWidth="1"/>
    <col min="8962" max="8962" width="1.453125" style="2" customWidth="1"/>
    <col min="8963" max="8963" width="17.81640625" style="2" bestFit="1" customWidth="1"/>
    <col min="8964" max="8964" width="15.54296875" style="2" bestFit="1" customWidth="1"/>
    <col min="8965" max="8965" width="16.1796875" style="2" customWidth="1"/>
    <col min="8966" max="8966" width="1.26953125" style="2" customWidth="1"/>
    <col min="8967" max="8967" width="17.81640625" style="2" bestFit="1" customWidth="1"/>
    <col min="8968" max="8968" width="15.54296875" style="2" bestFit="1" customWidth="1"/>
    <col min="8969" max="8969" width="16.1796875" style="2" customWidth="1"/>
    <col min="8970" max="8970" width="1.7265625" style="2" customWidth="1"/>
    <col min="8971" max="8972" width="15.453125" style="2" bestFit="1" customWidth="1"/>
    <col min="8973" max="8973" width="18.453125" style="2" customWidth="1"/>
    <col min="8974" max="8974" width="1.26953125" style="2" customWidth="1"/>
    <col min="8975" max="8976" width="15.453125" style="2" bestFit="1" customWidth="1"/>
    <col min="8977" max="8977" width="18.453125" style="2" customWidth="1"/>
    <col min="8978" max="8978" width="1.26953125" style="2" customWidth="1"/>
    <col min="8979" max="8980" width="15.453125" style="2" bestFit="1" customWidth="1"/>
    <col min="8981" max="8981" width="18.453125" style="2" customWidth="1"/>
    <col min="8982" max="8982" width="1.26953125" style="2" customWidth="1"/>
    <col min="8983" max="8984" width="15.453125" style="2" customWidth="1"/>
    <col min="8985" max="8985" width="18.453125" style="2" customWidth="1"/>
    <col min="8986" max="8986" width="1.26953125" style="2" customWidth="1"/>
    <col min="8987" max="8994" width="11.453125" style="2" customWidth="1"/>
    <col min="8995" max="8997" width="18.7265625" style="2" bestFit="1" customWidth="1"/>
    <col min="8998" max="8998" width="13.54296875" style="2" bestFit="1" customWidth="1"/>
    <col min="8999" max="8999" width="13.1796875" style="2" bestFit="1" customWidth="1"/>
    <col min="9000" max="9000" width="13.54296875" style="2" bestFit="1" customWidth="1"/>
    <col min="9001" max="9001" width="13.1796875" style="2" bestFit="1" customWidth="1"/>
    <col min="9002" max="9002" width="13.54296875" style="2" bestFit="1" customWidth="1"/>
    <col min="9003" max="9003" width="13.1796875" style="2" bestFit="1" customWidth="1"/>
    <col min="9004" max="9004" width="13.54296875" style="2" bestFit="1" customWidth="1"/>
    <col min="9005" max="9005" width="13.1796875" style="2" bestFit="1" customWidth="1"/>
    <col min="9006" max="9006" width="13.54296875" style="2" bestFit="1" customWidth="1"/>
    <col min="9007" max="9007" width="13.1796875" style="2" bestFit="1" customWidth="1"/>
    <col min="9008" max="9216" width="11.453125" style="2"/>
    <col min="9217" max="9217" width="27.453125" style="2" customWidth="1"/>
    <col min="9218" max="9218" width="1.453125" style="2" customWidth="1"/>
    <col min="9219" max="9219" width="17.81640625" style="2" bestFit="1" customWidth="1"/>
    <col min="9220" max="9220" width="15.54296875" style="2" bestFit="1" customWidth="1"/>
    <col min="9221" max="9221" width="16.1796875" style="2" customWidth="1"/>
    <col min="9222" max="9222" width="1.26953125" style="2" customWidth="1"/>
    <col min="9223" max="9223" width="17.81640625" style="2" bestFit="1" customWidth="1"/>
    <col min="9224" max="9224" width="15.54296875" style="2" bestFit="1" customWidth="1"/>
    <col min="9225" max="9225" width="16.1796875" style="2" customWidth="1"/>
    <col min="9226" max="9226" width="1.7265625" style="2" customWidth="1"/>
    <col min="9227" max="9228" width="15.453125" style="2" bestFit="1" customWidth="1"/>
    <col min="9229" max="9229" width="18.453125" style="2" customWidth="1"/>
    <col min="9230" max="9230" width="1.26953125" style="2" customWidth="1"/>
    <col min="9231" max="9232" width="15.453125" style="2" bestFit="1" customWidth="1"/>
    <col min="9233" max="9233" width="18.453125" style="2" customWidth="1"/>
    <col min="9234" max="9234" width="1.26953125" style="2" customWidth="1"/>
    <col min="9235" max="9236" width="15.453125" style="2" bestFit="1" customWidth="1"/>
    <col min="9237" max="9237" width="18.453125" style="2" customWidth="1"/>
    <col min="9238" max="9238" width="1.26953125" style="2" customWidth="1"/>
    <col min="9239" max="9240" width="15.453125" style="2" customWidth="1"/>
    <col min="9241" max="9241" width="18.453125" style="2" customWidth="1"/>
    <col min="9242" max="9242" width="1.26953125" style="2" customWidth="1"/>
    <col min="9243" max="9250" width="11.453125" style="2" customWidth="1"/>
    <col min="9251" max="9253" width="18.7265625" style="2" bestFit="1" customWidth="1"/>
    <col min="9254" max="9254" width="13.54296875" style="2" bestFit="1" customWidth="1"/>
    <col min="9255" max="9255" width="13.1796875" style="2" bestFit="1" customWidth="1"/>
    <col min="9256" max="9256" width="13.54296875" style="2" bestFit="1" customWidth="1"/>
    <col min="9257" max="9257" width="13.1796875" style="2" bestFit="1" customWidth="1"/>
    <col min="9258" max="9258" width="13.54296875" style="2" bestFit="1" customWidth="1"/>
    <col min="9259" max="9259" width="13.1796875" style="2" bestFit="1" customWidth="1"/>
    <col min="9260" max="9260" width="13.54296875" style="2" bestFit="1" customWidth="1"/>
    <col min="9261" max="9261" width="13.1796875" style="2" bestFit="1" customWidth="1"/>
    <col min="9262" max="9262" width="13.54296875" style="2" bestFit="1" customWidth="1"/>
    <col min="9263" max="9263" width="13.1796875" style="2" bestFit="1" customWidth="1"/>
    <col min="9264" max="9472" width="11.453125" style="2"/>
    <col min="9473" max="9473" width="27.453125" style="2" customWidth="1"/>
    <col min="9474" max="9474" width="1.453125" style="2" customWidth="1"/>
    <col min="9475" max="9475" width="17.81640625" style="2" bestFit="1" customWidth="1"/>
    <col min="9476" max="9476" width="15.54296875" style="2" bestFit="1" customWidth="1"/>
    <col min="9477" max="9477" width="16.1796875" style="2" customWidth="1"/>
    <col min="9478" max="9478" width="1.26953125" style="2" customWidth="1"/>
    <col min="9479" max="9479" width="17.81640625" style="2" bestFit="1" customWidth="1"/>
    <col min="9480" max="9480" width="15.54296875" style="2" bestFit="1" customWidth="1"/>
    <col min="9481" max="9481" width="16.1796875" style="2" customWidth="1"/>
    <col min="9482" max="9482" width="1.7265625" style="2" customWidth="1"/>
    <col min="9483" max="9484" width="15.453125" style="2" bestFit="1" customWidth="1"/>
    <col min="9485" max="9485" width="18.453125" style="2" customWidth="1"/>
    <col min="9486" max="9486" width="1.26953125" style="2" customWidth="1"/>
    <col min="9487" max="9488" width="15.453125" style="2" bestFit="1" customWidth="1"/>
    <col min="9489" max="9489" width="18.453125" style="2" customWidth="1"/>
    <col min="9490" max="9490" width="1.26953125" style="2" customWidth="1"/>
    <col min="9491" max="9492" width="15.453125" style="2" bestFit="1" customWidth="1"/>
    <col min="9493" max="9493" width="18.453125" style="2" customWidth="1"/>
    <col min="9494" max="9494" width="1.26953125" style="2" customWidth="1"/>
    <col min="9495" max="9496" width="15.453125" style="2" customWidth="1"/>
    <col min="9497" max="9497" width="18.453125" style="2" customWidth="1"/>
    <col min="9498" max="9498" width="1.26953125" style="2" customWidth="1"/>
    <col min="9499" max="9506" width="11.453125" style="2" customWidth="1"/>
    <col min="9507" max="9509" width="18.7265625" style="2" bestFit="1" customWidth="1"/>
    <col min="9510" max="9510" width="13.54296875" style="2" bestFit="1" customWidth="1"/>
    <col min="9511" max="9511" width="13.1796875" style="2" bestFit="1" customWidth="1"/>
    <col min="9512" max="9512" width="13.54296875" style="2" bestFit="1" customWidth="1"/>
    <col min="9513" max="9513" width="13.1796875" style="2" bestFit="1" customWidth="1"/>
    <col min="9514" max="9514" width="13.54296875" style="2" bestFit="1" customWidth="1"/>
    <col min="9515" max="9515" width="13.1796875" style="2" bestFit="1" customWidth="1"/>
    <col min="9516" max="9516" width="13.54296875" style="2" bestFit="1" customWidth="1"/>
    <col min="9517" max="9517" width="13.1796875" style="2" bestFit="1" customWidth="1"/>
    <col min="9518" max="9518" width="13.54296875" style="2" bestFit="1" customWidth="1"/>
    <col min="9519" max="9519" width="13.1796875" style="2" bestFit="1" customWidth="1"/>
    <col min="9520" max="9728" width="11.453125" style="2"/>
    <col min="9729" max="9729" width="27.453125" style="2" customWidth="1"/>
    <col min="9730" max="9730" width="1.453125" style="2" customWidth="1"/>
    <col min="9731" max="9731" width="17.81640625" style="2" bestFit="1" customWidth="1"/>
    <col min="9732" max="9732" width="15.54296875" style="2" bestFit="1" customWidth="1"/>
    <col min="9733" max="9733" width="16.1796875" style="2" customWidth="1"/>
    <col min="9734" max="9734" width="1.26953125" style="2" customWidth="1"/>
    <col min="9735" max="9735" width="17.81640625" style="2" bestFit="1" customWidth="1"/>
    <col min="9736" max="9736" width="15.54296875" style="2" bestFit="1" customWidth="1"/>
    <col min="9737" max="9737" width="16.1796875" style="2" customWidth="1"/>
    <col min="9738" max="9738" width="1.7265625" style="2" customWidth="1"/>
    <col min="9739" max="9740" width="15.453125" style="2" bestFit="1" customWidth="1"/>
    <col min="9741" max="9741" width="18.453125" style="2" customWidth="1"/>
    <col min="9742" max="9742" width="1.26953125" style="2" customWidth="1"/>
    <col min="9743" max="9744" width="15.453125" style="2" bestFit="1" customWidth="1"/>
    <col min="9745" max="9745" width="18.453125" style="2" customWidth="1"/>
    <col min="9746" max="9746" width="1.26953125" style="2" customWidth="1"/>
    <col min="9747" max="9748" width="15.453125" style="2" bestFit="1" customWidth="1"/>
    <col min="9749" max="9749" width="18.453125" style="2" customWidth="1"/>
    <col min="9750" max="9750" width="1.26953125" style="2" customWidth="1"/>
    <col min="9751" max="9752" width="15.453125" style="2" customWidth="1"/>
    <col min="9753" max="9753" width="18.453125" style="2" customWidth="1"/>
    <col min="9754" max="9754" width="1.26953125" style="2" customWidth="1"/>
    <col min="9755" max="9762" width="11.453125" style="2" customWidth="1"/>
    <col min="9763" max="9765" width="18.7265625" style="2" bestFit="1" customWidth="1"/>
    <col min="9766" max="9766" width="13.54296875" style="2" bestFit="1" customWidth="1"/>
    <col min="9767" max="9767" width="13.1796875" style="2" bestFit="1" customWidth="1"/>
    <col min="9768" max="9768" width="13.54296875" style="2" bestFit="1" customWidth="1"/>
    <col min="9769" max="9769" width="13.1796875" style="2" bestFit="1" customWidth="1"/>
    <col min="9770" max="9770" width="13.54296875" style="2" bestFit="1" customWidth="1"/>
    <col min="9771" max="9771" width="13.1796875" style="2" bestFit="1" customWidth="1"/>
    <col min="9772" max="9772" width="13.54296875" style="2" bestFit="1" customWidth="1"/>
    <col min="9773" max="9773" width="13.1796875" style="2" bestFit="1" customWidth="1"/>
    <col min="9774" max="9774" width="13.54296875" style="2" bestFit="1" customWidth="1"/>
    <col min="9775" max="9775" width="13.1796875" style="2" bestFit="1" customWidth="1"/>
    <col min="9776" max="9984" width="11.453125" style="2"/>
    <col min="9985" max="9985" width="27.453125" style="2" customWidth="1"/>
    <col min="9986" max="9986" width="1.453125" style="2" customWidth="1"/>
    <col min="9987" max="9987" width="17.81640625" style="2" bestFit="1" customWidth="1"/>
    <col min="9988" max="9988" width="15.54296875" style="2" bestFit="1" customWidth="1"/>
    <col min="9989" max="9989" width="16.1796875" style="2" customWidth="1"/>
    <col min="9990" max="9990" width="1.26953125" style="2" customWidth="1"/>
    <col min="9991" max="9991" width="17.81640625" style="2" bestFit="1" customWidth="1"/>
    <col min="9992" max="9992" width="15.54296875" style="2" bestFit="1" customWidth="1"/>
    <col min="9993" max="9993" width="16.1796875" style="2" customWidth="1"/>
    <col min="9994" max="9994" width="1.7265625" style="2" customWidth="1"/>
    <col min="9995" max="9996" width="15.453125" style="2" bestFit="1" customWidth="1"/>
    <col min="9997" max="9997" width="18.453125" style="2" customWidth="1"/>
    <col min="9998" max="9998" width="1.26953125" style="2" customWidth="1"/>
    <col min="9999" max="10000" width="15.453125" style="2" bestFit="1" customWidth="1"/>
    <col min="10001" max="10001" width="18.453125" style="2" customWidth="1"/>
    <col min="10002" max="10002" width="1.26953125" style="2" customWidth="1"/>
    <col min="10003" max="10004" width="15.453125" style="2" bestFit="1" customWidth="1"/>
    <col min="10005" max="10005" width="18.453125" style="2" customWidth="1"/>
    <col min="10006" max="10006" width="1.26953125" style="2" customWidth="1"/>
    <col min="10007" max="10008" width="15.453125" style="2" customWidth="1"/>
    <col min="10009" max="10009" width="18.453125" style="2" customWidth="1"/>
    <col min="10010" max="10010" width="1.26953125" style="2" customWidth="1"/>
    <col min="10011" max="10018" width="11.453125" style="2" customWidth="1"/>
    <col min="10019" max="10021" width="18.7265625" style="2" bestFit="1" customWidth="1"/>
    <col min="10022" max="10022" width="13.54296875" style="2" bestFit="1" customWidth="1"/>
    <col min="10023" max="10023" width="13.1796875" style="2" bestFit="1" customWidth="1"/>
    <col min="10024" max="10024" width="13.54296875" style="2" bestFit="1" customWidth="1"/>
    <col min="10025" max="10025" width="13.1796875" style="2" bestFit="1" customWidth="1"/>
    <col min="10026" max="10026" width="13.54296875" style="2" bestFit="1" customWidth="1"/>
    <col min="10027" max="10027" width="13.1796875" style="2" bestFit="1" customWidth="1"/>
    <col min="10028" max="10028" width="13.54296875" style="2" bestFit="1" customWidth="1"/>
    <col min="10029" max="10029" width="13.1796875" style="2" bestFit="1" customWidth="1"/>
    <col min="10030" max="10030" width="13.54296875" style="2" bestFit="1" customWidth="1"/>
    <col min="10031" max="10031" width="13.1796875" style="2" bestFit="1" customWidth="1"/>
    <col min="10032" max="10240" width="11.453125" style="2"/>
    <col min="10241" max="10241" width="27.453125" style="2" customWidth="1"/>
    <col min="10242" max="10242" width="1.453125" style="2" customWidth="1"/>
    <col min="10243" max="10243" width="17.81640625" style="2" bestFit="1" customWidth="1"/>
    <col min="10244" max="10244" width="15.54296875" style="2" bestFit="1" customWidth="1"/>
    <col min="10245" max="10245" width="16.1796875" style="2" customWidth="1"/>
    <col min="10246" max="10246" width="1.26953125" style="2" customWidth="1"/>
    <col min="10247" max="10247" width="17.81640625" style="2" bestFit="1" customWidth="1"/>
    <col min="10248" max="10248" width="15.54296875" style="2" bestFit="1" customWidth="1"/>
    <col min="10249" max="10249" width="16.1796875" style="2" customWidth="1"/>
    <col min="10250" max="10250" width="1.7265625" style="2" customWidth="1"/>
    <col min="10251" max="10252" width="15.453125" style="2" bestFit="1" customWidth="1"/>
    <col min="10253" max="10253" width="18.453125" style="2" customWidth="1"/>
    <col min="10254" max="10254" width="1.26953125" style="2" customWidth="1"/>
    <col min="10255" max="10256" width="15.453125" style="2" bestFit="1" customWidth="1"/>
    <col min="10257" max="10257" width="18.453125" style="2" customWidth="1"/>
    <col min="10258" max="10258" width="1.26953125" style="2" customWidth="1"/>
    <col min="10259" max="10260" width="15.453125" style="2" bestFit="1" customWidth="1"/>
    <col min="10261" max="10261" width="18.453125" style="2" customWidth="1"/>
    <col min="10262" max="10262" width="1.26953125" style="2" customWidth="1"/>
    <col min="10263" max="10264" width="15.453125" style="2" customWidth="1"/>
    <col min="10265" max="10265" width="18.453125" style="2" customWidth="1"/>
    <col min="10266" max="10266" width="1.26953125" style="2" customWidth="1"/>
    <col min="10267" max="10274" width="11.453125" style="2" customWidth="1"/>
    <col min="10275" max="10277" width="18.7265625" style="2" bestFit="1" customWidth="1"/>
    <col min="10278" max="10278" width="13.54296875" style="2" bestFit="1" customWidth="1"/>
    <col min="10279" max="10279" width="13.1796875" style="2" bestFit="1" customWidth="1"/>
    <col min="10280" max="10280" width="13.54296875" style="2" bestFit="1" customWidth="1"/>
    <col min="10281" max="10281" width="13.1796875" style="2" bestFit="1" customWidth="1"/>
    <col min="10282" max="10282" width="13.54296875" style="2" bestFit="1" customWidth="1"/>
    <col min="10283" max="10283" width="13.1796875" style="2" bestFit="1" customWidth="1"/>
    <col min="10284" max="10284" width="13.54296875" style="2" bestFit="1" customWidth="1"/>
    <col min="10285" max="10285" width="13.1796875" style="2" bestFit="1" customWidth="1"/>
    <col min="10286" max="10286" width="13.54296875" style="2" bestFit="1" customWidth="1"/>
    <col min="10287" max="10287" width="13.1796875" style="2" bestFit="1" customWidth="1"/>
    <col min="10288" max="10496" width="11.453125" style="2"/>
    <col min="10497" max="10497" width="27.453125" style="2" customWidth="1"/>
    <col min="10498" max="10498" width="1.453125" style="2" customWidth="1"/>
    <col min="10499" max="10499" width="17.81640625" style="2" bestFit="1" customWidth="1"/>
    <col min="10500" max="10500" width="15.54296875" style="2" bestFit="1" customWidth="1"/>
    <col min="10501" max="10501" width="16.1796875" style="2" customWidth="1"/>
    <col min="10502" max="10502" width="1.26953125" style="2" customWidth="1"/>
    <col min="10503" max="10503" width="17.81640625" style="2" bestFit="1" customWidth="1"/>
    <col min="10504" max="10504" width="15.54296875" style="2" bestFit="1" customWidth="1"/>
    <col min="10505" max="10505" width="16.1796875" style="2" customWidth="1"/>
    <col min="10506" max="10506" width="1.7265625" style="2" customWidth="1"/>
    <col min="10507" max="10508" width="15.453125" style="2" bestFit="1" customWidth="1"/>
    <col min="10509" max="10509" width="18.453125" style="2" customWidth="1"/>
    <col min="10510" max="10510" width="1.26953125" style="2" customWidth="1"/>
    <col min="10511" max="10512" width="15.453125" style="2" bestFit="1" customWidth="1"/>
    <col min="10513" max="10513" width="18.453125" style="2" customWidth="1"/>
    <col min="10514" max="10514" width="1.26953125" style="2" customWidth="1"/>
    <col min="10515" max="10516" width="15.453125" style="2" bestFit="1" customWidth="1"/>
    <col min="10517" max="10517" width="18.453125" style="2" customWidth="1"/>
    <col min="10518" max="10518" width="1.26953125" style="2" customWidth="1"/>
    <col min="10519" max="10520" width="15.453125" style="2" customWidth="1"/>
    <col min="10521" max="10521" width="18.453125" style="2" customWidth="1"/>
    <col min="10522" max="10522" width="1.26953125" style="2" customWidth="1"/>
    <col min="10523" max="10530" width="11.453125" style="2" customWidth="1"/>
    <col min="10531" max="10533" width="18.7265625" style="2" bestFit="1" customWidth="1"/>
    <col min="10534" max="10534" width="13.54296875" style="2" bestFit="1" customWidth="1"/>
    <col min="10535" max="10535" width="13.1796875" style="2" bestFit="1" customWidth="1"/>
    <col min="10536" max="10536" width="13.54296875" style="2" bestFit="1" customWidth="1"/>
    <col min="10537" max="10537" width="13.1796875" style="2" bestFit="1" customWidth="1"/>
    <col min="10538" max="10538" width="13.54296875" style="2" bestFit="1" customWidth="1"/>
    <col min="10539" max="10539" width="13.1796875" style="2" bestFit="1" customWidth="1"/>
    <col min="10540" max="10540" width="13.54296875" style="2" bestFit="1" customWidth="1"/>
    <col min="10541" max="10541" width="13.1796875" style="2" bestFit="1" customWidth="1"/>
    <col min="10542" max="10542" width="13.54296875" style="2" bestFit="1" customWidth="1"/>
    <col min="10543" max="10543" width="13.1796875" style="2" bestFit="1" customWidth="1"/>
    <col min="10544" max="10752" width="11.453125" style="2"/>
    <col min="10753" max="10753" width="27.453125" style="2" customWidth="1"/>
    <col min="10754" max="10754" width="1.453125" style="2" customWidth="1"/>
    <col min="10755" max="10755" width="17.81640625" style="2" bestFit="1" customWidth="1"/>
    <col min="10756" max="10756" width="15.54296875" style="2" bestFit="1" customWidth="1"/>
    <col min="10757" max="10757" width="16.1796875" style="2" customWidth="1"/>
    <col min="10758" max="10758" width="1.26953125" style="2" customWidth="1"/>
    <col min="10759" max="10759" width="17.81640625" style="2" bestFit="1" customWidth="1"/>
    <col min="10760" max="10760" width="15.54296875" style="2" bestFit="1" customWidth="1"/>
    <col min="10761" max="10761" width="16.1796875" style="2" customWidth="1"/>
    <col min="10762" max="10762" width="1.7265625" style="2" customWidth="1"/>
    <col min="10763" max="10764" width="15.453125" style="2" bestFit="1" customWidth="1"/>
    <col min="10765" max="10765" width="18.453125" style="2" customWidth="1"/>
    <col min="10766" max="10766" width="1.26953125" style="2" customWidth="1"/>
    <col min="10767" max="10768" width="15.453125" style="2" bestFit="1" customWidth="1"/>
    <col min="10769" max="10769" width="18.453125" style="2" customWidth="1"/>
    <col min="10770" max="10770" width="1.26953125" style="2" customWidth="1"/>
    <col min="10771" max="10772" width="15.453125" style="2" bestFit="1" customWidth="1"/>
    <col min="10773" max="10773" width="18.453125" style="2" customWidth="1"/>
    <col min="10774" max="10774" width="1.26953125" style="2" customWidth="1"/>
    <col min="10775" max="10776" width="15.453125" style="2" customWidth="1"/>
    <col min="10777" max="10777" width="18.453125" style="2" customWidth="1"/>
    <col min="10778" max="10778" width="1.26953125" style="2" customWidth="1"/>
    <col min="10779" max="10786" width="11.453125" style="2" customWidth="1"/>
    <col min="10787" max="10789" width="18.7265625" style="2" bestFit="1" customWidth="1"/>
    <col min="10790" max="10790" width="13.54296875" style="2" bestFit="1" customWidth="1"/>
    <col min="10791" max="10791" width="13.1796875" style="2" bestFit="1" customWidth="1"/>
    <col min="10792" max="10792" width="13.54296875" style="2" bestFit="1" customWidth="1"/>
    <col min="10793" max="10793" width="13.1796875" style="2" bestFit="1" customWidth="1"/>
    <col min="10794" max="10794" width="13.54296875" style="2" bestFit="1" customWidth="1"/>
    <col min="10795" max="10795" width="13.1796875" style="2" bestFit="1" customWidth="1"/>
    <col min="10796" max="10796" width="13.54296875" style="2" bestFit="1" customWidth="1"/>
    <col min="10797" max="10797" width="13.1796875" style="2" bestFit="1" customWidth="1"/>
    <col min="10798" max="10798" width="13.54296875" style="2" bestFit="1" customWidth="1"/>
    <col min="10799" max="10799" width="13.1796875" style="2" bestFit="1" customWidth="1"/>
    <col min="10800" max="11008" width="11.453125" style="2"/>
    <col min="11009" max="11009" width="27.453125" style="2" customWidth="1"/>
    <col min="11010" max="11010" width="1.453125" style="2" customWidth="1"/>
    <col min="11011" max="11011" width="17.81640625" style="2" bestFit="1" customWidth="1"/>
    <col min="11012" max="11012" width="15.54296875" style="2" bestFit="1" customWidth="1"/>
    <col min="11013" max="11013" width="16.1796875" style="2" customWidth="1"/>
    <col min="11014" max="11014" width="1.26953125" style="2" customWidth="1"/>
    <col min="11015" max="11015" width="17.81640625" style="2" bestFit="1" customWidth="1"/>
    <col min="11016" max="11016" width="15.54296875" style="2" bestFit="1" customWidth="1"/>
    <col min="11017" max="11017" width="16.1796875" style="2" customWidth="1"/>
    <col min="11018" max="11018" width="1.7265625" style="2" customWidth="1"/>
    <col min="11019" max="11020" width="15.453125" style="2" bestFit="1" customWidth="1"/>
    <col min="11021" max="11021" width="18.453125" style="2" customWidth="1"/>
    <col min="11022" max="11022" width="1.26953125" style="2" customWidth="1"/>
    <col min="11023" max="11024" width="15.453125" style="2" bestFit="1" customWidth="1"/>
    <col min="11025" max="11025" width="18.453125" style="2" customWidth="1"/>
    <col min="11026" max="11026" width="1.26953125" style="2" customWidth="1"/>
    <col min="11027" max="11028" width="15.453125" style="2" bestFit="1" customWidth="1"/>
    <col min="11029" max="11029" width="18.453125" style="2" customWidth="1"/>
    <col min="11030" max="11030" width="1.26953125" style="2" customWidth="1"/>
    <col min="11031" max="11032" width="15.453125" style="2" customWidth="1"/>
    <col min="11033" max="11033" width="18.453125" style="2" customWidth="1"/>
    <col min="11034" max="11034" width="1.26953125" style="2" customWidth="1"/>
    <col min="11035" max="11042" width="11.453125" style="2" customWidth="1"/>
    <col min="11043" max="11045" width="18.7265625" style="2" bestFit="1" customWidth="1"/>
    <col min="11046" max="11046" width="13.54296875" style="2" bestFit="1" customWidth="1"/>
    <col min="11047" max="11047" width="13.1796875" style="2" bestFit="1" customWidth="1"/>
    <col min="11048" max="11048" width="13.54296875" style="2" bestFit="1" customWidth="1"/>
    <col min="11049" max="11049" width="13.1796875" style="2" bestFit="1" customWidth="1"/>
    <col min="11050" max="11050" width="13.54296875" style="2" bestFit="1" customWidth="1"/>
    <col min="11051" max="11051" width="13.1796875" style="2" bestFit="1" customWidth="1"/>
    <col min="11052" max="11052" width="13.54296875" style="2" bestFit="1" customWidth="1"/>
    <col min="11053" max="11053" width="13.1796875" style="2" bestFit="1" customWidth="1"/>
    <col min="11054" max="11054" width="13.54296875" style="2" bestFit="1" customWidth="1"/>
    <col min="11055" max="11055" width="13.1796875" style="2" bestFit="1" customWidth="1"/>
    <col min="11056" max="11264" width="11.453125" style="2"/>
    <col min="11265" max="11265" width="27.453125" style="2" customWidth="1"/>
    <col min="11266" max="11266" width="1.453125" style="2" customWidth="1"/>
    <col min="11267" max="11267" width="17.81640625" style="2" bestFit="1" customWidth="1"/>
    <col min="11268" max="11268" width="15.54296875" style="2" bestFit="1" customWidth="1"/>
    <col min="11269" max="11269" width="16.1796875" style="2" customWidth="1"/>
    <col min="11270" max="11270" width="1.26953125" style="2" customWidth="1"/>
    <col min="11271" max="11271" width="17.81640625" style="2" bestFit="1" customWidth="1"/>
    <col min="11272" max="11272" width="15.54296875" style="2" bestFit="1" customWidth="1"/>
    <col min="11273" max="11273" width="16.1796875" style="2" customWidth="1"/>
    <col min="11274" max="11274" width="1.7265625" style="2" customWidth="1"/>
    <col min="11275" max="11276" width="15.453125" style="2" bestFit="1" customWidth="1"/>
    <col min="11277" max="11277" width="18.453125" style="2" customWidth="1"/>
    <col min="11278" max="11278" width="1.26953125" style="2" customWidth="1"/>
    <col min="11279" max="11280" width="15.453125" style="2" bestFit="1" customWidth="1"/>
    <col min="11281" max="11281" width="18.453125" style="2" customWidth="1"/>
    <col min="11282" max="11282" width="1.26953125" style="2" customWidth="1"/>
    <col min="11283" max="11284" width="15.453125" style="2" bestFit="1" customWidth="1"/>
    <col min="11285" max="11285" width="18.453125" style="2" customWidth="1"/>
    <col min="11286" max="11286" width="1.26953125" style="2" customWidth="1"/>
    <col min="11287" max="11288" width="15.453125" style="2" customWidth="1"/>
    <col min="11289" max="11289" width="18.453125" style="2" customWidth="1"/>
    <col min="11290" max="11290" width="1.26953125" style="2" customWidth="1"/>
    <col min="11291" max="11298" width="11.453125" style="2" customWidth="1"/>
    <col min="11299" max="11301" width="18.7265625" style="2" bestFit="1" customWidth="1"/>
    <col min="11302" max="11302" width="13.54296875" style="2" bestFit="1" customWidth="1"/>
    <col min="11303" max="11303" width="13.1796875" style="2" bestFit="1" customWidth="1"/>
    <col min="11304" max="11304" width="13.54296875" style="2" bestFit="1" customWidth="1"/>
    <col min="11305" max="11305" width="13.1796875" style="2" bestFit="1" customWidth="1"/>
    <col min="11306" max="11306" width="13.54296875" style="2" bestFit="1" customWidth="1"/>
    <col min="11307" max="11307" width="13.1796875" style="2" bestFit="1" customWidth="1"/>
    <col min="11308" max="11308" width="13.54296875" style="2" bestFit="1" customWidth="1"/>
    <col min="11309" max="11309" width="13.1796875" style="2" bestFit="1" customWidth="1"/>
    <col min="11310" max="11310" width="13.54296875" style="2" bestFit="1" customWidth="1"/>
    <col min="11311" max="11311" width="13.1796875" style="2" bestFit="1" customWidth="1"/>
    <col min="11312" max="11520" width="11.453125" style="2"/>
    <col min="11521" max="11521" width="27.453125" style="2" customWidth="1"/>
    <col min="11522" max="11522" width="1.453125" style="2" customWidth="1"/>
    <col min="11523" max="11523" width="17.81640625" style="2" bestFit="1" customWidth="1"/>
    <col min="11524" max="11524" width="15.54296875" style="2" bestFit="1" customWidth="1"/>
    <col min="11525" max="11525" width="16.1796875" style="2" customWidth="1"/>
    <col min="11526" max="11526" width="1.26953125" style="2" customWidth="1"/>
    <col min="11527" max="11527" width="17.81640625" style="2" bestFit="1" customWidth="1"/>
    <col min="11528" max="11528" width="15.54296875" style="2" bestFit="1" customWidth="1"/>
    <col min="11529" max="11529" width="16.1796875" style="2" customWidth="1"/>
    <col min="11530" max="11530" width="1.7265625" style="2" customWidth="1"/>
    <col min="11531" max="11532" width="15.453125" style="2" bestFit="1" customWidth="1"/>
    <col min="11533" max="11533" width="18.453125" style="2" customWidth="1"/>
    <col min="11534" max="11534" width="1.26953125" style="2" customWidth="1"/>
    <col min="11535" max="11536" width="15.453125" style="2" bestFit="1" customWidth="1"/>
    <col min="11537" max="11537" width="18.453125" style="2" customWidth="1"/>
    <col min="11538" max="11538" width="1.26953125" style="2" customWidth="1"/>
    <col min="11539" max="11540" width="15.453125" style="2" bestFit="1" customWidth="1"/>
    <col min="11541" max="11541" width="18.453125" style="2" customWidth="1"/>
    <col min="11542" max="11542" width="1.26953125" style="2" customWidth="1"/>
    <col min="11543" max="11544" width="15.453125" style="2" customWidth="1"/>
    <col min="11545" max="11545" width="18.453125" style="2" customWidth="1"/>
    <col min="11546" max="11546" width="1.26953125" style="2" customWidth="1"/>
    <col min="11547" max="11554" width="11.453125" style="2" customWidth="1"/>
    <col min="11555" max="11557" width="18.7265625" style="2" bestFit="1" customWidth="1"/>
    <col min="11558" max="11558" width="13.54296875" style="2" bestFit="1" customWidth="1"/>
    <col min="11559" max="11559" width="13.1796875" style="2" bestFit="1" customWidth="1"/>
    <col min="11560" max="11560" width="13.54296875" style="2" bestFit="1" customWidth="1"/>
    <col min="11561" max="11561" width="13.1796875" style="2" bestFit="1" customWidth="1"/>
    <col min="11562" max="11562" width="13.54296875" style="2" bestFit="1" customWidth="1"/>
    <col min="11563" max="11563" width="13.1796875" style="2" bestFit="1" customWidth="1"/>
    <col min="11564" max="11564" width="13.54296875" style="2" bestFit="1" customWidth="1"/>
    <col min="11565" max="11565" width="13.1796875" style="2" bestFit="1" customWidth="1"/>
    <col min="11566" max="11566" width="13.54296875" style="2" bestFit="1" customWidth="1"/>
    <col min="11567" max="11567" width="13.1796875" style="2" bestFit="1" customWidth="1"/>
    <col min="11568" max="11776" width="11.453125" style="2"/>
    <col min="11777" max="11777" width="27.453125" style="2" customWidth="1"/>
    <col min="11778" max="11778" width="1.453125" style="2" customWidth="1"/>
    <col min="11779" max="11779" width="17.81640625" style="2" bestFit="1" customWidth="1"/>
    <col min="11780" max="11780" width="15.54296875" style="2" bestFit="1" customWidth="1"/>
    <col min="11781" max="11781" width="16.1796875" style="2" customWidth="1"/>
    <col min="11782" max="11782" width="1.26953125" style="2" customWidth="1"/>
    <col min="11783" max="11783" width="17.81640625" style="2" bestFit="1" customWidth="1"/>
    <col min="11784" max="11784" width="15.54296875" style="2" bestFit="1" customWidth="1"/>
    <col min="11785" max="11785" width="16.1796875" style="2" customWidth="1"/>
    <col min="11786" max="11786" width="1.7265625" style="2" customWidth="1"/>
    <col min="11787" max="11788" width="15.453125" style="2" bestFit="1" customWidth="1"/>
    <col min="11789" max="11789" width="18.453125" style="2" customWidth="1"/>
    <col min="11790" max="11790" width="1.26953125" style="2" customWidth="1"/>
    <col min="11791" max="11792" width="15.453125" style="2" bestFit="1" customWidth="1"/>
    <col min="11793" max="11793" width="18.453125" style="2" customWidth="1"/>
    <col min="11794" max="11794" width="1.26953125" style="2" customWidth="1"/>
    <col min="11795" max="11796" width="15.453125" style="2" bestFit="1" customWidth="1"/>
    <col min="11797" max="11797" width="18.453125" style="2" customWidth="1"/>
    <col min="11798" max="11798" width="1.26953125" style="2" customWidth="1"/>
    <col min="11799" max="11800" width="15.453125" style="2" customWidth="1"/>
    <col min="11801" max="11801" width="18.453125" style="2" customWidth="1"/>
    <col min="11802" max="11802" width="1.26953125" style="2" customWidth="1"/>
    <col min="11803" max="11810" width="11.453125" style="2" customWidth="1"/>
    <col min="11811" max="11813" width="18.7265625" style="2" bestFit="1" customWidth="1"/>
    <col min="11814" max="11814" width="13.54296875" style="2" bestFit="1" customWidth="1"/>
    <col min="11815" max="11815" width="13.1796875" style="2" bestFit="1" customWidth="1"/>
    <col min="11816" max="11816" width="13.54296875" style="2" bestFit="1" customWidth="1"/>
    <col min="11817" max="11817" width="13.1796875" style="2" bestFit="1" customWidth="1"/>
    <col min="11818" max="11818" width="13.54296875" style="2" bestFit="1" customWidth="1"/>
    <col min="11819" max="11819" width="13.1796875" style="2" bestFit="1" customWidth="1"/>
    <col min="11820" max="11820" width="13.54296875" style="2" bestFit="1" customWidth="1"/>
    <col min="11821" max="11821" width="13.1796875" style="2" bestFit="1" customWidth="1"/>
    <col min="11822" max="11822" width="13.54296875" style="2" bestFit="1" customWidth="1"/>
    <col min="11823" max="11823" width="13.1796875" style="2" bestFit="1" customWidth="1"/>
    <col min="11824" max="12032" width="11.453125" style="2"/>
    <col min="12033" max="12033" width="27.453125" style="2" customWidth="1"/>
    <col min="12034" max="12034" width="1.453125" style="2" customWidth="1"/>
    <col min="12035" max="12035" width="17.81640625" style="2" bestFit="1" customWidth="1"/>
    <col min="12036" max="12036" width="15.54296875" style="2" bestFit="1" customWidth="1"/>
    <col min="12037" max="12037" width="16.1796875" style="2" customWidth="1"/>
    <col min="12038" max="12038" width="1.26953125" style="2" customWidth="1"/>
    <col min="12039" max="12039" width="17.81640625" style="2" bestFit="1" customWidth="1"/>
    <col min="12040" max="12040" width="15.54296875" style="2" bestFit="1" customWidth="1"/>
    <col min="12041" max="12041" width="16.1796875" style="2" customWidth="1"/>
    <col min="12042" max="12042" width="1.7265625" style="2" customWidth="1"/>
    <col min="12043" max="12044" width="15.453125" style="2" bestFit="1" customWidth="1"/>
    <col min="12045" max="12045" width="18.453125" style="2" customWidth="1"/>
    <col min="12046" max="12046" width="1.26953125" style="2" customWidth="1"/>
    <col min="12047" max="12048" width="15.453125" style="2" bestFit="1" customWidth="1"/>
    <col min="12049" max="12049" width="18.453125" style="2" customWidth="1"/>
    <col min="12050" max="12050" width="1.26953125" style="2" customWidth="1"/>
    <col min="12051" max="12052" width="15.453125" style="2" bestFit="1" customWidth="1"/>
    <col min="12053" max="12053" width="18.453125" style="2" customWidth="1"/>
    <col min="12054" max="12054" width="1.26953125" style="2" customWidth="1"/>
    <col min="12055" max="12056" width="15.453125" style="2" customWidth="1"/>
    <col min="12057" max="12057" width="18.453125" style="2" customWidth="1"/>
    <col min="12058" max="12058" width="1.26953125" style="2" customWidth="1"/>
    <col min="12059" max="12066" width="11.453125" style="2" customWidth="1"/>
    <col min="12067" max="12069" width="18.7265625" style="2" bestFit="1" customWidth="1"/>
    <col min="12070" max="12070" width="13.54296875" style="2" bestFit="1" customWidth="1"/>
    <col min="12071" max="12071" width="13.1796875" style="2" bestFit="1" customWidth="1"/>
    <col min="12072" max="12072" width="13.54296875" style="2" bestFit="1" customWidth="1"/>
    <col min="12073" max="12073" width="13.1796875" style="2" bestFit="1" customWidth="1"/>
    <col min="12074" max="12074" width="13.54296875" style="2" bestFit="1" customWidth="1"/>
    <col min="12075" max="12075" width="13.1796875" style="2" bestFit="1" customWidth="1"/>
    <col min="12076" max="12076" width="13.54296875" style="2" bestFit="1" customWidth="1"/>
    <col min="12077" max="12077" width="13.1796875" style="2" bestFit="1" customWidth="1"/>
    <col min="12078" max="12078" width="13.54296875" style="2" bestFit="1" customWidth="1"/>
    <col min="12079" max="12079" width="13.1796875" style="2" bestFit="1" customWidth="1"/>
    <col min="12080" max="12288" width="11.453125" style="2"/>
    <col min="12289" max="12289" width="27.453125" style="2" customWidth="1"/>
    <col min="12290" max="12290" width="1.453125" style="2" customWidth="1"/>
    <col min="12291" max="12291" width="17.81640625" style="2" bestFit="1" customWidth="1"/>
    <col min="12292" max="12292" width="15.54296875" style="2" bestFit="1" customWidth="1"/>
    <col min="12293" max="12293" width="16.1796875" style="2" customWidth="1"/>
    <col min="12294" max="12294" width="1.26953125" style="2" customWidth="1"/>
    <col min="12295" max="12295" width="17.81640625" style="2" bestFit="1" customWidth="1"/>
    <col min="12296" max="12296" width="15.54296875" style="2" bestFit="1" customWidth="1"/>
    <col min="12297" max="12297" width="16.1796875" style="2" customWidth="1"/>
    <col min="12298" max="12298" width="1.7265625" style="2" customWidth="1"/>
    <col min="12299" max="12300" width="15.453125" style="2" bestFit="1" customWidth="1"/>
    <col min="12301" max="12301" width="18.453125" style="2" customWidth="1"/>
    <col min="12302" max="12302" width="1.26953125" style="2" customWidth="1"/>
    <col min="12303" max="12304" width="15.453125" style="2" bestFit="1" customWidth="1"/>
    <col min="12305" max="12305" width="18.453125" style="2" customWidth="1"/>
    <col min="12306" max="12306" width="1.26953125" style="2" customWidth="1"/>
    <col min="12307" max="12308" width="15.453125" style="2" bestFit="1" customWidth="1"/>
    <col min="12309" max="12309" width="18.453125" style="2" customWidth="1"/>
    <col min="12310" max="12310" width="1.26953125" style="2" customWidth="1"/>
    <col min="12311" max="12312" width="15.453125" style="2" customWidth="1"/>
    <col min="12313" max="12313" width="18.453125" style="2" customWidth="1"/>
    <col min="12314" max="12314" width="1.26953125" style="2" customWidth="1"/>
    <col min="12315" max="12322" width="11.453125" style="2" customWidth="1"/>
    <col min="12323" max="12325" width="18.7265625" style="2" bestFit="1" customWidth="1"/>
    <col min="12326" max="12326" width="13.54296875" style="2" bestFit="1" customWidth="1"/>
    <col min="12327" max="12327" width="13.1796875" style="2" bestFit="1" customWidth="1"/>
    <col min="12328" max="12328" width="13.54296875" style="2" bestFit="1" customWidth="1"/>
    <col min="12329" max="12329" width="13.1796875" style="2" bestFit="1" customWidth="1"/>
    <col min="12330" max="12330" width="13.54296875" style="2" bestFit="1" customWidth="1"/>
    <col min="12331" max="12331" width="13.1796875" style="2" bestFit="1" customWidth="1"/>
    <col min="12332" max="12332" width="13.54296875" style="2" bestFit="1" customWidth="1"/>
    <col min="12333" max="12333" width="13.1796875" style="2" bestFit="1" customWidth="1"/>
    <col min="12334" max="12334" width="13.54296875" style="2" bestFit="1" customWidth="1"/>
    <col min="12335" max="12335" width="13.1796875" style="2" bestFit="1" customWidth="1"/>
    <col min="12336" max="12544" width="11.453125" style="2"/>
    <col min="12545" max="12545" width="27.453125" style="2" customWidth="1"/>
    <col min="12546" max="12546" width="1.453125" style="2" customWidth="1"/>
    <col min="12547" max="12547" width="17.81640625" style="2" bestFit="1" customWidth="1"/>
    <col min="12548" max="12548" width="15.54296875" style="2" bestFit="1" customWidth="1"/>
    <col min="12549" max="12549" width="16.1796875" style="2" customWidth="1"/>
    <col min="12550" max="12550" width="1.26953125" style="2" customWidth="1"/>
    <col min="12551" max="12551" width="17.81640625" style="2" bestFit="1" customWidth="1"/>
    <col min="12552" max="12552" width="15.54296875" style="2" bestFit="1" customWidth="1"/>
    <col min="12553" max="12553" width="16.1796875" style="2" customWidth="1"/>
    <col min="12554" max="12554" width="1.7265625" style="2" customWidth="1"/>
    <col min="12555" max="12556" width="15.453125" style="2" bestFit="1" customWidth="1"/>
    <col min="12557" max="12557" width="18.453125" style="2" customWidth="1"/>
    <col min="12558" max="12558" width="1.26953125" style="2" customWidth="1"/>
    <col min="12559" max="12560" width="15.453125" style="2" bestFit="1" customWidth="1"/>
    <col min="12561" max="12561" width="18.453125" style="2" customWidth="1"/>
    <col min="12562" max="12562" width="1.26953125" style="2" customWidth="1"/>
    <col min="12563" max="12564" width="15.453125" style="2" bestFit="1" customWidth="1"/>
    <col min="12565" max="12565" width="18.453125" style="2" customWidth="1"/>
    <col min="12566" max="12566" width="1.26953125" style="2" customWidth="1"/>
    <col min="12567" max="12568" width="15.453125" style="2" customWidth="1"/>
    <col min="12569" max="12569" width="18.453125" style="2" customWidth="1"/>
    <col min="12570" max="12570" width="1.26953125" style="2" customWidth="1"/>
    <col min="12571" max="12578" width="11.453125" style="2" customWidth="1"/>
    <col min="12579" max="12581" width="18.7265625" style="2" bestFit="1" customWidth="1"/>
    <col min="12582" max="12582" width="13.54296875" style="2" bestFit="1" customWidth="1"/>
    <col min="12583" max="12583" width="13.1796875" style="2" bestFit="1" customWidth="1"/>
    <col min="12584" max="12584" width="13.54296875" style="2" bestFit="1" customWidth="1"/>
    <col min="12585" max="12585" width="13.1796875" style="2" bestFit="1" customWidth="1"/>
    <col min="12586" max="12586" width="13.54296875" style="2" bestFit="1" customWidth="1"/>
    <col min="12587" max="12587" width="13.1796875" style="2" bestFit="1" customWidth="1"/>
    <col min="12588" max="12588" width="13.54296875" style="2" bestFit="1" customWidth="1"/>
    <col min="12589" max="12589" width="13.1796875" style="2" bestFit="1" customWidth="1"/>
    <col min="12590" max="12590" width="13.54296875" style="2" bestFit="1" customWidth="1"/>
    <col min="12591" max="12591" width="13.1796875" style="2" bestFit="1" customWidth="1"/>
    <col min="12592" max="12800" width="11.453125" style="2"/>
    <col min="12801" max="12801" width="27.453125" style="2" customWidth="1"/>
    <col min="12802" max="12802" width="1.453125" style="2" customWidth="1"/>
    <col min="12803" max="12803" width="17.81640625" style="2" bestFit="1" customWidth="1"/>
    <col min="12804" max="12804" width="15.54296875" style="2" bestFit="1" customWidth="1"/>
    <col min="12805" max="12805" width="16.1796875" style="2" customWidth="1"/>
    <col min="12806" max="12806" width="1.26953125" style="2" customWidth="1"/>
    <col min="12807" max="12807" width="17.81640625" style="2" bestFit="1" customWidth="1"/>
    <col min="12808" max="12808" width="15.54296875" style="2" bestFit="1" customWidth="1"/>
    <col min="12809" max="12809" width="16.1796875" style="2" customWidth="1"/>
    <col min="12810" max="12810" width="1.7265625" style="2" customWidth="1"/>
    <col min="12811" max="12812" width="15.453125" style="2" bestFit="1" customWidth="1"/>
    <col min="12813" max="12813" width="18.453125" style="2" customWidth="1"/>
    <col min="12814" max="12814" width="1.26953125" style="2" customWidth="1"/>
    <col min="12815" max="12816" width="15.453125" style="2" bestFit="1" customWidth="1"/>
    <col min="12817" max="12817" width="18.453125" style="2" customWidth="1"/>
    <col min="12818" max="12818" width="1.26953125" style="2" customWidth="1"/>
    <col min="12819" max="12820" width="15.453125" style="2" bestFit="1" customWidth="1"/>
    <col min="12821" max="12821" width="18.453125" style="2" customWidth="1"/>
    <col min="12822" max="12822" width="1.26953125" style="2" customWidth="1"/>
    <col min="12823" max="12824" width="15.453125" style="2" customWidth="1"/>
    <col min="12825" max="12825" width="18.453125" style="2" customWidth="1"/>
    <col min="12826" max="12826" width="1.26953125" style="2" customWidth="1"/>
    <col min="12827" max="12834" width="11.453125" style="2" customWidth="1"/>
    <col min="12835" max="12837" width="18.7265625" style="2" bestFit="1" customWidth="1"/>
    <col min="12838" max="12838" width="13.54296875" style="2" bestFit="1" customWidth="1"/>
    <col min="12839" max="12839" width="13.1796875" style="2" bestFit="1" customWidth="1"/>
    <col min="12840" max="12840" width="13.54296875" style="2" bestFit="1" customWidth="1"/>
    <col min="12841" max="12841" width="13.1796875" style="2" bestFit="1" customWidth="1"/>
    <col min="12842" max="12842" width="13.54296875" style="2" bestFit="1" customWidth="1"/>
    <col min="12843" max="12843" width="13.1796875" style="2" bestFit="1" customWidth="1"/>
    <col min="12844" max="12844" width="13.54296875" style="2" bestFit="1" customWidth="1"/>
    <col min="12845" max="12845" width="13.1796875" style="2" bestFit="1" customWidth="1"/>
    <col min="12846" max="12846" width="13.54296875" style="2" bestFit="1" customWidth="1"/>
    <col min="12847" max="12847" width="13.1796875" style="2" bestFit="1" customWidth="1"/>
    <col min="12848" max="13056" width="11.453125" style="2"/>
    <col min="13057" max="13057" width="27.453125" style="2" customWidth="1"/>
    <col min="13058" max="13058" width="1.453125" style="2" customWidth="1"/>
    <col min="13059" max="13059" width="17.81640625" style="2" bestFit="1" customWidth="1"/>
    <col min="13060" max="13060" width="15.54296875" style="2" bestFit="1" customWidth="1"/>
    <col min="13061" max="13061" width="16.1796875" style="2" customWidth="1"/>
    <col min="13062" max="13062" width="1.26953125" style="2" customWidth="1"/>
    <col min="13063" max="13063" width="17.81640625" style="2" bestFit="1" customWidth="1"/>
    <col min="13064" max="13064" width="15.54296875" style="2" bestFit="1" customWidth="1"/>
    <col min="13065" max="13065" width="16.1796875" style="2" customWidth="1"/>
    <col min="13066" max="13066" width="1.7265625" style="2" customWidth="1"/>
    <col min="13067" max="13068" width="15.453125" style="2" bestFit="1" customWidth="1"/>
    <col min="13069" max="13069" width="18.453125" style="2" customWidth="1"/>
    <col min="13070" max="13070" width="1.26953125" style="2" customWidth="1"/>
    <col min="13071" max="13072" width="15.453125" style="2" bestFit="1" customWidth="1"/>
    <col min="13073" max="13073" width="18.453125" style="2" customWidth="1"/>
    <col min="13074" max="13074" width="1.26953125" style="2" customWidth="1"/>
    <col min="13075" max="13076" width="15.453125" style="2" bestFit="1" customWidth="1"/>
    <col min="13077" max="13077" width="18.453125" style="2" customWidth="1"/>
    <col min="13078" max="13078" width="1.26953125" style="2" customWidth="1"/>
    <col min="13079" max="13080" width="15.453125" style="2" customWidth="1"/>
    <col min="13081" max="13081" width="18.453125" style="2" customWidth="1"/>
    <col min="13082" max="13082" width="1.26953125" style="2" customWidth="1"/>
    <col min="13083" max="13090" width="11.453125" style="2" customWidth="1"/>
    <col min="13091" max="13093" width="18.7265625" style="2" bestFit="1" customWidth="1"/>
    <col min="13094" max="13094" width="13.54296875" style="2" bestFit="1" customWidth="1"/>
    <col min="13095" max="13095" width="13.1796875" style="2" bestFit="1" customWidth="1"/>
    <col min="13096" max="13096" width="13.54296875" style="2" bestFit="1" customWidth="1"/>
    <col min="13097" max="13097" width="13.1796875" style="2" bestFit="1" customWidth="1"/>
    <col min="13098" max="13098" width="13.54296875" style="2" bestFit="1" customWidth="1"/>
    <col min="13099" max="13099" width="13.1796875" style="2" bestFit="1" customWidth="1"/>
    <col min="13100" max="13100" width="13.54296875" style="2" bestFit="1" customWidth="1"/>
    <col min="13101" max="13101" width="13.1796875" style="2" bestFit="1" customWidth="1"/>
    <col min="13102" max="13102" width="13.54296875" style="2" bestFit="1" customWidth="1"/>
    <col min="13103" max="13103" width="13.1796875" style="2" bestFit="1" customWidth="1"/>
    <col min="13104" max="13312" width="11.453125" style="2"/>
    <col min="13313" max="13313" width="27.453125" style="2" customWidth="1"/>
    <col min="13314" max="13314" width="1.453125" style="2" customWidth="1"/>
    <col min="13315" max="13315" width="17.81640625" style="2" bestFit="1" customWidth="1"/>
    <col min="13316" max="13316" width="15.54296875" style="2" bestFit="1" customWidth="1"/>
    <col min="13317" max="13317" width="16.1796875" style="2" customWidth="1"/>
    <col min="13318" max="13318" width="1.26953125" style="2" customWidth="1"/>
    <col min="13319" max="13319" width="17.81640625" style="2" bestFit="1" customWidth="1"/>
    <col min="13320" max="13320" width="15.54296875" style="2" bestFit="1" customWidth="1"/>
    <col min="13321" max="13321" width="16.1796875" style="2" customWidth="1"/>
    <col min="13322" max="13322" width="1.7265625" style="2" customWidth="1"/>
    <col min="13323" max="13324" width="15.453125" style="2" bestFit="1" customWidth="1"/>
    <col min="13325" max="13325" width="18.453125" style="2" customWidth="1"/>
    <col min="13326" max="13326" width="1.26953125" style="2" customWidth="1"/>
    <col min="13327" max="13328" width="15.453125" style="2" bestFit="1" customWidth="1"/>
    <col min="13329" max="13329" width="18.453125" style="2" customWidth="1"/>
    <col min="13330" max="13330" width="1.26953125" style="2" customWidth="1"/>
    <col min="13331" max="13332" width="15.453125" style="2" bestFit="1" customWidth="1"/>
    <col min="13333" max="13333" width="18.453125" style="2" customWidth="1"/>
    <col min="13334" max="13334" width="1.26953125" style="2" customWidth="1"/>
    <col min="13335" max="13336" width="15.453125" style="2" customWidth="1"/>
    <col min="13337" max="13337" width="18.453125" style="2" customWidth="1"/>
    <col min="13338" max="13338" width="1.26953125" style="2" customWidth="1"/>
    <col min="13339" max="13346" width="11.453125" style="2" customWidth="1"/>
    <col min="13347" max="13349" width="18.7265625" style="2" bestFit="1" customWidth="1"/>
    <col min="13350" max="13350" width="13.54296875" style="2" bestFit="1" customWidth="1"/>
    <col min="13351" max="13351" width="13.1796875" style="2" bestFit="1" customWidth="1"/>
    <col min="13352" max="13352" width="13.54296875" style="2" bestFit="1" customWidth="1"/>
    <col min="13353" max="13353" width="13.1796875" style="2" bestFit="1" customWidth="1"/>
    <col min="13354" max="13354" width="13.54296875" style="2" bestFit="1" customWidth="1"/>
    <col min="13355" max="13355" width="13.1796875" style="2" bestFit="1" customWidth="1"/>
    <col min="13356" max="13356" width="13.54296875" style="2" bestFit="1" customWidth="1"/>
    <col min="13357" max="13357" width="13.1796875" style="2" bestFit="1" customWidth="1"/>
    <col min="13358" max="13358" width="13.54296875" style="2" bestFit="1" customWidth="1"/>
    <col min="13359" max="13359" width="13.1796875" style="2" bestFit="1" customWidth="1"/>
    <col min="13360" max="13568" width="11.453125" style="2"/>
    <col min="13569" max="13569" width="27.453125" style="2" customWidth="1"/>
    <col min="13570" max="13570" width="1.453125" style="2" customWidth="1"/>
    <col min="13571" max="13571" width="17.81640625" style="2" bestFit="1" customWidth="1"/>
    <col min="13572" max="13572" width="15.54296875" style="2" bestFit="1" customWidth="1"/>
    <col min="13573" max="13573" width="16.1796875" style="2" customWidth="1"/>
    <col min="13574" max="13574" width="1.26953125" style="2" customWidth="1"/>
    <col min="13575" max="13575" width="17.81640625" style="2" bestFit="1" customWidth="1"/>
    <col min="13576" max="13576" width="15.54296875" style="2" bestFit="1" customWidth="1"/>
    <col min="13577" max="13577" width="16.1796875" style="2" customWidth="1"/>
    <col min="13578" max="13578" width="1.7265625" style="2" customWidth="1"/>
    <col min="13579" max="13580" width="15.453125" style="2" bestFit="1" customWidth="1"/>
    <col min="13581" max="13581" width="18.453125" style="2" customWidth="1"/>
    <col min="13582" max="13582" width="1.26953125" style="2" customWidth="1"/>
    <col min="13583" max="13584" width="15.453125" style="2" bestFit="1" customWidth="1"/>
    <col min="13585" max="13585" width="18.453125" style="2" customWidth="1"/>
    <col min="13586" max="13586" width="1.26953125" style="2" customWidth="1"/>
    <col min="13587" max="13588" width="15.453125" style="2" bestFit="1" customWidth="1"/>
    <col min="13589" max="13589" width="18.453125" style="2" customWidth="1"/>
    <col min="13590" max="13590" width="1.26953125" style="2" customWidth="1"/>
    <col min="13591" max="13592" width="15.453125" style="2" customWidth="1"/>
    <col min="13593" max="13593" width="18.453125" style="2" customWidth="1"/>
    <col min="13594" max="13594" width="1.26953125" style="2" customWidth="1"/>
    <col min="13595" max="13602" width="11.453125" style="2" customWidth="1"/>
    <col min="13603" max="13605" width="18.7265625" style="2" bestFit="1" customWidth="1"/>
    <col min="13606" max="13606" width="13.54296875" style="2" bestFit="1" customWidth="1"/>
    <col min="13607" max="13607" width="13.1796875" style="2" bestFit="1" customWidth="1"/>
    <col min="13608" max="13608" width="13.54296875" style="2" bestFit="1" customWidth="1"/>
    <col min="13609" max="13609" width="13.1796875" style="2" bestFit="1" customWidth="1"/>
    <col min="13610" max="13610" width="13.54296875" style="2" bestFit="1" customWidth="1"/>
    <col min="13611" max="13611" width="13.1796875" style="2" bestFit="1" customWidth="1"/>
    <col min="13612" max="13612" width="13.54296875" style="2" bestFit="1" customWidth="1"/>
    <col min="13613" max="13613" width="13.1796875" style="2" bestFit="1" customWidth="1"/>
    <col min="13614" max="13614" width="13.54296875" style="2" bestFit="1" customWidth="1"/>
    <col min="13615" max="13615" width="13.1796875" style="2" bestFit="1" customWidth="1"/>
    <col min="13616" max="13824" width="11.453125" style="2"/>
    <col min="13825" max="13825" width="27.453125" style="2" customWidth="1"/>
    <col min="13826" max="13826" width="1.453125" style="2" customWidth="1"/>
    <col min="13827" max="13827" width="17.81640625" style="2" bestFit="1" customWidth="1"/>
    <col min="13828" max="13828" width="15.54296875" style="2" bestFit="1" customWidth="1"/>
    <col min="13829" max="13829" width="16.1796875" style="2" customWidth="1"/>
    <col min="13830" max="13830" width="1.26953125" style="2" customWidth="1"/>
    <col min="13831" max="13831" width="17.81640625" style="2" bestFit="1" customWidth="1"/>
    <col min="13832" max="13832" width="15.54296875" style="2" bestFit="1" customWidth="1"/>
    <col min="13833" max="13833" width="16.1796875" style="2" customWidth="1"/>
    <col min="13834" max="13834" width="1.7265625" style="2" customWidth="1"/>
    <col min="13835" max="13836" width="15.453125" style="2" bestFit="1" customWidth="1"/>
    <col min="13837" max="13837" width="18.453125" style="2" customWidth="1"/>
    <col min="13838" max="13838" width="1.26953125" style="2" customWidth="1"/>
    <col min="13839" max="13840" width="15.453125" style="2" bestFit="1" customWidth="1"/>
    <col min="13841" max="13841" width="18.453125" style="2" customWidth="1"/>
    <col min="13842" max="13842" width="1.26953125" style="2" customWidth="1"/>
    <col min="13843" max="13844" width="15.453125" style="2" bestFit="1" customWidth="1"/>
    <col min="13845" max="13845" width="18.453125" style="2" customWidth="1"/>
    <col min="13846" max="13846" width="1.26953125" style="2" customWidth="1"/>
    <col min="13847" max="13848" width="15.453125" style="2" customWidth="1"/>
    <col min="13849" max="13849" width="18.453125" style="2" customWidth="1"/>
    <col min="13850" max="13850" width="1.26953125" style="2" customWidth="1"/>
    <col min="13851" max="13858" width="11.453125" style="2" customWidth="1"/>
    <col min="13859" max="13861" width="18.7265625" style="2" bestFit="1" customWidth="1"/>
    <col min="13862" max="13862" width="13.54296875" style="2" bestFit="1" customWidth="1"/>
    <col min="13863" max="13863" width="13.1796875" style="2" bestFit="1" customWidth="1"/>
    <col min="13864" max="13864" width="13.54296875" style="2" bestFit="1" customWidth="1"/>
    <col min="13865" max="13865" width="13.1796875" style="2" bestFit="1" customWidth="1"/>
    <col min="13866" max="13866" width="13.54296875" style="2" bestFit="1" customWidth="1"/>
    <col min="13867" max="13867" width="13.1796875" style="2" bestFit="1" customWidth="1"/>
    <col min="13868" max="13868" width="13.54296875" style="2" bestFit="1" customWidth="1"/>
    <col min="13869" max="13869" width="13.1796875" style="2" bestFit="1" customWidth="1"/>
    <col min="13870" max="13870" width="13.54296875" style="2" bestFit="1" customWidth="1"/>
    <col min="13871" max="13871" width="13.1796875" style="2" bestFit="1" customWidth="1"/>
    <col min="13872" max="14080" width="11.453125" style="2"/>
    <col min="14081" max="14081" width="27.453125" style="2" customWidth="1"/>
    <col min="14082" max="14082" width="1.453125" style="2" customWidth="1"/>
    <col min="14083" max="14083" width="17.81640625" style="2" bestFit="1" customWidth="1"/>
    <col min="14084" max="14084" width="15.54296875" style="2" bestFit="1" customWidth="1"/>
    <col min="14085" max="14085" width="16.1796875" style="2" customWidth="1"/>
    <col min="14086" max="14086" width="1.26953125" style="2" customWidth="1"/>
    <col min="14087" max="14087" width="17.81640625" style="2" bestFit="1" customWidth="1"/>
    <col min="14088" max="14088" width="15.54296875" style="2" bestFit="1" customWidth="1"/>
    <col min="14089" max="14089" width="16.1796875" style="2" customWidth="1"/>
    <col min="14090" max="14090" width="1.7265625" style="2" customWidth="1"/>
    <col min="14091" max="14092" width="15.453125" style="2" bestFit="1" customWidth="1"/>
    <col min="14093" max="14093" width="18.453125" style="2" customWidth="1"/>
    <col min="14094" max="14094" width="1.26953125" style="2" customWidth="1"/>
    <col min="14095" max="14096" width="15.453125" style="2" bestFit="1" customWidth="1"/>
    <col min="14097" max="14097" width="18.453125" style="2" customWidth="1"/>
    <col min="14098" max="14098" width="1.26953125" style="2" customWidth="1"/>
    <col min="14099" max="14100" width="15.453125" style="2" bestFit="1" customWidth="1"/>
    <col min="14101" max="14101" width="18.453125" style="2" customWidth="1"/>
    <col min="14102" max="14102" width="1.26953125" style="2" customWidth="1"/>
    <col min="14103" max="14104" width="15.453125" style="2" customWidth="1"/>
    <col min="14105" max="14105" width="18.453125" style="2" customWidth="1"/>
    <col min="14106" max="14106" width="1.26953125" style="2" customWidth="1"/>
    <col min="14107" max="14114" width="11.453125" style="2" customWidth="1"/>
    <col min="14115" max="14117" width="18.7265625" style="2" bestFit="1" customWidth="1"/>
    <col min="14118" max="14118" width="13.54296875" style="2" bestFit="1" customWidth="1"/>
    <col min="14119" max="14119" width="13.1796875" style="2" bestFit="1" customWidth="1"/>
    <col min="14120" max="14120" width="13.54296875" style="2" bestFit="1" customWidth="1"/>
    <col min="14121" max="14121" width="13.1796875" style="2" bestFit="1" customWidth="1"/>
    <col min="14122" max="14122" width="13.54296875" style="2" bestFit="1" customWidth="1"/>
    <col min="14123" max="14123" width="13.1796875" style="2" bestFit="1" customWidth="1"/>
    <col min="14124" max="14124" width="13.54296875" style="2" bestFit="1" customWidth="1"/>
    <col min="14125" max="14125" width="13.1796875" style="2" bestFit="1" customWidth="1"/>
    <col min="14126" max="14126" width="13.54296875" style="2" bestFit="1" customWidth="1"/>
    <col min="14127" max="14127" width="13.1796875" style="2" bestFit="1" customWidth="1"/>
    <col min="14128" max="14336" width="11.453125" style="2"/>
    <col min="14337" max="14337" width="27.453125" style="2" customWidth="1"/>
    <col min="14338" max="14338" width="1.453125" style="2" customWidth="1"/>
    <col min="14339" max="14339" width="17.81640625" style="2" bestFit="1" customWidth="1"/>
    <col min="14340" max="14340" width="15.54296875" style="2" bestFit="1" customWidth="1"/>
    <col min="14341" max="14341" width="16.1796875" style="2" customWidth="1"/>
    <col min="14342" max="14342" width="1.26953125" style="2" customWidth="1"/>
    <col min="14343" max="14343" width="17.81640625" style="2" bestFit="1" customWidth="1"/>
    <col min="14344" max="14344" width="15.54296875" style="2" bestFit="1" customWidth="1"/>
    <col min="14345" max="14345" width="16.1796875" style="2" customWidth="1"/>
    <col min="14346" max="14346" width="1.7265625" style="2" customWidth="1"/>
    <col min="14347" max="14348" width="15.453125" style="2" bestFit="1" customWidth="1"/>
    <col min="14349" max="14349" width="18.453125" style="2" customWidth="1"/>
    <col min="14350" max="14350" width="1.26953125" style="2" customWidth="1"/>
    <col min="14351" max="14352" width="15.453125" style="2" bestFit="1" customWidth="1"/>
    <col min="14353" max="14353" width="18.453125" style="2" customWidth="1"/>
    <col min="14354" max="14354" width="1.26953125" style="2" customWidth="1"/>
    <col min="14355" max="14356" width="15.453125" style="2" bestFit="1" customWidth="1"/>
    <col min="14357" max="14357" width="18.453125" style="2" customWidth="1"/>
    <col min="14358" max="14358" width="1.26953125" style="2" customWidth="1"/>
    <col min="14359" max="14360" width="15.453125" style="2" customWidth="1"/>
    <col min="14361" max="14361" width="18.453125" style="2" customWidth="1"/>
    <col min="14362" max="14362" width="1.26953125" style="2" customWidth="1"/>
    <col min="14363" max="14370" width="11.453125" style="2" customWidth="1"/>
    <col min="14371" max="14373" width="18.7265625" style="2" bestFit="1" customWidth="1"/>
    <col min="14374" max="14374" width="13.54296875" style="2" bestFit="1" customWidth="1"/>
    <col min="14375" max="14375" width="13.1796875" style="2" bestFit="1" customWidth="1"/>
    <col min="14376" max="14376" width="13.54296875" style="2" bestFit="1" customWidth="1"/>
    <col min="14377" max="14377" width="13.1796875" style="2" bestFit="1" customWidth="1"/>
    <col min="14378" max="14378" width="13.54296875" style="2" bestFit="1" customWidth="1"/>
    <col min="14379" max="14379" width="13.1796875" style="2" bestFit="1" customWidth="1"/>
    <col min="14380" max="14380" width="13.54296875" style="2" bestFit="1" customWidth="1"/>
    <col min="14381" max="14381" width="13.1796875" style="2" bestFit="1" customWidth="1"/>
    <col min="14382" max="14382" width="13.54296875" style="2" bestFit="1" customWidth="1"/>
    <col min="14383" max="14383" width="13.1796875" style="2" bestFit="1" customWidth="1"/>
    <col min="14384" max="14592" width="11.453125" style="2"/>
    <col min="14593" max="14593" width="27.453125" style="2" customWidth="1"/>
    <col min="14594" max="14594" width="1.453125" style="2" customWidth="1"/>
    <col min="14595" max="14595" width="17.81640625" style="2" bestFit="1" customWidth="1"/>
    <col min="14596" max="14596" width="15.54296875" style="2" bestFit="1" customWidth="1"/>
    <col min="14597" max="14597" width="16.1796875" style="2" customWidth="1"/>
    <col min="14598" max="14598" width="1.26953125" style="2" customWidth="1"/>
    <col min="14599" max="14599" width="17.81640625" style="2" bestFit="1" customWidth="1"/>
    <col min="14600" max="14600" width="15.54296875" style="2" bestFit="1" customWidth="1"/>
    <col min="14601" max="14601" width="16.1796875" style="2" customWidth="1"/>
    <col min="14602" max="14602" width="1.7265625" style="2" customWidth="1"/>
    <col min="14603" max="14604" width="15.453125" style="2" bestFit="1" customWidth="1"/>
    <col min="14605" max="14605" width="18.453125" style="2" customWidth="1"/>
    <col min="14606" max="14606" width="1.26953125" style="2" customWidth="1"/>
    <col min="14607" max="14608" width="15.453125" style="2" bestFit="1" customWidth="1"/>
    <col min="14609" max="14609" width="18.453125" style="2" customWidth="1"/>
    <col min="14610" max="14610" width="1.26953125" style="2" customWidth="1"/>
    <col min="14611" max="14612" width="15.453125" style="2" bestFit="1" customWidth="1"/>
    <col min="14613" max="14613" width="18.453125" style="2" customWidth="1"/>
    <col min="14614" max="14614" width="1.26953125" style="2" customWidth="1"/>
    <col min="14615" max="14616" width="15.453125" style="2" customWidth="1"/>
    <col min="14617" max="14617" width="18.453125" style="2" customWidth="1"/>
    <col min="14618" max="14618" width="1.26953125" style="2" customWidth="1"/>
    <col min="14619" max="14626" width="11.453125" style="2" customWidth="1"/>
    <col min="14627" max="14629" width="18.7265625" style="2" bestFit="1" customWidth="1"/>
    <col min="14630" max="14630" width="13.54296875" style="2" bestFit="1" customWidth="1"/>
    <col min="14631" max="14631" width="13.1796875" style="2" bestFit="1" customWidth="1"/>
    <col min="14632" max="14632" width="13.54296875" style="2" bestFit="1" customWidth="1"/>
    <col min="14633" max="14633" width="13.1796875" style="2" bestFit="1" customWidth="1"/>
    <col min="14634" max="14634" width="13.54296875" style="2" bestFit="1" customWidth="1"/>
    <col min="14635" max="14635" width="13.1796875" style="2" bestFit="1" customWidth="1"/>
    <col min="14636" max="14636" width="13.54296875" style="2" bestFit="1" customWidth="1"/>
    <col min="14637" max="14637" width="13.1796875" style="2" bestFit="1" customWidth="1"/>
    <col min="14638" max="14638" width="13.54296875" style="2" bestFit="1" customWidth="1"/>
    <col min="14639" max="14639" width="13.1796875" style="2" bestFit="1" customWidth="1"/>
    <col min="14640" max="14848" width="11.453125" style="2"/>
    <col min="14849" max="14849" width="27.453125" style="2" customWidth="1"/>
    <col min="14850" max="14850" width="1.453125" style="2" customWidth="1"/>
    <col min="14851" max="14851" width="17.81640625" style="2" bestFit="1" customWidth="1"/>
    <col min="14852" max="14852" width="15.54296875" style="2" bestFit="1" customWidth="1"/>
    <col min="14853" max="14853" width="16.1796875" style="2" customWidth="1"/>
    <col min="14854" max="14854" width="1.26953125" style="2" customWidth="1"/>
    <col min="14855" max="14855" width="17.81640625" style="2" bestFit="1" customWidth="1"/>
    <col min="14856" max="14856" width="15.54296875" style="2" bestFit="1" customWidth="1"/>
    <col min="14857" max="14857" width="16.1796875" style="2" customWidth="1"/>
    <col min="14858" max="14858" width="1.7265625" style="2" customWidth="1"/>
    <col min="14859" max="14860" width="15.453125" style="2" bestFit="1" customWidth="1"/>
    <col min="14861" max="14861" width="18.453125" style="2" customWidth="1"/>
    <col min="14862" max="14862" width="1.26953125" style="2" customWidth="1"/>
    <col min="14863" max="14864" width="15.453125" style="2" bestFit="1" customWidth="1"/>
    <col min="14865" max="14865" width="18.453125" style="2" customWidth="1"/>
    <col min="14866" max="14866" width="1.26953125" style="2" customWidth="1"/>
    <col min="14867" max="14868" width="15.453125" style="2" bestFit="1" customWidth="1"/>
    <col min="14869" max="14869" width="18.453125" style="2" customWidth="1"/>
    <col min="14870" max="14870" width="1.26953125" style="2" customWidth="1"/>
    <col min="14871" max="14872" width="15.453125" style="2" customWidth="1"/>
    <col min="14873" max="14873" width="18.453125" style="2" customWidth="1"/>
    <col min="14874" max="14874" width="1.26953125" style="2" customWidth="1"/>
    <col min="14875" max="14882" width="11.453125" style="2" customWidth="1"/>
    <col min="14883" max="14885" width="18.7265625" style="2" bestFit="1" customWidth="1"/>
    <col min="14886" max="14886" width="13.54296875" style="2" bestFit="1" customWidth="1"/>
    <col min="14887" max="14887" width="13.1796875" style="2" bestFit="1" customWidth="1"/>
    <col min="14888" max="14888" width="13.54296875" style="2" bestFit="1" customWidth="1"/>
    <col min="14889" max="14889" width="13.1796875" style="2" bestFit="1" customWidth="1"/>
    <col min="14890" max="14890" width="13.54296875" style="2" bestFit="1" customWidth="1"/>
    <col min="14891" max="14891" width="13.1796875" style="2" bestFit="1" customWidth="1"/>
    <col min="14892" max="14892" width="13.54296875" style="2" bestFit="1" customWidth="1"/>
    <col min="14893" max="14893" width="13.1796875" style="2" bestFit="1" customWidth="1"/>
    <col min="14894" max="14894" width="13.54296875" style="2" bestFit="1" customWidth="1"/>
    <col min="14895" max="14895" width="13.1796875" style="2" bestFit="1" customWidth="1"/>
    <col min="14896" max="15104" width="11.453125" style="2"/>
    <col min="15105" max="15105" width="27.453125" style="2" customWidth="1"/>
    <col min="15106" max="15106" width="1.453125" style="2" customWidth="1"/>
    <col min="15107" max="15107" width="17.81640625" style="2" bestFit="1" customWidth="1"/>
    <col min="15108" max="15108" width="15.54296875" style="2" bestFit="1" customWidth="1"/>
    <col min="15109" max="15109" width="16.1796875" style="2" customWidth="1"/>
    <col min="15110" max="15110" width="1.26953125" style="2" customWidth="1"/>
    <col min="15111" max="15111" width="17.81640625" style="2" bestFit="1" customWidth="1"/>
    <col min="15112" max="15112" width="15.54296875" style="2" bestFit="1" customWidth="1"/>
    <col min="15113" max="15113" width="16.1796875" style="2" customWidth="1"/>
    <col min="15114" max="15114" width="1.7265625" style="2" customWidth="1"/>
    <col min="15115" max="15116" width="15.453125" style="2" bestFit="1" customWidth="1"/>
    <col min="15117" max="15117" width="18.453125" style="2" customWidth="1"/>
    <col min="15118" max="15118" width="1.26953125" style="2" customWidth="1"/>
    <col min="15119" max="15120" width="15.453125" style="2" bestFit="1" customWidth="1"/>
    <col min="15121" max="15121" width="18.453125" style="2" customWidth="1"/>
    <col min="15122" max="15122" width="1.26953125" style="2" customWidth="1"/>
    <col min="15123" max="15124" width="15.453125" style="2" bestFit="1" customWidth="1"/>
    <col min="15125" max="15125" width="18.453125" style="2" customWidth="1"/>
    <col min="15126" max="15126" width="1.26953125" style="2" customWidth="1"/>
    <col min="15127" max="15128" width="15.453125" style="2" customWidth="1"/>
    <col min="15129" max="15129" width="18.453125" style="2" customWidth="1"/>
    <col min="15130" max="15130" width="1.26953125" style="2" customWidth="1"/>
    <col min="15131" max="15138" width="11.453125" style="2" customWidth="1"/>
    <col min="15139" max="15141" width="18.7265625" style="2" bestFit="1" customWidth="1"/>
    <col min="15142" max="15142" width="13.54296875" style="2" bestFit="1" customWidth="1"/>
    <col min="15143" max="15143" width="13.1796875" style="2" bestFit="1" customWidth="1"/>
    <col min="15144" max="15144" width="13.54296875" style="2" bestFit="1" customWidth="1"/>
    <col min="15145" max="15145" width="13.1796875" style="2" bestFit="1" customWidth="1"/>
    <col min="15146" max="15146" width="13.54296875" style="2" bestFit="1" customWidth="1"/>
    <col min="15147" max="15147" width="13.1796875" style="2" bestFit="1" customWidth="1"/>
    <col min="15148" max="15148" width="13.54296875" style="2" bestFit="1" customWidth="1"/>
    <col min="15149" max="15149" width="13.1796875" style="2" bestFit="1" customWidth="1"/>
    <col min="15150" max="15150" width="13.54296875" style="2" bestFit="1" customWidth="1"/>
    <col min="15151" max="15151" width="13.1796875" style="2" bestFit="1" customWidth="1"/>
    <col min="15152" max="15360" width="11.453125" style="2"/>
    <col min="15361" max="15361" width="27.453125" style="2" customWidth="1"/>
    <col min="15362" max="15362" width="1.453125" style="2" customWidth="1"/>
    <col min="15363" max="15363" width="17.81640625" style="2" bestFit="1" customWidth="1"/>
    <col min="15364" max="15364" width="15.54296875" style="2" bestFit="1" customWidth="1"/>
    <col min="15365" max="15365" width="16.1796875" style="2" customWidth="1"/>
    <col min="15366" max="15366" width="1.26953125" style="2" customWidth="1"/>
    <col min="15367" max="15367" width="17.81640625" style="2" bestFit="1" customWidth="1"/>
    <col min="15368" max="15368" width="15.54296875" style="2" bestFit="1" customWidth="1"/>
    <col min="15369" max="15369" width="16.1796875" style="2" customWidth="1"/>
    <col min="15370" max="15370" width="1.7265625" style="2" customWidth="1"/>
    <col min="15371" max="15372" width="15.453125" style="2" bestFit="1" customWidth="1"/>
    <col min="15373" max="15373" width="18.453125" style="2" customWidth="1"/>
    <col min="15374" max="15374" width="1.26953125" style="2" customWidth="1"/>
    <col min="15375" max="15376" width="15.453125" style="2" bestFit="1" customWidth="1"/>
    <col min="15377" max="15377" width="18.453125" style="2" customWidth="1"/>
    <col min="15378" max="15378" width="1.26953125" style="2" customWidth="1"/>
    <col min="15379" max="15380" width="15.453125" style="2" bestFit="1" customWidth="1"/>
    <col min="15381" max="15381" width="18.453125" style="2" customWidth="1"/>
    <col min="15382" max="15382" width="1.26953125" style="2" customWidth="1"/>
    <col min="15383" max="15384" width="15.453125" style="2" customWidth="1"/>
    <col min="15385" max="15385" width="18.453125" style="2" customWidth="1"/>
    <col min="15386" max="15386" width="1.26953125" style="2" customWidth="1"/>
    <col min="15387" max="15394" width="11.453125" style="2" customWidth="1"/>
    <col min="15395" max="15397" width="18.7265625" style="2" bestFit="1" customWidth="1"/>
    <col min="15398" max="15398" width="13.54296875" style="2" bestFit="1" customWidth="1"/>
    <col min="15399" max="15399" width="13.1796875" style="2" bestFit="1" customWidth="1"/>
    <col min="15400" max="15400" width="13.54296875" style="2" bestFit="1" customWidth="1"/>
    <col min="15401" max="15401" width="13.1796875" style="2" bestFit="1" customWidth="1"/>
    <col min="15402" max="15402" width="13.54296875" style="2" bestFit="1" customWidth="1"/>
    <col min="15403" max="15403" width="13.1796875" style="2" bestFit="1" customWidth="1"/>
    <col min="15404" max="15404" width="13.54296875" style="2" bestFit="1" customWidth="1"/>
    <col min="15405" max="15405" width="13.1796875" style="2" bestFit="1" customWidth="1"/>
    <col min="15406" max="15406" width="13.54296875" style="2" bestFit="1" customWidth="1"/>
    <col min="15407" max="15407" width="13.1796875" style="2" bestFit="1" customWidth="1"/>
    <col min="15408" max="15616" width="11.453125" style="2"/>
    <col min="15617" max="15617" width="27.453125" style="2" customWidth="1"/>
    <col min="15618" max="15618" width="1.453125" style="2" customWidth="1"/>
    <col min="15619" max="15619" width="17.81640625" style="2" bestFit="1" customWidth="1"/>
    <col min="15620" max="15620" width="15.54296875" style="2" bestFit="1" customWidth="1"/>
    <col min="15621" max="15621" width="16.1796875" style="2" customWidth="1"/>
    <col min="15622" max="15622" width="1.26953125" style="2" customWidth="1"/>
    <col min="15623" max="15623" width="17.81640625" style="2" bestFit="1" customWidth="1"/>
    <col min="15624" max="15624" width="15.54296875" style="2" bestFit="1" customWidth="1"/>
    <col min="15625" max="15625" width="16.1796875" style="2" customWidth="1"/>
    <col min="15626" max="15626" width="1.7265625" style="2" customWidth="1"/>
    <col min="15627" max="15628" width="15.453125" style="2" bestFit="1" customWidth="1"/>
    <col min="15629" max="15629" width="18.453125" style="2" customWidth="1"/>
    <col min="15630" max="15630" width="1.26953125" style="2" customWidth="1"/>
    <col min="15631" max="15632" width="15.453125" style="2" bestFit="1" customWidth="1"/>
    <col min="15633" max="15633" width="18.453125" style="2" customWidth="1"/>
    <col min="15634" max="15634" width="1.26953125" style="2" customWidth="1"/>
    <col min="15635" max="15636" width="15.453125" style="2" bestFit="1" customWidth="1"/>
    <col min="15637" max="15637" width="18.453125" style="2" customWidth="1"/>
    <col min="15638" max="15638" width="1.26953125" style="2" customWidth="1"/>
    <col min="15639" max="15640" width="15.453125" style="2" customWidth="1"/>
    <col min="15641" max="15641" width="18.453125" style="2" customWidth="1"/>
    <col min="15642" max="15642" width="1.26953125" style="2" customWidth="1"/>
    <col min="15643" max="15650" width="11.453125" style="2" customWidth="1"/>
    <col min="15651" max="15653" width="18.7265625" style="2" bestFit="1" customWidth="1"/>
    <col min="15654" max="15654" width="13.54296875" style="2" bestFit="1" customWidth="1"/>
    <col min="15655" max="15655" width="13.1796875" style="2" bestFit="1" customWidth="1"/>
    <col min="15656" max="15656" width="13.54296875" style="2" bestFit="1" customWidth="1"/>
    <col min="15657" max="15657" width="13.1796875" style="2" bestFit="1" customWidth="1"/>
    <col min="15658" max="15658" width="13.54296875" style="2" bestFit="1" customWidth="1"/>
    <col min="15659" max="15659" width="13.1796875" style="2" bestFit="1" customWidth="1"/>
    <col min="15660" max="15660" width="13.54296875" style="2" bestFit="1" customWidth="1"/>
    <col min="15661" max="15661" width="13.1796875" style="2" bestFit="1" customWidth="1"/>
    <col min="15662" max="15662" width="13.54296875" style="2" bestFit="1" customWidth="1"/>
    <col min="15663" max="15663" width="13.1796875" style="2" bestFit="1" customWidth="1"/>
    <col min="15664" max="15872" width="11.453125" style="2"/>
    <col min="15873" max="15873" width="27.453125" style="2" customWidth="1"/>
    <col min="15874" max="15874" width="1.453125" style="2" customWidth="1"/>
    <col min="15875" max="15875" width="17.81640625" style="2" bestFit="1" customWidth="1"/>
    <col min="15876" max="15876" width="15.54296875" style="2" bestFit="1" customWidth="1"/>
    <col min="15877" max="15877" width="16.1796875" style="2" customWidth="1"/>
    <col min="15878" max="15878" width="1.26953125" style="2" customWidth="1"/>
    <col min="15879" max="15879" width="17.81640625" style="2" bestFit="1" customWidth="1"/>
    <col min="15880" max="15880" width="15.54296875" style="2" bestFit="1" customWidth="1"/>
    <col min="15881" max="15881" width="16.1796875" style="2" customWidth="1"/>
    <col min="15882" max="15882" width="1.7265625" style="2" customWidth="1"/>
    <col min="15883" max="15884" width="15.453125" style="2" bestFit="1" customWidth="1"/>
    <col min="15885" max="15885" width="18.453125" style="2" customWidth="1"/>
    <col min="15886" max="15886" width="1.26953125" style="2" customWidth="1"/>
    <col min="15887" max="15888" width="15.453125" style="2" bestFit="1" customWidth="1"/>
    <col min="15889" max="15889" width="18.453125" style="2" customWidth="1"/>
    <col min="15890" max="15890" width="1.26953125" style="2" customWidth="1"/>
    <col min="15891" max="15892" width="15.453125" style="2" bestFit="1" customWidth="1"/>
    <col min="15893" max="15893" width="18.453125" style="2" customWidth="1"/>
    <col min="15894" max="15894" width="1.26953125" style="2" customWidth="1"/>
    <col min="15895" max="15896" width="15.453125" style="2" customWidth="1"/>
    <col min="15897" max="15897" width="18.453125" style="2" customWidth="1"/>
    <col min="15898" max="15898" width="1.26953125" style="2" customWidth="1"/>
    <col min="15899" max="15906" width="11.453125" style="2" customWidth="1"/>
    <col min="15907" max="15909" width="18.7265625" style="2" bestFit="1" customWidth="1"/>
    <col min="15910" max="15910" width="13.54296875" style="2" bestFit="1" customWidth="1"/>
    <col min="15911" max="15911" width="13.1796875" style="2" bestFit="1" customWidth="1"/>
    <col min="15912" max="15912" width="13.54296875" style="2" bestFit="1" customWidth="1"/>
    <col min="15913" max="15913" width="13.1796875" style="2" bestFit="1" customWidth="1"/>
    <col min="15914" max="15914" width="13.54296875" style="2" bestFit="1" customWidth="1"/>
    <col min="15915" max="15915" width="13.1796875" style="2" bestFit="1" customWidth="1"/>
    <col min="15916" max="15916" width="13.54296875" style="2" bestFit="1" customWidth="1"/>
    <col min="15917" max="15917" width="13.1796875" style="2" bestFit="1" customWidth="1"/>
    <col min="15918" max="15918" width="13.54296875" style="2" bestFit="1" customWidth="1"/>
    <col min="15919" max="15919" width="13.1796875" style="2" bestFit="1" customWidth="1"/>
    <col min="15920" max="16128" width="11.453125" style="2"/>
    <col min="16129" max="16129" width="27.453125" style="2" customWidth="1"/>
    <col min="16130" max="16130" width="1.453125" style="2" customWidth="1"/>
    <col min="16131" max="16131" width="17.81640625" style="2" bestFit="1" customWidth="1"/>
    <col min="16132" max="16132" width="15.54296875" style="2" bestFit="1" customWidth="1"/>
    <col min="16133" max="16133" width="16.1796875" style="2" customWidth="1"/>
    <col min="16134" max="16134" width="1.26953125" style="2" customWidth="1"/>
    <col min="16135" max="16135" width="17.81640625" style="2" bestFit="1" customWidth="1"/>
    <col min="16136" max="16136" width="15.54296875" style="2" bestFit="1" customWidth="1"/>
    <col min="16137" max="16137" width="16.1796875" style="2" customWidth="1"/>
    <col min="16138" max="16138" width="1.7265625" style="2" customWidth="1"/>
    <col min="16139" max="16140" width="15.453125" style="2" bestFit="1" customWidth="1"/>
    <col min="16141" max="16141" width="18.453125" style="2" customWidth="1"/>
    <col min="16142" max="16142" width="1.26953125" style="2" customWidth="1"/>
    <col min="16143" max="16144" width="15.453125" style="2" bestFit="1" customWidth="1"/>
    <col min="16145" max="16145" width="18.453125" style="2" customWidth="1"/>
    <col min="16146" max="16146" width="1.26953125" style="2" customWidth="1"/>
    <col min="16147" max="16148" width="15.453125" style="2" bestFit="1" customWidth="1"/>
    <col min="16149" max="16149" width="18.453125" style="2" customWidth="1"/>
    <col min="16150" max="16150" width="1.26953125" style="2" customWidth="1"/>
    <col min="16151" max="16152" width="15.453125" style="2" customWidth="1"/>
    <col min="16153" max="16153" width="18.453125" style="2" customWidth="1"/>
    <col min="16154" max="16154" width="1.26953125" style="2" customWidth="1"/>
    <col min="16155" max="16162" width="11.453125" style="2" customWidth="1"/>
    <col min="16163" max="16165" width="18.7265625" style="2" bestFit="1" customWidth="1"/>
    <col min="16166" max="16166" width="13.54296875" style="2" bestFit="1" customWidth="1"/>
    <col min="16167" max="16167" width="13.1796875" style="2" bestFit="1" customWidth="1"/>
    <col min="16168" max="16168" width="13.54296875" style="2" bestFit="1" customWidth="1"/>
    <col min="16169" max="16169" width="13.1796875" style="2" bestFit="1" customWidth="1"/>
    <col min="16170" max="16170" width="13.54296875" style="2" bestFit="1" customWidth="1"/>
    <col min="16171" max="16171" width="13.1796875" style="2" bestFit="1" customWidth="1"/>
    <col min="16172" max="16172" width="13.54296875" style="2" bestFit="1" customWidth="1"/>
    <col min="16173" max="16173" width="13.1796875" style="2" bestFit="1" customWidth="1"/>
    <col min="16174" max="16174" width="13.54296875" style="2" bestFit="1" customWidth="1"/>
    <col min="16175" max="16175" width="13.1796875" style="2" bestFit="1" customWidth="1"/>
    <col min="16176" max="16384" width="11.453125" style="2"/>
  </cols>
  <sheetData>
    <row r="2" spans="1:47" ht="45.5" x14ac:dyDescent="0.25">
      <c r="A2" s="1">
        <f>C13</f>
        <v>46082</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9" spans="1:47" ht="27.5" x14ac:dyDescent="0.25">
      <c r="A9" s="757" t="s">
        <v>0</v>
      </c>
      <c r="B9" s="757"/>
      <c r="C9" s="757"/>
      <c r="D9" s="757"/>
      <c r="E9" s="757"/>
      <c r="F9" s="757"/>
      <c r="G9" s="757"/>
      <c r="H9" s="757"/>
      <c r="I9" s="757"/>
      <c r="J9" s="757"/>
      <c r="K9" s="757"/>
      <c r="L9" s="757"/>
      <c r="M9" s="757"/>
      <c r="N9" s="757"/>
      <c r="O9" s="757"/>
      <c r="P9" s="757"/>
      <c r="Q9" s="757"/>
      <c r="R9" s="757"/>
      <c r="S9" s="757"/>
      <c r="T9" s="757"/>
      <c r="U9" s="757"/>
      <c r="V9" s="757"/>
      <c r="W9" s="757"/>
      <c r="X9" s="757"/>
      <c r="Y9" s="757"/>
      <c r="Z9" s="757"/>
      <c r="AA9" s="757"/>
      <c r="AB9" s="757"/>
      <c r="AC9" s="757"/>
      <c r="AD9" s="757"/>
      <c r="AE9" s="757"/>
      <c r="AF9" s="757"/>
      <c r="AG9" s="757"/>
      <c r="AH9" s="757"/>
      <c r="AI9" s="757"/>
      <c r="AJ9" s="757"/>
      <c r="AK9" s="757"/>
    </row>
    <row r="11" spans="1:47" ht="25" x14ac:dyDescent="0.5">
      <c r="C11" s="761" t="s">
        <v>72</v>
      </c>
      <c r="D11" s="761"/>
      <c r="E11" s="761"/>
      <c r="F11" s="3"/>
      <c r="G11" s="761" t="s">
        <v>73</v>
      </c>
      <c r="H11" s="761"/>
      <c r="I11" s="761"/>
      <c r="J11" s="3"/>
      <c r="K11" s="761" t="s">
        <v>74</v>
      </c>
      <c r="L11" s="761"/>
      <c r="M11" s="761"/>
      <c r="N11" s="3"/>
      <c r="O11" s="761" t="s">
        <v>75</v>
      </c>
      <c r="P11" s="761"/>
      <c r="Q11" s="761"/>
      <c r="R11" s="3"/>
      <c r="S11" s="761" t="s">
        <v>76</v>
      </c>
      <c r="T11" s="761"/>
      <c r="U11" s="761"/>
      <c r="V11" s="3"/>
      <c r="W11" s="761" t="s">
        <v>77</v>
      </c>
      <c r="X11" s="761"/>
      <c r="Y11" s="761"/>
      <c r="Z11" s="3"/>
      <c r="AA11" s="761" t="s">
        <v>59</v>
      </c>
      <c r="AB11" s="761"/>
      <c r="AC11" s="761"/>
      <c r="AD11" s="3"/>
      <c r="AE11" s="761" t="s">
        <v>60</v>
      </c>
      <c r="AF11" s="761"/>
      <c r="AG11" s="761"/>
      <c r="AH11" s="3"/>
      <c r="AI11" s="761" t="s">
        <v>61</v>
      </c>
      <c r="AJ11" s="761"/>
      <c r="AK11" s="761"/>
    </row>
    <row r="12" spans="1:47" ht="6.75" customHeight="1" x14ac:dyDescent="0.4">
      <c r="C12" s="562"/>
      <c r="D12" s="562"/>
      <c r="E12" s="562"/>
      <c r="G12" s="562"/>
      <c r="H12" s="562"/>
      <c r="I12" s="562"/>
      <c r="K12" s="562"/>
      <c r="L12" s="562"/>
      <c r="M12" s="562"/>
      <c r="O12" s="562"/>
      <c r="P12" s="562"/>
      <c r="Q12" s="562"/>
      <c r="S12" s="562"/>
      <c r="T12" s="562"/>
      <c r="U12" s="562"/>
      <c r="W12" s="562"/>
      <c r="X12" s="562"/>
      <c r="Y12" s="562"/>
      <c r="AA12" s="562"/>
      <c r="AB12" s="562"/>
      <c r="AC12" s="562"/>
      <c r="AE12" s="562"/>
      <c r="AF12" s="562"/>
      <c r="AG12" s="562"/>
      <c r="AI12" s="562"/>
      <c r="AJ12" s="562"/>
      <c r="AK12" s="562"/>
    </row>
    <row r="13" spans="1:47" ht="24.75" customHeight="1" x14ac:dyDescent="0.5">
      <c r="A13" s="4"/>
      <c r="B13" s="5"/>
      <c r="C13" s="559">
        <v>46082</v>
      </c>
      <c r="D13" s="558">
        <f>C13-360</f>
        <v>45722</v>
      </c>
      <c r="E13" s="560" t="s">
        <v>62</v>
      </c>
      <c r="F13" s="3"/>
      <c r="G13" s="559">
        <f>C13</f>
        <v>46082</v>
      </c>
      <c r="H13" s="558">
        <f>G13-360</f>
        <v>45722</v>
      </c>
      <c r="I13" s="560" t="s">
        <v>62</v>
      </c>
      <c r="J13" s="3"/>
      <c r="K13" s="559">
        <f>G13</f>
        <v>46082</v>
      </c>
      <c r="L13" s="558">
        <f>H13</f>
        <v>45722</v>
      </c>
      <c r="M13" s="560" t="s">
        <v>62</v>
      </c>
      <c r="N13" s="3"/>
      <c r="O13" s="559">
        <f>K13</f>
        <v>46082</v>
      </c>
      <c r="P13" s="558">
        <f>L13</f>
        <v>45722</v>
      </c>
      <c r="Q13" s="560" t="s">
        <v>62</v>
      </c>
      <c r="R13" s="3"/>
      <c r="S13" s="559">
        <f>O13</f>
        <v>46082</v>
      </c>
      <c r="T13" s="558">
        <f>P13</f>
        <v>45722</v>
      </c>
      <c r="U13" s="560" t="s">
        <v>62</v>
      </c>
      <c r="V13" s="3"/>
      <c r="W13" s="559">
        <f>S13</f>
        <v>46082</v>
      </c>
      <c r="X13" s="558">
        <f>T13</f>
        <v>45722</v>
      </c>
      <c r="Y13" s="560" t="s">
        <v>62</v>
      </c>
      <c r="Z13" s="3"/>
      <c r="AA13" s="559">
        <f>K13</f>
        <v>46082</v>
      </c>
      <c r="AB13" s="558">
        <f>L13</f>
        <v>45722</v>
      </c>
      <c r="AC13" s="560" t="s">
        <v>62</v>
      </c>
      <c r="AD13" s="3"/>
      <c r="AE13" s="559">
        <f>AA13</f>
        <v>46082</v>
      </c>
      <c r="AF13" s="558">
        <f>AB13</f>
        <v>45722</v>
      </c>
      <c r="AG13" s="560" t="s">
        <v>62</v>
      </c>
      <c r="AH13" s="3"/>
      <c r="AI13" s="559">
        <f>AE13</f>
        <v>46082</v>
      </c>
      <c r="AJ13" s="558">
        <f>AF13</f>
        <v>45722</v>
      </c>
      <c r="AK13" s="560" t="s">
        <v>62</v>
      </c>
      <c r="AL13" s="36" t="s">
        <v>1</v>
      </c>
      <c r="AM13" s="36"/>
      <c r="AN13" s="36" t="s">
        <v>13</v>
      </c>
      <c r="AO13" s="36"/>
      <c r="AP13" s="36" t="s">
        <v>65</v>
      </c>
      <c r="AQ13" s="36"/>
      <c r="AR13" s="36" t="s">
        <v>78</v>
      </c>
      <c r="AS13" s="36"/>
      <c r="AT13" s="36" t="s">
        <v>79</v>
      </c>
      <c r="AU13" s="36"/>
    </row>
    <row r="14" spans="1:47" ht="6.75" customHeight="1" x14ac:dyDescent="0.4">
      <c r="C14" s="562"/>
      <c r="D14" s="562"/>
      <c r="E14" s="562"/>
      <c r="G14" s="562"/>
      <c r="H14" s="562"/>
      <c r="I14" s="562"/>
      <c r="K14" s="562"/>
      <c r="L14" s="562"/>
      <c r="M14" s="562"/>
      <c r="O14" s="562"/>
      <c r="P14" s="562"/>
      <c r="Q14" s="562"/>
      <c r="S14" s="562"/>
      <c r="T14" s="562"/>
      <c r="U14" s="562"/>
      <c r="W14" s="562"/>
      <c r="X14" s="562"/>
      <c r="Y14" s="562"/>
      <c r="AA14" s="562"/>
      <c r="AB14" s="562"/>
      <c r="AC14" s="562"/>
      <c r="AE14" s="562"/>
      <c r="AF14" s="562"/>
      <c r="AG14" s="562"/>
      <c r="AI14" s="562"/>
      <c r="AJ14" s="562"/>
      <c r="AK14" s="562"/>
    </row>
    <row r="15" spans="1:47" ht="6" customHeight="1" x14ac:dyDescent="0.25">
      <c r="A15" s="563"/>
      <c r="B15" s="563"/>
      <c r="C15" s="563"/>
      <c r="D15" s="563"/>
      <c r="E15" s="563"/>
      <c r="G15" s="563"/>
      <c r="H15" s="563"/>
      <c r="I15" s="563"/>
      <c r="K15" s="563"/>
      <c r="L15" s="563"/>
      <c r="M15" s="563"/>
      <c r="O15" s="563"/>
      <c r="P15" s="563"/>
      <c r="Q15" s="563"/>
      <c r="S15" s="563"/>
      <c r="T15" s="563"/>
      <c r="U15" s="563"/>
      <c r="W15" s="563"/>
      <c r="X15" s="563"/>
      <c r="Y15" s="563"/>
      <c r="AA15" s="563"/>
      <c r="AB15" s="563"/>
      <c r="AC15" s="563"/>
      <c r="AE15" s="563"/>
      <c r="AF15" s="563"/>
      <c r="AG15" s="563"/>
      <c r="AI15" s="563"/>
      <c r="AJ15" s="563"/>
      <c r="AK15" s="563"/>
    </row>
    <row r="16" spans="1:47" ht="23.5" x14ac:dyDescent="0.55000000000000004">
      <c r="A16" s="6" t="s">
        <v>10</v>
      </c>
      <c r="B16" s="7"/>
      <c r="C16" s="8">
        <f>WAFASALAF!$B$12</f>
        <v>459172.33399999997</v>
      </c>
      <c r="D16" s="8">
        <f>WAFASALAF!$C$12</f>
        <v>467803.11499999999</v>
      </c>
      <c r="E16" s="9">
        <f>IF(D16=0,0,C16/D16-1)</f>
        <v>-1.8449601388396131E-2</v>
      </c>
      <c r="F16" s="10"/>
      <c r="G16" s="8">
        <f>WAFASALAF!$B$13</f>
        <v>951200.32100000011</v>
      </c>
      <c r="H16" s="8">
        <f>WAFASALAF!$C$13</f>
        <v>926717.39599999995</v>
      </c>
      <c r="I16" s="9">
        <f>IF(H16=0,0,G16/H16-1)</f>
        <v>2.641897638446844E-2</v>
      </c>
      <c r="J16" s="10"/>
      <c r="K16" s="8">
        <f>WAFASALAF!$B$24</f>
        <v>270125.24300000002</v>
      </c>
      <c r="L16" s="8">
        <f>WAFASALAF!$C$24</f>
        <v>365425.54499999998</v>
      </c>
      <c r="M16" s="9">
        <f>IF(L16=0,0,K16/L16-1)</f>
        <v>-0.26079266571251869</v>
      </c>
      <c r="N16" s="10"/>
      <c r="O16" s="8">
        <f>WAFASALAF!$B$25</f>
        <v>62934.633000000002</v>
      </c>
      <c r="P16" s="8">
        <f>WAFASALAF!$C$25</f>
        <v>69721.445999999996</v>
      </c>
      <c r="Q16" s="9">
        <f>IF(P16=0,0,O16/P16-1)</f>
        <v>-9.7341827936270775E-2</v>
      </c>
      <c r="R16" s="10"/>
      <c r="S16" s="8">
        <f>WAFASALAF!$B$26</f>
        <v>22798.366000000002</v>
      </c>
      <c r="T16" s="8">
        <f>WAFASALAF!$C$26</f>
        <v>27255.565999999999</v>
      </c>
      <c r="U16" s="9">
        <f>IF(T16=0,0,S16/T16-1)</f>
        <v>-0.16353356962023824</v>
      </c>
      <c r="V16" s="10"/>
      <c r="W16" s="8">
        <f>WAFASALAF!$B$27</f>
        <v>306527.53100000002</v>
      </c>
      <c r="X16" s="8">
        <f>WAFASALAF!$C$27</f>
        <v>254191.845</v>
      </c>
      <c r="Y16" s="9">
        <f>IF(X16=0,0,W16/X16-1)</f>
        <v>0.20589049975226392</v>
      </c>
      <c r="Z16" s="10"/>
      <c r="AA16" s="8">
        <f>WAFASALAF!$B$18</f>
        <v>259295.33900000001</v>
      </c>
      <c r="AB16" s="8">
        <f>WAFASALAF!$C$18</f>
        <v>162726.734</v>
      </c>
      <c r="AC16" s="9">
        <f>IF(AB16=0,0,AA16/AB16-1)</f>
        <v>0.59344031940074471</v>
      </c>
      <c r="AD16" s="10"/>
      <c r="AE16" s="8">
        <f>WAFASALAF!$B$28</f>
        <v>4779.0460000000003</v>
      </c>
      <c r="AF16" s="8">
        <f>WAFASALAF!$C$28</f>
        <v>5315.21</v>
      </c>
      <c r="AG16" s="9">
        <f>IF(AF16=0,0,AE16/AF16-1)</f>
        <v>-0.10087353086707762</v>
      </c>
      <c r="AH16" s="10"/>
      <c r="AI16" s="8">
        <f>AE16+AA16+K16+G16+C16+O16+S16+W16</f>
        <v>2336832.8130000001</v>
      </c>
      <c r="AJ16" s="8">
        <f>AF16+AB16+L16+H16+D16+P16+T16+X16</f>
        <v>2279156.8569999998</v>
      </c>
      <c r="AK16" s="9">
        <f>IF(AJ16=0,0,AI16/AJ16-1)</f>
        <v>2.5305830014665132E-2</v>
      </c>
      <c r="AL16" s="35">
        <f>C16+G16-'Syn prin concurents'!E18</f>
        <v>0</v>
      </c>
      <c r="AM16" s="35">
        <f>D16+H16-'Syn prin concurents'!F18</f>
        <v>0</v>
      </c>
      <c r="AN16" s="35">
        <f>K16+O16+S16+W16-'Syn prin concurents'!I18</f>
        <v>0</v>
      </c>
      <c r="AO16" s="35">
        <f>L16+P16+T16+X16-'Syn prin concurents'!J18</f>
        <v>0</v>
      </c>
      <c r="AP16" s="35">
        <f>AA16-'Syn prin concurents'!M18</f>
        <v>0</v>
      </c>
      <c r="AQ16" s="35">
        <f>AB16-'Syn prin concurents'!N18</f>
        <v>0</v>
      </c>
      <c r="AR16" s="35">
        <f>AE16-'Syn prin concurents'!Q18</f>
        <v>0</v>
      </c>
      <c r="AS16" s="35">
        <f>AF16-'Syn prin concurents'!R18</f>
        <v>0</v>
      </c>
      <c r="AT16" s="35">
        <f>AI16-'Syn prin concurents'!U18</f>
        <v>0</v>
      </c>
      <c r="AU16" s="35">
        <f>AJ16-'Syn prin concurents'!V18</f>
        <v>0</v>
      </c>
    </row>
    <row r="17" spans="1:47" ht="18.5" x14ac:dyDescent="0.45">
      <c r="A17" s="11" t="s">
        <v>67</v>
      </c>
      <c r="B17" s="12"/>
      <c r="C17" s="13">
        <f>C16/C$30</f>
        <v>0.13308894918814212</v>
      </c>
      <c r="D17" s="13">
        <f>D16/D$30</f>
        <v>0.14882279302496221</v>
      </c>
      <c r="E17" s="14">
        <f>(C17-D17)*100</f>
        <v>-1.5733843836820083</v>
      </c>
      <c r="F17" s="15"/>
      <c r="G17" s="13">
        <f>G16/G$30</f>
        <v>0.27109255157427764</v>
      </c>
      <c r="H17" s="13">
        <f>H16/H$30</f>
        <v>0.28130835387410291</v>
      </c>
      <c r="I17" s="14">
        <f>(G17-H17)*100</f>
        <v>-1.0215802299825272</v>
      </c>
      <c r="J17" s="15"/>
      <c r="K17" s="13">
        <f>K16/K$30</f>
        <v>0.36148922056592936</v>
      </c>
      <c r="L17" s="13">
        <f>L16/L$30</f>
        <v>0.31891331505840026</v>
      </c>
      <c r="M17" s="14">
        <f>(K17-L17)*100</f>
        <v>4.2575905507529104</v>
      </c>
      <c r="N17" s="15"/>
      <c r="O17" s="13">
        <f>O16/O$30</f>
        <v>0.324304799949994</v>
      </c>
      <c r="P17" s="13">
        <f>P16/P$30</f>
        <v>0.32513034185721701</v>
      </c>
      <c r="Q17" s="14">
        <f>(O17-P17)*100</f>
        <v>-8.2554190722300413E-2</v>
      </c>
      <c r="R17" s="15"/>
      <c r="S17" s="13">
        <f>S16/S$30</f>
        <v>0.46577672254009989</v>
      </c>
      <c r="T17" s="13">
        <f>T16/T$30</f>
        <v>0.41623746324427113</v>
      </c>
      <c r="U17" s="14">
        <f>(S17-T17)*100</f>
        <v>4.9539259295828755</v>
      </c>
      <c r="V17" s="15"/>
      <c r="W17" s="13">
        <f>W16/W$30</f>
        <v>0.38328078166006491</v>
      </c>
      <c r="X17" s="13">
        <f>X16/X$30</f>
        <v>0.39359691360912147</v>
      </c>
      <c r="Y17" s="14">
        <f>(W17-X17)*100</f>
        <v>-1.0316131949056562</v>
      </c>
      <c r="Z17" s="15"/>
      <c r="AA17" s="13">
        <f>AA16/AA$30</f>
        <v>0.99495650703895477</v>
      </c>
      <c r="AB17" s="13">
        <f>AB16/AB$30</f>
        <v>0.98184501776087263</v>
      </c>
      <c r="AC17" s="14">
        <f>(AA17-AB17)*100</f>
        <v>1.3111489278082145</v>
      </c>
      <c r="AD17" s="15"/>
      <c r="AE17" s="13">
        <f>AE16/AE$30</f>
        <v>0.79358884688781328</v>
      </c>
      <c r="AF17" s="13">
        <f>AF16/AF$30</f>
        <v>0.89505427536136695</v>
      </c>
      <c r="AG17" s="14">
        <f>(AE17-AF17)*100</f>
        <v>-10.146542847355366</v>
      </c>
      <c r="AH17" s="15"/>
      <c r="AI17" s="13">
        <f>AI16/AI$30</f>
        <v>0.25920098534248082</v>
      </c>
      <c r="AJ17" s="13">
        <f>AJ16/AJ$30</f>
        <v>0.26254759263017746</v>
      </c>
      <c r="AK17" s="14">
        <f>(AI17-AJ17)*100</f>
        <v>-0.33466072876966457</v>
      </c>
      <c r="AL17" s="35">
        <f>C17+G17-'Syn prin concurents'!E19</f>
        <v>0.20150919964519778</v>
      </c>
      <c r="AM17" s="35">
        <f>D17+H17-'Syn prin concurents'!F19</f>
        <v>0.21352868899507546</v>
      </c>
      <c r="AN17" s="35">
        <f>K17+O17+S17+W17-'Syn prin concurents'!I19</f>
        <v>1.1648057768823543</v>
      </c>
      <c r="AO17" s="35">
        <f>L17+P17+T17+X17-'Syn prin concurents'!J19</f>
        <v>1.1079621995130693</v>
      </c>
      <c r="AP17" s="35">
        <f>AA17-'Syn prin concurents'!M19</f>
        <v>0</v>
      </c>
      <c r="AQ17" s="35">
        <f>AB17-'Syn prin concurents'!N19</f>
        <v>0</v>
      </c>
      <c r="AR17" s="35">
        <f>AE17-'Syn prin concurents'!Q19</f>
        <v>0</v>
      </c>
      <c r="AS17" s="35">
        <f>AF17-'Syn prin concurents'!R19</f>
        <v>0</v>
      </c>
      <c r="AT17" s="35">
        <f>AI17-'Syn prin concurents'!U19</f>
        <v>0</v>
      </c>
      <c r="AU17" s="35">
        <f>AJ17-'Syn prin concurents'!V19</f>
        <v>1.476211204365363E-5</v>
      </c>
    </row>
    <row r="18" spans="1:47" ht="23.5" x14ac:dyDescent="0.55000000000000004">
      <c r="A18" s="16" t="s">
        <v>2</v>
      </c>
      <c r="B18" s="37"/>
      <c r="C18" s="17">
        <f>SOFAC!$B$12</f>
        <v>1477587.7146600005</v>
      </c>
      <c r="D18" s="17">
        <f>SOFAC!$C$12</f>
        <v>1209540.0634300001</v>
      </c>
      <c r="E18" s="18">
        <f>IF(D18=0,0,C18/D18-1)</f>
        <v>0.22161122176463821</v>
      </c>
      <c r="F18" s="10"/>
      <c r="G18" s="17">
        <f>SOFAC!$B$13</f>
        <v>1393341.4098533413</v>
      </c>
      <c r="H18" s="17">
        <f>SOFAC!$C$13</f>
        <v>1165306.3545366684</v>
      </c>
      <c r="I18" s="18">
        <f>IF(H18=0,0,G18/H18-1)</f>
        <v>0.19568678607896262</v>
      </c>
      <c r="J18" s="10"/>
      <c r="K18" s="17">
        <f>SOFAC!$B$24</f>
        <v>69775.158639999994</v>
      </c>
      <c r="L18" s="17">
        <f>SOFAC!$C$24</f>
        <v>94865.97258999999</v>
      </c>
      <c r="M18" s="18">
        <f>IF(L18=0,0,K18/L18-1)</f>
        <v>-0.26448697319996561</v>
      </c>
      <c r="N18" s="10"/>
      <c r="O18" s="17">
        <f>SOFAC!$B$25</f>
        <v>56340.571200000013</v>
      </c>
      <c r="P18" s="17">
        <f>SOFAC!$C$25</f>
        <v>58514.491979999984</v>
      </c>
      <c r="Q18" s="18">
        <f>IF(P18=0,0,O18/P18-1)</f>
        <v>-3.7151835493043461E-2</v>
      </c>
      <c r="R18" s="10"/>
      <c r="S18" s="17">
        <f>SOFAC!$B$26</f>
        <v>715.67445999999995</v>
      </c>
      <c r="T18" s="17">
        <f>SOFAC!$C$26</f>
        <v>1396.0064100000002</v>
      </c>
      <c r="U18" s="18">
        <f>IF(T18=0,0,S18/T18-1)</f>
        <v>-0.48734156600326795</v>
      </c>
      <c r="V18" s="10"/>
      <c r="W18" s="17">
        <f>SOFAC!$B$27</f>
        <v>301113.39971999999</v>
      </c>
      <c r="X18" s="17">
        <f>SOFAC!$C$27</f>
        <v>211219.66547000001</v>
      </c>
      <c r="Y18" s="18">
        <f>IF(X18=0,0,W18/X18-1)</f>
        <v>0.42559358310681428</v>
      </c>
      <c r="Z18" s="10"/>
      <c r="AA18" s="17">
        <f>SOFAC!$B$18</f>
        <v>1143.1022999999998</v>
      </c>
      <c r="AB18" s="17">
        <f>SOFAC!$C$18</f>
        <v>2242.694</v>
      </c>
      <c r="AC18" s="18">
        <f>IF(AB18=0,0,AA18/AB18-1)</f>
        <v>-0.49029947910860783</v>
      </c>
      <c r="AD18" s="10"/>
      <c r="AE18" s="17">
        <f>SOFAC!$B$28</f>
        <v>0</v>
      </c>
      <c r="AF18" s="17">
        <f>SOFAC!$C$28</f>
        <v>0</v>
      </c>
      <c r="AG18" s="18">
        <f>IF(AF18=0,0,AE18/AF18-1)</f>
        <v>0</v>
      </c>
      <c r="AH18" s="10"/>
      <c r="AI18" s="17">
        <f>AE18+AA18+K18+G18+C18+O18+S18+W18</f>
        <v>3300017.0308333416</v>
      </c>
      <c r="AJ18" s="17">
        <f>AF18+AB18+L18+H18+D18+P18+T18+X18</f>
        <v>2743085.2484166683</v>
      </c>
      <c r="AK18" s="18">
        <f>IF(AJ18=0,0,AI18/AJ18-1)</f>
        <v>0.20303116089379247</v>
      </c>
      <c r="AL18" s="35">
        <f>C18+G18-'Syn prin concurents'!E16</f>
        <v>0</v>
      </c>
      <c r="AM18" s="35">
        <f>D18+H18-'Syn prin concurents'!F16</f>
        <v>0</v>
      </c>
      <c r="AN18" s="35">
        <f>K18+O18+S18+W18-'Syn prin concurents'!I16</f>
        <v>0</v>
      </c>
      <c r="AO18" s="35">
        <f>L18+P18+T18+X18-'Syn prin concurents'!J16</f>
        <v>0</v>
      </c>
      <c r="AP18" s="35">
        <f>AA18-'Syn prin concurents'!M16</f>
        <v>0</v>
      </c>
      <c r="AQ18" s="35">
        <f>AB18-'Syn prin concurents'!N16</f>
        <v>0</v>
      </c>
      <c r="AR18" s="35">
        <f>AE18-'Syn prin concurents'!Q16</f>
        <v>0</v>
      </c>
      <c r="AS18" s="35">
        <f>AF18-'Syn prin concurents'!R16</f>
        <v>0</v>
      </c>
      <c r="AT18" s="35">
        <f>AI18-'Syn prin concurents'!U16</f>
        <v>0</v>
      </c>
      <c r="AU18" s="35">
        <f>AJ18-'Syn prin concurents'!V16</f>
        <v>0</v>
      </c>
    </row>
    <row r="19" spans="1:47" ht="18.5" x14ac:dyDescent="0.45">
      <c r="A19" s="19" t="s">
        <v>67</v>
      </c>
      <c r="B19" s="20"/>
      <c r="C19" s="21">
        <f>C18/C$30</f>
        <v>0.42827187466701311</v>
      </c>
      <c r="D19" s="21">
        <f>D18/D$30</f>
        <v>0.38479250082642685</v>
      </c>
      <c r="E19" s="22">
        <f>(C19-D19)*100</f>
        <v>4.3479373840586257</v>
      </c>
      <c r="F19" s="15"/>
      <c r="G19" s="21">
        <f>G18/G$30</f>
        <v>0.39710297575818798</v>
      </c>
      <c r="H19" s="21">
        <f>H18/H$30</f>
        <v>0.3537328788352021</v>
      </c>
      <c r="I19" s="22">
        <f>(G19-H19)*100</f>
        <v>4.3370096922985883</v>
      </c>
      <c r="J19" s="15"/>
      <c r="K19" s="21">
        <f>K18/K$30</f>
        <v>9.3375085688077175E-2</v>
      </c>
      <c r="L19" s="21">
        <f>L18/L$30</f>
        <v>8.2791206632574721E-2</v>
      </c>
      <c r="M19" s="22">
        <f>(K19-L19)*100</f>
        <v>1.0583879055502454</v>
      </c>
      <c r="N19" s="15"/>
      <c r="O19" s="21">
        <f>O18/O$30</f>
        <v>0.29032532329352578</v>
      </c>
      <c r="P19" s="21">
        <f>P18/P$30</f>
        <v>0.27286922277915432</v>
      </c>
      <c r="Q19" s="22">
        <f>(O19-P19)*100</f>
        <v>1.7456100514371464</v>
      </c>
      <c r="R19" s="15"/>
      <c r="S19" s="21">
        <f>S18/S$30</f>
        <v>1.4621420867813763E-2</v>
      </c>
      <c r="T19" s="21">
        <f>T18/T$30</f>
        <v>2.1319321226759409E-2</v>
      </c>
      <c r="U19" s="22">
        <f>(S19-T19)*100</f>
        <v>-0.66979003589456454</v>
      </c>
      <c r="V19" s="15"/>
      <c r="W19" s="21">
        <f>W18/W$30</f>
        <v>0.37651097386420784</v>
      </c>
      <c r="X19" s="21">
        <f>X18/X$30</f>
        <v>0.3270577324089336</v>
      </c>
      <c r="Y19" s="22">
        <f>(W19-X19)*100</f>
        <v>4.9453241455274242</v>
      </c>
      <c r="Z19" s="15"/>
      <c r="AA19" s="21">
        <f>AA18/AA$30</f>
        <v>4.386261149091443E-3</v>
      </c>
      <c r="AB19" s="21">
        <f>AB18/AB$30</f>
        <v>1.3531752749749175E-2</v>
      </c>
      <c r="AC19" s="22">
        <f>(AA19-AB19)*100</f>
        <v>-0.91454916006577325</v>
      </c>
      <c r="AD19" s="15"/>
      <c r="AE19" s="21">
        <f>AE18/AE$30</f>
        <v>0</v>
      </c>
      <c r="AF19" s="21">
        <f>AF18/AF$30</f>
        <v>0</v>
      </c>
      <c r="AG19" s="22">
        <f>(AE19-AF19)*100</f>
        <v>0</v>
      </c>
      <c r="AH19" s="15"/>
      <c r="AI19" s="21">
        <f>AI18/AI$30</f>
        <v>0.36603716846172601</v>
      </c>
      <c r="AJ19" s="21">
        <f>AJ18/AJ$30</f>
        <v>0.31598984779797828</v>
      </c>
      <c r="AK19" s="22">
        <f>(AI19-AJ19)*100</f>
        <v>5.004732066374773</v>
      </c>
      <c r="AL19" s="35">
        <f>C19+G19-'Syn prin concurents'!E17</f>
        <v>0.41281877175564508</v>
      </c>
      <c r="AM19" s="35">
        <f>D19+H19-'Syn prin concurents'!F17</f>
        <v>0.36965481288366492</v>
      </c>
      <c r="AN19" s="35">
        <f>K19+O19+S19+W19-'Syn prin concurents'!I17</f>
        <v>0.53575889619607631</v>
      </c>
      <c r="AO19" s="35">
        <f>L19+P19+T19+X19-'Syn prin concurents'!J17</f>
        <v>0.52736312092401705</v>
      </c>
      <c r="AP19" s="35">
        <f>AA19-'Syn prin concurents'!M17</f>
        <v>0</v>
      </c>
      <c r="AQ19" s="35">
        <f>AB19-'Syn prin concurents'!N17</f>
        <v>0</v>
      </c>
      <c r="AR19" s="35">
        <f>AE19-'Syn prin concurents'!Q17</f>
        <v>0</v>
      </c>
      <c r="AS19" s="35">
        <f>AF19-'Syn prin concurents'!R17</f>
        <v>0</v>
      </c>
      <c r="AT19" s="35">
        <f>AI19-'Syn prin concurents'!U17</f>
        <v>0</v>
      </c>
      <c r="AU19" s="35">
        <f>AJ19-'Syn prin concurents'!V17</f>
        <v>1.7766978897437724E-5</v>
      </c>
    </row>
    <row r="20" spans="1:47" ht="23.5" x14ac:dyDescent="0.55000000000000004">
      <c r="A20" s="6" t="s">
        <v>5</v>
      </c>
      <c r="B20" s="296"/>
      <c r="C20" s="297">
        <f>VIVALIS!$B$12</f>
        <v>346945.91100000002</v>
      </c>
      <c r="D20" s="297">
        <f>VIVALIS!$C$12</f>
        <v>544967.05900000001</v>
      </c>
      <c r="E20" s="298">
        <f>IF(D20=0,0,C20/D20-1)</f>
        <v>-0.36336351845442461</v>
      </c>
      <c r="F20" s="10"/>
      <c r="G20" s="297">
        <f>VIVALIS!$B$13</f>
        <v>434119.86899999995</v>
      </c>
      <c r="H20" s="297">
        <f>VIVALIS!$C$13</f>
        <v>489315.14800000004</v>
      </c>
      <c r="I20" s="298">
        <f>IF(H20=0,0,G20/H20-1)</f>
        <v>-0.11280108377106712</v>
      </c>
      <c r="J20" s="10"/>
      <c r="K20" s="297">
        <f>VIVALIS!$B$24</f>
        <v>143947.88800000001</v>
      </c>
      <c r="L20" s="297">
        <f>VIVALIS!$C$24</f>
        <v>254226.12299999999</v>
      </c>
      <c r="M20" s="298">
        <f>IF(L20=0,0,K20/L20-1)</f>
        <v>-0.4337801076406298</v>
      </c>
      <c r="N20" s="10"/>
      <c r="O20" s="297">
        <f>VIVALIS!$B$25</f>
        <v>19747.401000000002</v>
      </c>
      <c r="P20" s="297">
        <f>VIVALIS!$C$25</f>
        <v>30875.489000000001</v>
      </c>
      <c r="Q20" s="9">
        <f>IF(P20=0,0,O20/P20-1)</f>
        <v>-0.36041819451021484</v>
      </c>
      <c r="R20" s="10"/>
      <c r="S20" s="297">
        <f>VIVALIS!$B$26</f>
        <v>5430.1840000000002</v>
      </c>
      <c r="T20" s="297">
        <f>VIVALIS!$C$26</f>
        <v>7455.5209999999997</v>
      </c>
      <c r="U20" s="298">
        <f>IF(T20=0,0,S20/T20-1)</f>
        <v>-0.27165599828637055</v>
      </c>
      <c r="V20" s="10"/>
      <c r="W20" s="297">
        <f>VIVALIS!$B$27</f>
        <v>43532.017999999996</v>
      </c>
      <c r="X20" s="297">
        <f>VIVALIS!$C$27</f>
        <v>32203.895</v>
      </c>
      <c r="Y20" s="298">
        <f>IF(X20=0,0,W20/X20-1)</f>
        <v>0.35176251195701624</v>
      </c>
      <c r="Z20" s="10"/>
      <c r="AA20" s="297">
        <f>VIVALIS!$B$18</f>
        <v>0</v>
      </c>
      <c r="AB20" s="297">
        <f>VIVALIS!$C$18</f>
        <v>0</v>
      </c>
      <c r="AC20" s="298">
        <f>IF(AB20=0,0,AA20/AB20-1)</f>
        <v>0</v>
      </c>
      <c r="AD20" s="10"/>
      <c r="AE20" s="297">
        <f>VIVALIS!$B$28</f>
        <v>0</v>
      </c>
      <c r="AF20" s="297">
        <f>VIVALIS!$C$28</f>
        <v>0</v>
      </c>
      <c r="AG20" s="298">
        <f>IF(AF20=0,0,AE20/AF20-1)</f>
        <v>0</v>
      </c>
      <c r="AH20" s="10"/>
      <c r="AI20" s="297">
        <f>AE20+AA20+K20+G20+C20+O20+S20+W20</f>
        <v>993723.27100000007</v>
      </c>
      <c r="AJ20" s="297">
        <f>AF20+AB20+L20+H20+D20+P20+T20+X20</f>
        <v>1359043.2350000001</v>
      </c>
      <c r="AK20" s="298">
        <f>IF(AJ20=0,0,AI20/AJ20-1)</f>
        <v>-0.26880672710901654</v>
      </c>
      <c r="AL20" s="35">
        <f>C20+G20-'Syn prin concurents'!E20</f>
        <v>0</v>
      </c>
      <c r="AM20" s="35">
        <f>D20+H20-'Syn prin concurents'!F20</f>
        <v>1.0000000474974513E-3</v>
      </c>
      <c r="AN20" s="35">
        <f>K20+O20+S20+W20-'Syn prin concurents'!I20</f>
        <v>0</v>
      </c>
      <c r="AO20" s="35">
        <f>L20+P20+T20+X20-'Syn prin concurents'!J20</f>
        <v>0</v>
      </c>
      <c r="AP20" s="35">
        <f>AA20-'Syn prin concurents'!M20</f>
        <v>0</v>
      </c>
      <c r="AQ20" s="35">
        <f>AB20-'Syn prin concurents'!N20</f>
        <v>0</v>
      </c>
      <c r="AR20" s="35">
        <f>AE20-'Syn prin concurents'!Q20</f>
        <v>0</v>
      </c>
      <c r="AS20" s="35">
        <f>AF20-'Syn prin concurents'!R20</f>
        <v>0</v>
      </c>
      <c r="AT20" s="35">
        <f>AI20-'Syn prin concurents'!U20</f>
        <v>0</v>
      </c>
      <c r="AU20" s="35">
        <f>AJ20-'Syn prin concurents'!V20</f>
        <v>1.0000001639127731E-3</v>
      </c>
    </row>
    <row r="21" spans="1:47" ht="18.5" x14ac:dyDescent="0.45">
      <c r="A21" s="11" t="s">
        <v>67</v>
      </c>
      <c r="B21" s="299"/>
      <c r="C21" s="300">
        <f>C20/C$30</f>
        <v>0.10056064640887682</v>
      </c>
      <c r="D21" s="300">
        <f>D20/D$30</f>
        <v>0.17337105552830567</v>
      </c>
      <c r="E21" s="301">
        <f>(C21-D21)*100</f>
        <v>-7.2810409119428847</v>
      </c>
      <c r="F21" s="15"/>
      <c r="G21" s="300">
        <f>G20/G$30</f>
        <v>0.12372437264589731</v>
      </c>
      <c r="H21" s="300">
        <f>H20/H$30</f>
        <v>0.14853334943713853</v>
      </c>
      <c r="I21" s="301">
        <f>(G21-H21)*100</f>
        <v>-2.480897679124122</v>
      </c>
      <c r="J21" s="15"/>
      <c r="K21" s="300">
        <f>K20/K$30</f>
        <v>0.192635124571574</v>
      </c>
      <c r="L21" s="300">
        <f>L20/L$30</f>
        <v>0.22186761919004491</v>
      </c>
      <c r="M21" s="301">
        <f>(K21-L21)*100</f>
        <v>-2.923249461847091</v>
      </c>
      <c r="N21" s="15"/>
      <c r="O21" s="300">
        <f>O20/O$30</f>
        <v>0.10175918449921384</v>
      </c>
      <c r="P21" s="300">
        <f>P20/P$30</f>
        <v>0.14398092508836871</v>
      </c>
      <c r="Q21" s="301">
        <f>(O21-P21)*100</f>
        <v>-4.2221740589154875</v>
      </c>
      <c r="R21" s="15"/>
      <c r="S21" s="300">
        <f>S20/S$30</f>
        <v>0.1109401132655599</v>
      </c>
      <c r="T21" s="300">
        <f>T20/T$30</f>
        <v>0.11385810693508958</v>
      </c>
      <c r="U21" s="301">
        <f>(S21-T21)*100</f>
        <v>-0.29179936695296754</v>
      </c>
      <c r="V21" s="15"/>
      <c r="W21" s="300">
        <f>W20/W$30</f>
        <v>5.4432258765950821E-2</v>
      </c>
      <c r="X21" s="300">
        <f>X20/X$30</f>
        <v>4.9865304208292834E-2</v>
      </c>
      <c r="Y21" s="301">
        <f>(W21-X21)*100</f>
        <v>0.45669545576579873</v>
      </c>
      <c r="Z21" s="15"/>
      <c r="AA21" s="300">
        <f>AA20/AA$30</f>
        <v>0</v>
      </c>
      <c r="AB21" s="300">
        <f>AB20/AB$30</f>
        <v>0</v>
      </c>
      <c r="AC21" s="301">
        <f>(AA21-AB21)*100</f>
        <v>0</v>
      </c>
      <c r="AD21" s="15"/>
      <c r="AE21" s="300">
        <f>AE20/AE$30</f>
        <v>0</v>
      </c>
      <c r="AF21" s="300">
        <f>AF20/AF$30</f>
        <v>0</v>
      </c>
      <c r="AG21" s="301">
        <f>(AE21-AF21)*100</f>
        <v>0</v>
      </c>
      <c r="AH21" s="15"/>
      <c r="AI21" s="300">
        <f>AI20/AI$30</f>
        <v>0.11022356822792231</v>
      </c>
      <c r="AJ21" s="300">
        <f>AJ20/AJ$30</f>
        <v>0.15655505610932094</v>
      </c>
      <c r="AK21" s="301">
        <f>(AI21-AJ21)*100</f>
        <v>-4.633148788139863</v>
      </c>
      <c r="AL21" s="35">
        <f>C21+G21-'Syn prin concurents'!E21</f>
        <v>0.11204489698822863</v>
      </c>
      <c r="AM21" s="35">
        <f>D21+H21-'Syn prin concurents'!F21</f>
        <v>0.16125558967816545</v>
      </c>
      <c r="AN21" s="35">
        <f>K21+O21+S21+W21-'Syn prin concurents'!I21</f>
        <v>0.34096431019216644</v>
      </c>
      <c r="AO21" s="35">
        <f>L21+P21+T21+X21-'Syn prin concurents'!J21</f>
        <v>0.37280268451917897</v>
      </c>
      <c r="AP21" s="35">
        <f>AA21-'Syn prin concurents'!M21</f>
        <v>0</v>
      </c>
      <c r="AQ21" s="35">
        <f>AB21-'Syn prin concurents'!N21</f>
        <v>0</v>
      </c>
      <c r="AR21" s="35">
        <f>AE21-'Syn prin concurents'!Q21</f>
        <v>0</v>
      </c>
      <c r="AS21" s="35">
        <f>AF21-'Syn prin concurents'!R21</f>
        <v>0</v>
      </c>
      <c r="AT21" s="35">
        <f>AI21-'Syn prin concurents'!U21</f>
        <v>0</v>
      </c>
      <c r="AU21" s="35">
        <f>AJ21-'Syn prin concurents'!V21</f>
        <v>8.8026460217105473E-6</v>
      </c>
    </row>
    <row r="22" spans="1:47" ht="23.5" x14ac:dyDescent="0.55000000000000004">
      <c r="A22" s="6" t="s">
        <v>6</v>
      </c>
      <c r="B22" s="7"/>
      <c r="C22" s="8">
        <f>EQDOM!$B$12</f>
        <v>234377.663</v>
      </c>
      <c r="D22" s="8">
        <f>EQDOM!$C$12</f>
        <v>168230.65100000001</v>
      </c>
      <c r="E22" s="9">
        <f>IF(D22=0,0,C22/D22-1)</f>
        <v>0.39319239155770713</v>
      </c>
      <c r="F22" s="10"/>
      <c r="G22" s="8">
        <f>EQDOM!$B$13+EQDOM!$B$17</f>
        <v>420953.54300000001</v>
      </c>
      <c r="H22" s="8">
        <f>EQDOM!$C$13+EQDOM!$C$17</f>
        <v>375553.52</v>
      </c>
      <c r="I22" s="9">
        <f>IF(H22=0,0,G22/H22-1)</f>
        <v>0.12088829043594096</v>
      </c>
      <c r="J22" s="10"/>
      <c r="K22" s="8">
        <f>EQDOM!$B$24</f>
        <v>163497.43599999999</v>
      </c>
      <c r="L22" s="8">
        <f>EQDOM!$C$24</f>
        <v>263771.01</v>
      </c>
      <c r="M22" s="9">
        <f>IF(L22=0,0,K22/L22-1)</f>
        <v>-0.38015388423466256</v>
      </c>
      <c r="N22" s="10"/>
      <c r="O22" s="8">
        <f>EQDOM!$B$25</f>
        <v>44914.985000000001</v>
      </c>
      <c r="P22" s="8">
        <f>EQDOM!$C$25</f>
        <v>40598.084000000003</v>
      </c>
      <c r="Q22" s="9">
        <f>IF(P22=0,0,O22/P22-1)</f>
        <v>0.10633262889943285</v>
      </c>
      <c r="R22" s="10"/>
      <c r="S22" s="8">
        <f>EQDOM!$B$26</f>
        <v>17339.941999999999</v>
      </c>
      <c r="T22" s="8">
        <f>EQDOM!$C$26</f>
        <v>24016.77</v>
      </c>
      <c r="U22" s="9">
        <f>IF(T22=0,0,S22/T22-1)</f>
        <v>-0.27800690933876626</v>
      </c>
      <c r="V22" s="10"/>
      <c r="W22" s="8">
        <f>EQDOM!$B$27</f>
        <v>59055.856</v>
      </c>
      <c r="X22" s="8">
        <f>EQDOM!$C$27</f>
        <v>47059.322999999997</v>
      </c>
      <c r="Y22" s="9">
        <f>IF(X22=0,0,W22/X22-1)</f>
        <v>0.25492362055442253</v>
      </c>
      <c r="Z22" s="10"/>
      <c r="AA22" s="8">
        <f>EQDOM!$B$18</f>
        <v>171.28100000000001</v>
      </c>
      <c r="AB22" s="8">
        <f>EQDOM!$C$18</f>
        <v>766.23400000000004</v>
      </c>
      <c r="AC22" s="9">
        <f>IF(AB22=0,0,AA22/AB22-1)</f>
        <v>-0.7764638478584871</v>
      </c>
      <c r="AD22" s="10"/>
      <c r="AE22" s="8">
        <f>EQDOM!$B$28</f>
        <v>0</v>
      </c>
      <c r="AF22" s="8">
        <f>EQDOM!$C$28</f>
        <v>0</v>
      </c>
      <c r="AG22" s="9">
        <f>IF(AF22=0,0,AE22/AF22-1)</f>
        <v>0</v>
      </c>
      <c r="AH22" s="10"/>
      <c r="AI22" s="8">
        <f>AE22+AA22+K22+G22+C22+O22+S22+W22</f>
        <v>940310.70600000001</v>
      </c>
      <c r="AJ22" s="8">
        <f>AF22+AB22+L22+H22+D22+P22+T22+X22</f>
        <v>919995.59200000006</v>
      </c>
      <c r="AK22" s="9">
        <f>IF(AJ22=0,0,AI22/AJ22-1)</f>
        <v>2.2081751452565523E-2</v>
      </c>
      <c r="AL22" s="35">
        <f>C22+G22-'Syn prin concurents'!E22</f>
        <v>0</v>
      </c>
      <c r="AM22" s="35">
        <f>D22+H22-'Syn prin concurents'!F22</f>
        <v>1.0000000474974513E-3</v>
      </c>
      <c r="AN22" s="35">
        <f>K22+O22+S22+W22-'Syn prin concurents'!I22</f>
        <v>0</v>
      </c>
      <c r="AO22" s="35">
        <f>L22+P22+T22+X22-'Syn prin concurents'!J22</f>
        <v>0</v>
      </c>
      <c r="AP22" s="35">
        <f>AA22-'Syn prin concurents'!M22</f>
        <v>0</v>
      </c>
      <c r="AQ22" s="35">
        <f>AB22-'Syn prin concurents'!N22</f>
        <v>0</v>
      </c>
      <c r="AR22" s="35">
        <f>AE22-'Syn prin concurents'!Q22</f>
        <v>0</v>
      </c>
      <c r="AS22" s="35">
        <f>AF22-'Syn prin concurents'!R22</f>
        <v>0</v>
      </c>
      <c r="AT22" s="35">
        <f>AI22-'Syn prin concurents'!U22</f>
        <v>0</v>
      </c>
      <c r="AU22" s="35">
        <f>AJ22-'Syn prin concurents'!V22</f>
        <v>1.0000000474974513E-3</v>
      </c>
    </row>
    <row r="23" spans="1:47" ht="18.5" x14ac:dyDescent="0.45">
      <c r="A23" s="11" t="s">
        <v>67</v>
      </c>
      <c r="B23" s="12"/>
      <c r="C23" s="13">
        <f>C22/C$30</f>
        <v>6.7933267255257807E-2</v>
      </c>
      <c r="D23" s="13">
        <f>D22/D$30</f>
        <v>5.3519428476288898E-2</v>
      </c>
      <c r="E23" s="14">
        <f>(C23-D23)*100</f>
        <v>1.4413838778968908</v>
      </c>
      <c r="F23" s="15"/>
      <c r="G23" s="13">
        <f>G22/G$30</f>
        <v>0.11997196336743288</v>
      </c>
      <c r="H23" s="13">
        <f>H22/H$30</f>
        <v>0.11400060359158835</v>
      </c>
      <c r="I23" s="14">
        <f>(G23-H23)*100</f>
        <v>0.59713597758445225</v>
      </c>
      <c r="J23" s="15"/>
      <c r="K23" s="13">
        <f>K22/K$30</f>
        <v>0.21879688120879509</v>
      </c>
      <c r="L23" s="13">
        <f>L22/L$30</f>
        <v>0.230197610337839</v>
      </c>
      <c r="M23" s="14">
        <f>(K23-L23)*100</f>
        <v>-1.1400729129043912</v>
      </c>
      <c r="N23" s="15"/>
      <c r="O23" s="13">
        <f>O22/O$30</f>
        <v>0.23144879902901763</v>
      </c>
      <c r="P23" s="13">
        <f>P22/P$30</f>
        <v>0.18932006845738703</v>
      </c>
      <c r="Q23" s="14">
        <f>(O23-P23)*100</f>
        <v>4.212873057163061</v>
      </c>
      <c r="R23" s="15"/>
      <c r="S23" s="13">
        <f>S22/S$30</f>
        <v>0.35425965851216812</v>
      </c>
      <c r="T23" s="13">
        <f>T22/T$30</f>
        <v>0.36677570446055363</v>
      </c>
      <c r="U23" s="14">
        <f>(S23-T23)*100</f>
        <v>-1.2516045948385512</v>
      </c>
      <c r="V23" s="15"/>
      <c r="W23" s="13">
        <f>W22/W$30</f>
        <v>7.3843202845242081E-2</v>
      </c>
      <c r="X23" s="13">
        <f>X22/X$30</f>
        <v>7.2867814816540408E-2</v>
      </c>
      <c r="Y23" s="14">
        <f>(W23-X23)*100</f>
        <v>9.7538802870167363E-2</v>
      </c>
      <c r="Z23" s="15"/>
      <c r="AA23" s="13">
        <f>AA22/AA$30</f>
        <v>6.5723181195377839E-4</v>
      </c>
      <c r="AB23" s="13">
        <f>AB22/AB$30</f>
        <v>4.6232294893780914E-3</v>
      </c>
      <c r="AC23" s="14">
        <f>(AA23-AB23)*100</f>
        <v>-0.39659976774243133</v>
      </c>
      <c r="AD23" s="15"/>
      <c r="AE23" s="13">
        <f>AE22/AE$30</f>
        <v>0</v>
      </c>
      <c r="AF23" s="13">
        <f>AF22/AF$30</f>
        <v>0</v>
      </c>
      <c r="AG23" s="14">
        <f>(AE23-AF23)*100</f>
        <v>0</v>
      </c>
      <c r="AH23" s="15"/>
      <c r="AI23" s="13">
        <f>AI22/AI$30</f>
        <v>0.10429905818139665</v>
      </c>
      <c r="AJ23" s="13">
        <f>AJ22/AJ$30</f>
        <v>0.10597894004887044</v>
      </c>
      <c r="AK23" s="14">
        <f>(AI23-AJ23)*100</f>
        <v>-0.16798818674737953</v>
      </c>
      <c r="AL23" s="35">
        <f>C23+G23-'Syn prin concurents'!E23</f>
        <v>9.3733322905191555E-2</v>
      </c>
      <c r="AM23" s="35">
        <f>D23+H23-'Syn prin concurents'!F23</f>
        <v>8.3057317563363972E-2</v>
      </c>
      <c r="AN23" s="35">
        <f>K23+O23+S23+W23-'Syn prin concurents'!I23</f>
        <v>0.71923873778449265</v>
      </c>
      <c r="AO23" s="35">
        <f>L23+P23+T23+X23-'Syn prin concurents'!J23</f>
        <v>0.67792557201103432</v>
      </c>
      <c r="AP23" s="35">
        <f>AA23-'Syn prin concurents'!M23</f>
        <v>0</v>
      </c>
      <c r="AQ23" s="35">
        <f>AB23-'Syn prin concurents'!N23</f>
        <v>0</v>
      </c>
      <c r="AR23" s="35">
        <f>AE23-'Syn prin concurents'!Q23</f>
        <v>0</v>
      </c>
      <c r="AS23" s="35">
        <f>AF23-'Syn prin concurents'!R23</f>
        <v>0</v>
      </c>
      <c r="AT23" s="35">
        <f>AI23-'Syn prin concurents'!U23</f>
        <v>0</v>
      </c>
      <c r="AU23" s="35">
        <f>AJ23-'Syn prin concurents'!V23</f>
        <v>5.9589319181402312E-6</v>
      </c>
    </row>
    <row r="24" spans="1:47" ht="23.5" x14ac:dyDescent="0.55000000000000004">
      <c r="A24" s="6" t="s">
        <v>4</v>
      </c>
      <c r="B24" s="7"/>
      <c r="C24" s="8">
        <f>'RCI '!$B$12</f>
        <v>669033.28399999999</v>
      </c>
      <c r="D24" s="8">
        <f>'RCI '!$C$12</f>
        <v>524957.66599999997</v>
      </c>
      <c r="E24" s="9">
        <f>IF(D24=0,0,C24/D24-1)</f>
        <v>0.27445187932544646</v>
      </c>
      <c r="F24" s="10"/>
      <c r="G24" s="8">
        <f>'RCI '!$B$13</f>
        <v>209701.78000000003</v>
      </c>
      <c r="H24" s="8">
        <f>'RCI '!$C$13+'RCI '!$C$17</f>
        <v>251180.28499999997</v>
      </c>
      <c r="I24" s="9">
        <f>IF(H24=0,0,G24/H24-1)</f>
        <v>-0.16513439739110081</v>
      </c>
      <c r="J24" s="10"/>
      <c r="K24" s="8">
        <f>'RCI '!$B$24</f>
        <v>0</v>
      </c>
      <c r="L24" s="8">
        <f>'RCI '!$C$24</f>
        <v>0</v>
      </c>
      <c r="M24" s="9">
        <f>IF(L24=0,0,K24/L24-1)</f>
        <v>0</v>
      </c>
      <c r="N24" s="10"/>
      <c r="O24" s="8">
        <f>'RCI '!$B$25</f>
        <v>0</v>
      </c>
      <c r="P24" s="8">
        <f>'RCI '!$C$25</f>
        <v>0</v>
      </c>
      <c r="Q24" s="9">
        <f>IF(P24=0,0,O24/P24-1)</f>
        <v>0</v>
      </c>
      <c r="R24" s="10"/>
      <c r="S24" s="8">
        <f>'RCI '!$B$26</f>
        <v>0</v>
      </c>
      <c r="T24" s="8">
        <f>'RCI '!$C$26</f>
        <v>0</v>
      </c>
      <c r="U24" s="9">
        <f>IF(T24=0,0,S24/T24-1)</f>
        <v>0</v>
      </c>
      <c r="V24" s="10"/>
      <c r="W24" s="8">
        <f>'RCI '!$B$27</f>
        <v>0</v>
      </c>
      <c r="X24" s="8">
        <f>'RCI '!$C$27</f>
        <v>0</v>
      </c>
      <c r="Y24" s="9">
        <f>IF(X24=0,0,W24/X24-1)</f>
        <v>0</v>
      </c>
      <c r="Z24" s="10"/>
      <c r="AA24" s="8">
        <f>'RCI '!$B$18</f>
        <v>0</v>
      </c>
      <c r="AB24" s="8">
        <f>'RCI '!$C$18</f>
        <v>0</v>
      </c>
      <c r="AC24" s="9">
        <f>IF(AB24=0,0,AA24/AB24-1)</f>
        <v>0</v>
      </c>
      <c r="AD24" s="10"/>
      <c r="AE24" s="8">
        <f>'RCI '!$B$28</f>
        <v>0</v>
      </c>
      <c r="AF24" s="8">
        <f>'RCI '!$C$28</f>
        <v>0</v>
      </c>
      <c r="AG24" s="9">
        <f>IF(AF24=0,0,AE24/AF24-1)</f>
        <v>0</v>
      </c>
      <c r="AH24" s="10"/>
      <c r="AI24" s="8">
        <f>AE24+AA24+K24+G24+C24+O24+S24+W24</f>
        <v>878735.06400000001</v>
      </c>
      <c r="AJ24" s="8">
        <f>AF24+AB24+L24+H24+D24+P24+T24+X24</f>
        <v>776137.95099999988</v>
      </c>
      <c r="AK24" s="9">
        <f>IF(AJ24=0,0,AI24/AJ24-1)</f>
        <v>0.13218927494501576</v>
      </c>
      <c r="AL24" s="35">
        <f>C24+G24-'Syn prin concurents'!E24</f>
        <v>0</v>
      </c>
      <c r="AM24" s="35">
        <f>D24+H24-'Syn prin concurents'!F24</f>
        <v>0</v>
      </c>
      <c r="AN24" s="35">
        <f>K24+O24+S24+W24-'Syn prin concurents'!I24</f>
        <v>0</v>
      </c>
      <c r="AO24" s="35">
        <f>L24+P24+T24+X24-'Syn prin concurents'!J24</f>
        <v>0</v>
      </c>
      <c r="AP24" s="35">
        <f>AA24-'Syn prin concurents'!M24</f>
        <v>0</v>
      </c>
      <c r="AQ24" s="35">
        <f>AB24-'Syn prin concurents'!N24</f>
        <v>0</v>
      </c>
      <c r="AR24" s="35">
        <f>AE24-'Syn prin concurents'!Q24</f>
        <v>0</v>
      </c>
      <c r="AS24" s="35">
        <f>AF24-'Syn prin concurents'!R24</f>
        <v>0</v>
      </c>
      <c r="AT24" s="35">
        <f>AI24-'Syn prin concurents'!U24</f>
        <v>0</v>
      </c>
      <c r="AU24" s="35">
        <f>AJ24-'Syn prin concurents'!V24</f>
        <v>0</v>
      </c>
    </row>
    <row r="25" spans="1:47" ht="18.5" x14ac:dyDescent="0.45">
      <c r="A25" s="11" t="s">
        <v>67</v>
      </c>
      <c r="B25" s="12"/>
      <c r="C25" s="13">
        <f>C24/C$30</f>
        <v>0.19391616207315285</v>
      </c>
      <c r="D25" s="13">
        <f>D24/D$30</f>
        <v>0.16700544218048918</v>
      </c>
      <c r="E25" s="14">
        <f>(C25-D25)*100</f>
        <v>2.6910719892663666</v>
      </c>
      <c r="F25" s="15"/>
      <c r="G25" s="13">
        <f>G24/G$30</f>
        <v>5.9765108731358207E-2</v>
      </c>
      <c r="H25" s="13">
        <f>H24/H$30</f>
        <v>7.6246666787485262E-2</v>
      </c>
      <c r="I25" s="14">
        <f>(G25-H25)*100</f>
        <v>-1.6481558056127055</v>
      </c>
      <c r="J25" s="15"/>
      <c r="K25" s="13">
        <f>K24/K$30</f>
        <v>0</v>
      </c>
      <c r="L25" s="13">
        <f>L24/L$30</f>
        <v>0</v>
      </c>
      <c r="M25" s="14">
        <f>(K25-L25)*100</f>
        <v>0</v>
      </c>
      <c r="N25" s="15"/>
      <c r="O25" s="13">
        <f>O24/O$30</f>
        <v>0</v>
      </c>
      <c r="P25" s="13">
        <f>P24/P$30</f>
        <v>0</v>
      </c>
      <c r="Q25" s="14">
        <f>(O25-P25)*100</f>
        <v>0</v>
      </c>
      <c r="R25" s="15"/>
      <c r="S25" s="13">
        <f>S24/S$30</f>
        <v>0</v>
      </c>
      <c r="T25" s="13">
        <f>T24/T$30</f>
        <v>0</v>
      </c>
      <c r="U25" s="14">
        <f>(S25-T25)*100</f>
        <v>0</v>
      </c>
      <c r="V25" s="15"/>
      <c r="W25" s="13">
        <f>W24/W$30</f>
        <v>0</v>
      </c>
      <c r="X25" s="13">
        <f>X24/X$30</f>
        <v>0</v>
      </c>
      <c r="Y25" s="14">
        <f>(W25-X25)*100</f>
        <v>0</v>
      </c>
      <c r="Z25" s="15"/>
      <c r="AA25" s="13">
        <f>AA24/AA$30</f>
        <v>0</v>
      </c>
      <c r="AB25" s="13">
        <f>AB24/AB$30</f>
        <v>0</v>
      </c>
      <c r="AC25" s="14">
        <f>(AA25-AB25)*100</f>
        <v>0</v>
      </c>
      <c r="AD25" s="15"/>
      <c r="AE25" s="13">
        <f>AE24/AE$30</f>
        <v>0</v>
      </c>
      <c r="AF25" s="13">
        <f>AF24/AF$30</f>
        <v>0</v>
      </c>
      <c r="AG25" s="14">
        <f>(AE25-AF25)*100</f>
        <v>0</v>
      </c>
      <c r="AH25" s="15"/>
      <c r="AI25" s="13">
        <f>AI24/AI$30</f>
        <v>9.7469101416536794E-2</v>
      </c>
      <c r="AJ25" s="13">
        <f>AJ24/AJ$30</f>
        <v>8.940725161505135E-2</v>
      </c>
      <c r="AK25" s="14">
        <f>(AI25-AJ25)*100</f>
        <v>0.80618498014854434</v>
      </c>
      <c r="AL25" s="35">
        <f>C25+G25-'Syn prin concurents'!E25</f>
        <v>0.12740595139733685</v>
      </c>
      <c r="AM25" s="35">
        <f>D25+H25-'Syn prin concurents'!F25</f>
        <v>0.12269928343899497</v>
      </c>
      <c r="AN25" s="35">
        <f>K25+O25+S25+W25-'Syn prin concurents'!I25</f>
        <v>0</v>
      </c>
      <c r="AO25" s="35">
        <f>L25+P25+T25+X25-'Syn prin concurents'!J25</f>
        <v>0</v>
      </c>
      <c r="AP25" s="35">
        <f>AA25-'Syn prin concurents'!M25</f>
        <v>0</v>
      </c>
      <c r="AQ25" s="35">
        <f>AB25-'Syn prin concurents'!N25</f>
        <v>0</v>
      </c>
      <c r="AR25" s="35">
        <f>AE25-'Syn prin concurents'!Q25</f>
        <v>0</v>
      </c>
      <c r="AS25" s="35">
        <f>AF25-'Syn prin concurents'!R25</f>
        <v>0</v>
      </c>
      <c r="AT25" s="35">
        <f>AI25-'Syn prin concurents'!U25</f>
        <v>0</v>
      </c>
      <c r="AU25" s="35">
        <f>AJ25-'Syn prin concurents'!V25</f>
        <v>5.0270499631355214E-6</v>
      </c>
    </row>
    <row r="26" spans="1:47" ht="23.5" x14ac:dyDescent="0.55000000000000004">
      <c r="A26" s="6" t="s">
        <v>7</v>
      </c>
      <c r="B26" s="7"/>
      <c r="C26" s="8">
        <f>SALAFIN!$B$12</f>
        <v>52268.239000000001</v>
      </c>
      <c r="D26" s="8">
        <f>SALAFIN!$C$12</f>
        <v>57604.135999999999</v>
      </c>
      <c r="E26" s="9">
        <f>IF(D26=0,0,C26/D26-1)</f>
        <v>-9.2630449313570118E-2</v>
      </c>
      <c r="F26" s="10"/>
      <c r="G26" s="8">
        <f>SALAFIN!$B$13</f>
        <v>98756.197</v>
      </c>
      <c r="H26" s="8">
        <f>SALAFIN!$C$13</f>
        <v>84957.421999999991</v>
      </c>
      <c r="I26" s="9">
        <f>IF(H26=0,0,G26/H26-1)</f>
        <v>0.1624198884000978</v>
      </c>
      <c r="J26" s="10"/>
      <c r="K26" s="8">
        <f>SALAFIN!$B$24</f>
        <v>11933.124</v>
      </c>
      <c r="L26" s="8">
        <f>SALAFIN!$C$24</f>
        <v>19928.940999999999</v>
      </c>
      <c r="M26" s="9">
        <f>IF(L26=0,0,K26/L26-1)</f>
        <v>-0.40121635163654701</v>
      </c>
      <c r="N26" s="10"/>
      <c r="O26" s="8">
        <f>SALAFIN!$B$25</f>
        <v>7658.1409999999996</v>
      </c>
      <c r="P26" s="8">
        <f>SALAFIN!$C$25</f>
        <v>9293.8119999999999</v>
      </c>
      <c r="Q26" s="9">
        <f>IF(P26=0,0,O26/P26-1)</f>
        <v>-0.17599570552965782</v>
      </c>
      <c r="R26" s="10"/>
      <c r="S26" s="8">
        <f>SALAFIN!$B$26</f>
        <v>1338.2070000000001</v>
      </c>
      <c r="T26" s="8">
        <f>SALAFIN!$C$26</f>
        <v>1699.52</v>
      </c>
      <c r="U26" s="9">
        <f>IF(T26=0,0,S26/T26-1)</f>
        <v>-0.21259708623611362</v>
      </c>
      <c r="V26" s="10"/>
      <c r="W26" s="8">
        <f>SALAFIN!$B$27</f>
        <v>79922.099000000002</v>
      </c>
      <c r="X26" s="8">
        <f>SALAFIN!$C$27</f>
        <v>95290.703999999998</v>
      </c>
      <c r="Y26" s="9">
        <f>IF(X26=0,0,W26/X26-1)</f>
        <v>-0.16128126202110959</v>
      </c>
      <c r="Z26" s="10"/>
      <c r="AA26" s="8">
        <f>SALAFIN!$B$18</f>
        <v>0</v>
      </c>
      <c r="AB26" s="8">
        <f>SALAFIN!$C$18</f>
        <v>0</v>
      </c>
      <c r="AC26" s="9">
        <f>IF(AB26=0,0,AA26/AB26-1)</f>
        <v>0</v>
      </c>
      <c r="AD26" s="10"/>
      <c r="AE26" s="8">
        <f>SALAFIN!$B$28</f>
        <v>1243.0219999999999</v>
      </c>
      <c r="AF26" s="8">
        <f>SALAFIN!$C$28</f>
        <v>623.21199999999999</v>
      </c>
      <c r="AG26" s="9">
        <f>IF(AF26=0,0,AE26/AF26-1)</f>
        <v>0.99454118341752085</v>
      </c>
      <c r="AH26" s="10"/>
      <c r="AI26" s="8">
        <f>AE26+AA26+K26+G26+C26+O26+S26+W26</f>
        <v>253119.02899999998</v>
      </c>
      <c r="AJ26" s="8">
        <f>AF26+AB26+L26+H26+D26+P26+T26+X26</f>
        <v>269397.74699999997</v>
      </c>
      <c r="AK26" s="9">
        <f>IF(AJ26=0,0,AI26/AJ26-1)</f>
        <v>-6.0426333112577946E-2</v>
      </c>
      <c r="AL26" s="35">
        <f>C26+G26-'Syn prin concurents'!E26</f>
        <v>0</v>
      </c>
      <c r="AM26" s="35">
        <f>D26+H26-'Syn prin concurents'!F26</f>
        <v>0</v>
      </c>
      <c r="AN26" s="35">
        <f>K26+O26+S26+W26-'Syn prin concurents'!I26</f>
        <v>0</v>
      </c>
      <c r="AO26" s="35">
        <f>L26+P26+T26+X26-'Syn prin concurents'!J26</f>
        <v>0</v>
      </c>
      <c r="AP26" s="35">
        <f>AA26-'Syn prin concurents'!M26</f>
        <v>0</v>
      </c>
      <c r="AQ26" s="35">
        <f>AB26-'Syn prin concurents'!N26</f>
        <v>0</v>
      </c>
      <c r="AR26" s="35">
        <f>AE26-'Syn prin concurents'!Q26</f>
        <v>0</v>
      </c>
      <c r="AS26" s="35">
        <f>AF26-'Syn prin concurents'!R26</f>
        <v>0</v>
      </c>
      <c r="AT26" s="35">
        <f>AI26-'Syn prin concurents'!U26</f>
        <v>0</v>
      </c>
      <c r="AU26" s="35">
        <f>AJ26-'Syn prin concurents'!V26</f>
        <v>0</v>
      </c>
    </row>
    <row r="27" spans="1:47" ht="18.5" x14ac:dyDescent="0.45">
      <c r="A27" s="11" t="s">
        <v>67</v>
      </c>
      <c r="B27" s="12"/>
      <c r="C27" s="13">
        <f>C26/C$30</f>
        <v>1.5149704129222797E-2</v>
      </c>
      <c r="D27" s="13">
        <f>D26/D$30</f>
        <v>1.8325676196725996E-2</v>
      </c>
      <c r="E27" s="14">
        <f>(C27-D27)*100</f>
        <v>-0.31759720675031983</v>
      </c>
      <c r="F27" s="15"/>
      <c r="G27" s="13">
        <f>G26/G$30</f>
        <v>2.8145563912716574E-2</v>
      </c>
      <c r="H27" s="13">
        <f>H26/H$30</f>
        <v>2.5789126906826186E-2</v>
      </c>
      <c r="I27" s="14">
        <f>(G27-H27)*100</f>
        <v>0.23564370058903883</v>
      </c>
      <c r="J27" s="15"/>
      <c r="K27" s="13">
        <f>K26/K$30</f>
        <v>1.5969243176864389E-2</v>
      </c>
      <c r="L27" s="13">
        <f>L26/L$30</f>
        <v>1.7392338129818677E-2</v>
      </c>
      <c r="M27" s="14">
        <f>(K27-L27)*100</f>
        <v>-0.1423094952954288</v>
      </c>
      <c r="N27" s="15"/>
      <c r="O27" s="13">
        <f>O26/O$30</f>
        <v>3.9462721344443959E-2</v>
      </c>
      <c r="P27" s="13">
        <f>P26/P$30</f>
        <v>4.3339609920263353E-2</v>
      </c>
      <c r="Q27" s="14">
        <f>(O27-P27)*100</f>
        <v>-0.38768885758193938</v>
      </c>
      <c r="R27" s="15"/>
      <c r="S27" s="13">
        <f>S26/S$30</f>
        <v>2.7339927367611323E-2</v>
      </c>
      <c r="T27" s="13">
        <f>T26/T$30</f>
        <v>2.595447452945588E-2</v>
      </c>
      <c r="U27" s="14">
        <f>(S27-T27)*100</f>
        <v>0.13854528381554432</v>
      </c>
      <c r="V27" s="15"/>
      <c r="W27" s="13">
        <f>W26/W$30</f>
        <v>9.9934268470759618E-2</v>
      </c>
      <c r="X27" s="13">
        <f>X26/X$30</f>
        <v>0.14755047310837358</v>
      </c>
      <c r="Y27" s="14">
        <f>(W27-X27)*100</f>
        <v>-4.7616204637613961</v>
      </c>
      <c r="Z27" s="15"/>
      <c r="AA27" s="13">
        <f>AA26/AA$30</f>
        <v>0</v>
      </c>
      <c r="AB27" s="13">
        <f>AB26/AB$30</f>
        <v>0</v>
      </c>
      <c r="AC27" s="14">
        <f>(AA27-AB27)*100</f>
        <v>0</v>
      </c>
      <c r="AD27" s="15"/>
      <c r="AE27" s="13">
        <f>AE26/AE$30</f>
        <v>0.20641115311218669</v>
      </c>
      <c r="AF27" s="13">
        <f>AF26/AF$30</f>
        <v>0.10494572463863294</v>
      </c>
      <c r="AG27" s="14">
        <f>(AE27-AF27)*100</f>
        <v>10.146542847355375</v>
      </c>
      <c r="AH27" s="15"/>
      <c r="AI27" s="13">
        <f>AI26/AI$30</f>
        <v>2.8075907425103405E-2</v>
      </c>
      <c r="AJ27" s="13">
        <f>AJ26/AJ$30</f>
        <v>3.1033287471027102E-2</v>
      </c>
      <c r="AK27" s="14">
        <f>(AI27-AJ27)*100</f>
        <v>-0.29573800459236976</v>
      </c>
      <c r="AL27" s="35">
        <f>C27+G27-'Syn prin concurents'!E27</f>
        <v>2.1592869133013691E-2</v>
      </c>
      <c r="AM27" s="35">
        <f>D27+H27-'Syn prin concurents'!F27</f>
        <v>2.1971576365869456E-2</v>
      </c>
      <c r="AN27" s="35">
        <f>K27+O27+S27+W27-'Syn prin concurents'!I27</f>
        <v>0.12636483098317722</v>
      </c>
      <c r="AO27" s="35">
        <f>L27+P27+T27+X27-'Syn prin concurents'!J27</f>
        <v>0.17331112357605949</v>
      </c>
      <c r="AP27" s="35">
        <f>AA27-'Syn prin concurents'!M27</f>
        <v>0</v>
      </c>
      <c r="AQ27" s="35">
        <f>AB27-'Syn prin concurents'!N27</f>
        <v>0</v>
      </c>
      <c r="AR27" s="35">
        <f>AE27-'Syn prin concurents'!Q27</f>
        <v>0</v>
      </c>
      <c r="AS27" s="35">
        <f>AF27-'Syn prin concurents'!R27</f>
        <v>0</v>
      </c>
      <c r="AT27" s="35">
        <f>AI27-'Syn prin concurents'!U27</f>
        <v>0</v>
      </c>
      <c r="AU27" s="35">
        <f>AJ27-'Syn prin concurents'!V27</f>
        <v>1.7448907534863001E-6</v>
      </c>
    </row>
    <row r="28" spans="1:47" ht="23.5" x14ac:dyDescent="0.55000000000000004">
      <c r="A28" s="6" t="s">
        <v>11</v>
      </c>
      <c r="B28" s="7"/>
      <c r="C28" s="8">
        <f>'AXA CREDIT'!$B$12</f>
        <v>242.441</v>
      </c>
      <c r="D28" s="8">
        <f>'AXA CREDIT'!$C$12</f>
        <v>1251.827</v>
      </c>
      <c r="E28" s="9">
        <f>IF(D28=0,0,C28/D28-1)</f>
        <v>-0.80633026768075777</v>
      </c>
      <c r="F28" s="10"/>
      <c r="G28" s="8">
        <f>'AXA CREDIT'!$B$13</f>
        <v>692.85500000000002</v>
      </c>
      <c r="H28" s="8">
        <f>'AXA CREDIT'!$C$13</f>
        <v>1281.5550000000001</v>
      </c>
      <c r="I28" s="9">
        <f>IF(H28=0,0,G28/H28-1)</f>
        <v>-0.45936381973461926</v>
      </c>
      <c r="J28" s="10"/>
      <c r="K28" s="8">
        <f>'AXA CREDIT'!$B$24</f>
        <v>87976.160999999993</v>
      </c>
      <c r="L28" s="8">
        <f>'AXA CREDIT'!$C$24</f>
        <v>142774.45699999999</v>
      </c>
      <c r="M28" s="9">
        <f>IF(L28=0,0,K28/L28-1)</f>
        <v>-0.38381022174015345</v>
      </c>
      <c r="N28" s="10"/>
      <c r="O28" s="8">
        <f>'AXA CREDIT'!$B$25</f>
        <v>2459.3829999999998</v>
      </c>
      <c r="P28" s="8">
        <f>'AXA CREDIT'!$C$25</f>
        <v>4331.8980000000001</v>
      </c>
      <c r="Q28" s="9">
        <f>IF(P28=0,0,O28/P28-1)</f>
        <v>-0.43226202463677588</v>
      </c>
      <c r="R28" s="10"/>
      <c r="S28" s="8">
        <f>'AXA CREDIT'!$B$26</f>
        <v>1324.6110000000001</v>
      </c>
      <c r="T28" s="8">
        <f>'AXA CREDIT'!$C$26</f>
        <v>2462.654</v>
      </c>
      <c r="U28" s="9">
        <f>IF(T28=0,0,S28/T28-1)</f>
        <v>-0.46212054149710025</v>
      </c>
      <c r="V28" s="10"/>
      <c r="W28" s="8">
        <f>'AXA CREDIT'!$B$27</f>
        <v>1548.2940000000001</v>
      </c>
      <c r="X28" s="8">
        <f>'AXA CREDIT'!$C$27</f>
        <v>1479.944</v>
      </c>
      <c r="Y28" s="9">
        <f>IF(X28=0,0,W28/X28-1)</f>
        <v>4.6184179941943793E-2</v>
      </c>
      <c r="Z28" s="10"/>
      <c r="AA28" s="8">
        <f>'AXA CREDIT'!$B$18</f>
        <v>0</v>
      </c>
      <c r="AB28" s="8">
        <f>'AXA CREDIT'!$C$18</f>
        <v>0</v>
      </c>
      <c r="AC28" s="9">
        <f>IF(AB28=0,0,AA28/AB28-1)</f>
        <v>0</v>
      </c>
      <c r="AD28" s="10"/>
      <c r="AE28" s="8">
        <f>'AXA CREDIT'!$B$28</f>
        <v>0</v>
      </c>
      <c r="AF28" s="8">
        <f>'AXA CREDIT'!$C$28</f>
        <v>0</v>
      </c>
      <c r="AG28" s="9">
        <f>IF(AF28=0,0,AE28/AF28-1)</f>
        <v>0</v>
      </c>
      <c r="AH28" s="10"/>
      <c r="AI28" s="8">
        <f>AE28+AA28+K28+G28+C28+O28+S28+W28</f>
        <v>94243.744999999995</v>
      </c>
      <c r="AJ28" s="8">
        <f>AF28+AB28+L28+H28+D28+P28+T28+X28</f>
        <v>153582.33499999996</v>
      </c>
      <c r="AK28" s="9">
        <f>IF(AJ28=0,0,AI28/AJ28-1)</f>
        <v>-0.38636337961654232</v>
      </c>
      <c r="AL28" s="35">
        <f>C28+G28-'Syn prin concurents'!E28</f>
        <v>0</v>
      </c>
      <c r="AM28" s="35">
        <f>D28+H28-'Syn prin concurents'!F28</f>
        <v>-488.12699999999995</v>
      </c>
      <c r="AN28" s="35">
        <f>K28+O28+S28+W28-'Syn prin concurents'!I28</f>
        <v>0</v>
      </c>
      <c r="AO28" s="35">
        <f>L28+P28+T28+X28-'Syn prin concurents'!J28</f>
        <v>0</v>
      </c>
      <c r="AP28" s="35">
        <f>AA28-'Syn prin concurents'!M28</f>
        <v>0</v>
      </c>
      <c r="AQ28" s="35">
        <f>AB28-'Syn prin concurents'!N28</f>
        <v>0</v>
      </c>
      <c r="AR28" s="35">
        <f>AE28-'Syn prin concurents'!Q28</f>
        <v>0</v>
      </c>
      <c r="AS28" s="35">
        <f>AF28-'Syn prin concurents'!R28</f>
        <v>0</v>
      </c>
      <c r="AT28" s="35">
        <f>AI28-'Syn prin concurents'!U28</f>
        <v>0</v>
      </c>
      <c r="AU28" s="35">
        <f>AJ28-'Syn prin concurents'!V28</f>
        <v>-488.12700000000768</v>
      </c>
    </row>
    <row r="29" spans="1:47" ht="19" thickBot="1" x14ac:dyDescent="0.5">
      <c r="A29" s="11" t="s">
        <v>67</v>
      </c>
      <c r="B29" s="12"/>
      <c r="C29" s="13">
        <f>C28/C$30</f>
        <v>7.0270387697448625E-5</v>
      </c>
      <c r="D29" s="13">
        <f>D28/D$30</f>
        <v>3.9824529711406337E-4</v>
      </c>
      <c r="E29" s="14">
        <f>(C29-D29)*100</f>
        <v>-3.2797490941661477E-2</v>
      </c>
      <c r="F29" s="15"/>
      <c r="G29" s="13">
        <f>G28/G$30</f>
        <v>1.9746401012936174E-4</v>
      </c>
      <c r="H29" s="13">
        <f>H28/H$30</f>
        <v>3.890205676565567E-4</v>
      </c>
      <c r="I29" s="14">
        <f>(G29-H29)*100</f>
        <v>-1.9155655752719495E-2</v>
      </c>
      <c r="J29" s="15"/>
      <c r="K29" s="13">
        <f>K28/K$30</f>
        <v>0.11773218050662784</v>
      </c>
      <c r="L29" s="13">
        <f>L28/L$30</f>
        <v>0.12460178553618363</v>
      </c>
      <c r="M29" s="14">
        <f>(K29-L29)*100</f>
        <v>-0.68696050295557898</v>
      </c>
      <c r="N29" s="15"/>
      <c r="O29" s="13">
        <f>O28/O$30</f>
        <v>1.267330361353527E-2</v>
      </c>
      <c r="P29" s="13">
        <f>P28/P$30</f>
        <v>2.0200835731814779E-2</v>
      </c>
      <c r="Q29" s="14">
        <f>(O29-P29)*100</f>
        <v>-0.75275321182795096</v>
      </c>
      <c r="R29" s="15"/>
      <c r="S29" s="13">
        <f>S28/S$30</f>
        <v>2.7062157446747028E-2</v>
      </c>
      <c r="T29" s="13">
        <f>T28/T$30</f>
        <v>3.7608789845287281E-2</v>
      </c>
      <c r="U29" s="14">
        <f>(S29-T29)*100</f>
        <v>-1.0546632398540252</v>
      </c>
      <c r="V29" s="15"/>
      <c r="W29" s="13">
        <f>W28/W$30</f>
        <v>1.9359805385950422E-3</v>
      </c>
      <c r="X29" s="13">
        <f>X28/X$30</f>
        <v>2.2915817410048608E-3</v>
      </c>
      <c r="Y29" s="14">
        <f>(W29-X29)*100</f>
        <v>-3.556012024098186E-2</v>
      </c>
      <c r="Z29" s="15"/>
      <c r="AA29" s="13">
        <f>AA28/AA$30</f>
        <v>0</v>
      </c>
      <c r="AB29" s="13">
        <f>AB28/AB$30</f>
        <v>0</v>
      </c>
      <c r="AC29" s="14">
        <f>(AA29-AB29)*100</f>
        <v>0</v>
      </c>
      <c r="AD29" s="15"/>
      <c r="AE29" s="13">
        <f>AE28/AE$30</f>
        <v>0</v>
      </c>
      <c r="AF29" s="13">
        <f>AF28/AF$30</f>
        <v>0</v>
      </c>
      <c r="AG29" s="14">
        <f>(AE29-AF29)*100</f>
        <v>0</v>
      </c>
      <c r="AH29" s="15"/>
      <c r="AI29" s="13">
        <f>AI28/AI$30</f>
        <v>1.0453495616147657E-2</v>
      </c>
      <c r="AJ29" s="13">
        <f>AJ28/AJ$30</f>
        <v>1.7691925064713277E-2</v>
      </c>
      <c r="AK29" s="14">
        <f>(AI29-AJ29)*100</f>
        <v>-0.72384294485656198</v>
      </c>
      <c r="AL29" s="35">
        <f>C29+G29-'Syn prin concurents'!E29</f>
        <v>1.3333120171143105E-4</v>
      </c>
      <c r="AM29" s="35">
        <f>D29+H29-'Syn prin concurents'!F29</f>
        <v>3.1795310040710906E-4</v>
      </c>
      <c r="AN29" s="35">
        <f>K29+O29+S29+W29-'Syn prin concurents'!I29</f>
        <v>0.1072763026538375</v>
      </c>
      <c r="AO29" s="35">
        <f>L29+P29+T29+X29-'Syn prin concurents'!J29</f>
        <v>0.11178835042246012</v>
      </c>
      <c r="AP29" s="35">
        <f>AA29-'Syn prin concurents'!M29</f>
        <v>0</v>
      </c>
      <c r="AQ29" s="35">
        <f>AB29-'Syn prin concurents'!N29</f>
        <v>0</v>
      </c>
      <c r="AR29" s="35">
        <f>AE29-'Syn prin concurents'!Q29</f>
        <v>0</v>
      </c>
      <c r="AS29" s="35">
        <f>AF29-'Syn prin concurents'!R29</f>
        <v>0</v>
      </c>
      <c r="AT29" s="35">
        <f>AI29-'Syn prin concurents'!U29</f>
        <v>0</v>
      </c>
      <c r="AU29" s="35">
        <f>AJ29-'Syn prin concurents'!V29</f>
        <v>-5.5231899874951668E-5</v>
      </c>
    </row>
    <row r="30" spans="1:47" ht="26.5" thickBot="1" x14ac:dyDescent="0.65">
      <c r="A30" s="23" t="s">
        <v>8</v>
      </c>
      <c r="B30" s="38"/>
      <c r="C30" s="24">
        <f>GLOBAL!$B$12</f>
        <v>3450116.1576600005</v>
      </c>
      <c r="D30" s="24">
        <f>GLOBAL!$C$12</f>
        <v>3143356.64243</v>
      </c>
      <c r="E30" s="25">
        <f>IF(D30=0,0,C30/D30-1)</f>
        <v>9.7589790190927062E-2</v>
      </c>
      <c r="F30" s="3"/>
      <c r="G30" s="24">
        <f>GLOBAL!$B$13+GLOBAL!$B$17</f>
        <v>3508765.9748533415</v>
      </c>
      <c r="H30" s="24">
        <f>GLOBAL!$C$13+GLOBAL!$C$17</f>
        <v>3294311.6805366687</v>
      </c>
      <c r="I30" s="25">
        <f>IF(H30=0,0,G30/H30-1)</f>
        <v>6.5098361998867205E-2</v>
      </c>
      <c r="J30" s="3"/>
      <c r="K30" s="24">
        <f>GLOBAL!$B$24</f>
        <v>747256.70263999992</v>
      </c>
      <c r="L30" s="24">
        <f>GLOBAL!$C$24</f>
        <v>1145845.9955899999</v>
      </c>
      <c r="M30" s="25">
        <f>IF(L30=0,0,K30/L30-1)</f>
        <v>-0.34785590252446186</v>
      </c>
      <c r="N30" s="3"/>
      <c r="O30" s="24">
        <f>GLOBAL!$B$25</f>
        <v>194060.13420000003</v>
      </c>
      <c r="P30" s="24">
        <f>GLOBAL!$C$25</f>
        <v>214441.52398</v>
      </c>
      <c r="Q30" s="25">
        <f>IF(P30=0,0,O30/P30-1)</f>
        <v>-9.50440446501436E-2</v>
      </c>
      <c r="R30" s="3"/>
      <c r="S30" s="24">
        <f>GLOBAL!$B$26</f>
        <v>48946.98446</v>
      </c>
      <c r="T30" s="24">
        <f>GLOBAL!$C$26</f>
        <v>65480.809410000002</v>
      </c>
      <c r="U30" s="25">
        <f>IF(T30=0,0,S30/T30-1)</f>
        <v>-0.252498787033549</v>
      </c>
      <c r="V30" s="3"/>
      <c r="W30" s="24">
        <f>GLOBAL!$B$27</f>
        <v>799746.67571999994</v>
      </c>
      <c r="X30" s="24">
        <f>GLOBAL!$C$27</f>
        <v>645817.67847000004</v>
      </c>
      <c r="Y30" s="25">
        <f>IF(X30=0,0,W30/X30-1)</f>
        <v>0.23834745065305651</v>
      </c>
      <c r="Z30" s="3"/>
      <c r="AA30" s="24">
        <f>GLOBAL!$B$18</f>
        <v>260609.72229999999</v>
      </c>
      <c r="AB30" s="24">
        <f>GLOBAL!$C$18</f>
        <v>165735.66200000001</v>
      </c>
      <c r="AC30" s="25">
        <f>IF(AB30=0,0,AA30/AB30-1)</f>
        <v>0.57244203905855806</v>
      </c>
      <c r="AD30" s="3"/>
      <c r="AE30" s="24">
        <f>GLOBAL!$B$28</f>
        <v>6022.0680000000002</v>
      </c>
      <c r="AF30" s="24">
        <f>GLOBAL!$C$28</f>
        <v>5938.4220000000005</v>
      </c>
      <c r="AG30" s="25">
        <f>IF(AF30=0,0,AE30/AF30-1)</f>
        <v>1.40855601033405E-2</v>
      </c>
      <c r="AH30" s="3"/>
      <c r="AI30" s="24">
        <f>AE30+AA30+K30+G30+C30+O30+S30+W30</f>
        <v>9015524.4198333416</v>
      </c>
      <c r="AJ30" s="24">
        <f>AF30+AB30+L30+H30+D30+P30+T30+X30</f>
        <v>8680928.4144166689</v>
      </c>
      <c r="AK30" s="25">
        <f>IF(AJ30=0,0,AI30/AJ30-1)</f>
        <v>3.8543804238841517E-2</v>
      </c>
      <c r="AL30" s="35">
        <f>C30+G30-'Syn prin concurents'!E30</f>
        <v>0</v>
      </c>
      <c r="AM30" s="35">
        <f>D30+H30-'Syn prin concurents'!F30</f>
        <v>-488.125</v>
      </c>
      <c r="AN30" s="35">
        <f>K30+O30+S30+W30-'Syn prin concurents'!I30</f>
        <v>0</v>
      </c>
      <c r="AO30" s="35">
        <f>L30+P30+T30+X30-'Syn prin concurents'!J30</f>
        <v>0</v>
      </c>
      <c r="AP30" s="35">
        <f>AA30-'Syn prin concurents'!M30</f>
        <v>0</v>
      </c>
      <c r="AQ30" s="35">
        <f>AB30-'Syn prin concurents'!N30</f>
        <v>0</v>
      </c>
      <c r="AR30" s="35">
        <f>AE30-'Syn prin concurents'!Q30</f>
        <v>0</v>
      </c>
      <c r="AS30" s="35">
        <f>AF30-'Syn prin concurents'!R30</f>
        <v>0</v>
      </c>
      <c r="AT30" s="35">
        <f>AI30-'Syn prin concurents'!U30</f>
        <v>0</v>
      </c>
      <c r="AU30" s="35">
        <f>AJ30-'Syn prin concurents'!V30</f>
        <v>-488.125</v>
      </c>
    </row>
    <row r="31" spans="1:47" ht="14" x14ac:dyDescent="0.25">
      <c r="A31" s="221"/>
      <c r="C31" s="26"/>
      <c r="G31" s="26"/>
      <c r="K31" s="26"/>
      <c r="L31" s="27"/>
      <c r="M31" s="28"/>
      <c r="O31" s="26"/>
      <c r="P31" s="27"/>
      <c r="Q31" s="28"/>
      <c r="S31" s="26"/>
      <c r="T31" s="27"/>
      <c r="U31" s="28"/>
      <c r="W31" s="26"/>
      <c r="X31" s="27"/>
      <c r="Y31" s="28"/>
    </row>
    <row r="32" spans="1:47" ht="27.5" x14ac:dyDescent="0.25">
      <c r="A32" s="757" t="s">
        <v>80</v>
      </c>
      <c r="B32" s="757"/>
      <c r="C32" s="757"/>
      <c r="D32" s="757"/>
      <c r="E32" s="757"/>
      <c r="F32" s="757"/>
      <c r="G32" s="757"/>
      <c r="H32" s="757"/>
      <c r="I32" s="757"/>
      <c r="J32" s="757"/>
      <c r="K32" s="757"/>
      <c r="L32" s="757"/>
      <c r="M32" s="757"/>
      <c r="N32" s="757"/>
      <c r="O32" s="757"/>
      <c r="P32" s="757"/>
      <c r="Q32" s="757"/>
      <c r="R32" s="757"/>
      <c r="S32" s="757"/>
      <c r="T32" s="757"/>
      <c r="U32" s="757"/>
      <c r="V32" s="757"/>
      <c r="W32" s="757"/>
      <c r="X32" s="757"/>
      <c r="Y32" s="757"/>
      <c r="Z32" s="757"/>
      <c r="AA32" s="757"/>
      <c r="AB32" s="757"/>
      <c r="AC32" s="757"/>
      <c r="AD32" s="757"/>
      <c r="AE32" s="757"/>
      <c r="AF32" s="757"/>
      <c r="AG32" s="757"/>
      <c r="AH32" s="757"/>
      <c r="AI32" s="757"/>
      <c r="AJ32" s="757"/>
      <c r="AK32" s="757"/>
    </row>
    <row r="34" spans="1:47" ht="25" x14ac:dyDescent="0.5">
      <c r="C34" s="761" t="s">
        <v>72</v>
      </c>
      <c r="D34" s="761"/>
      <c r="E34" s="761"/>
      <c r="F34" s="3"/>
      <c r="G34" s="761" t="s">
        <v>73</v>
      </c>
      <c r="H34" s="761"/>
      <c r="I34" s="761"/>
      <c r="J34" s="3"/>
      <c r="K34" s="761" t="s">
        <v>74</v>
      </c>
      <c r="L34" s="761"/>
      <c r="M34" s="761"/>
      <c r="N34" s="3"/>
      <c r="O34" s="761" t="s">
        <v>75</v>
      </c>
      <c r="P34" s="761"/>
      <c r="Q34" s="761"/>
      <c r="R34" s="3"/>
      <c r="S34" s="761" t="s">
        <v>76</v>
      </c>
      <c r="T34" s="761"/>
      <c r="U34" s="761"/>
      <c r="V34" s="3"/>
      <c r="W34" s="761" t="s">
        <v>77</v>
      </c>
      <c r="X34" s="761"/>
      <c r="Y34" s="761"/>
      <c r="Z34" s="3"/>
      <c r="AA34" s="761" t="s">
        <v>59</v>
      </c>
      <c r="AB34" s="761"/>
      <c r="AC34" s="761"/>
      <c r="AD34" s="3"/>
      <c r="AE34" s="761" t="s">
        <v>60</v>
      </c>
      <c r="AF34" s="761"/>
      <c r="AG34" s="761"/>
      <c r="AH34" s="3"/>
      <c r="AI34" s="761" t="s">
        <v>61</v>
      </c>
      <c r="AJ34" s="761"/>
      <c r="AK34" s="761"/>
    </row>
    <row r="35" spans="1:47" ht="6.75" customHeight="1" x14ac:dyDescent="0.4">
      <c r="C35" s="562"/>
      <c r="D35" s="562"/>
      <c r="E35" s="562"/>
      <c r="G35" s="562"/>
      <c r="H35" s="562"/>
      <c r="I35" s="562"/>
      <c r="K35" s="562"/>
      <c r="L35" s="562"/>
      <c r="M35" s="562"/>
      <c r="O35" s="562"/>
      <c r="P35" s="562"/>
      <c r="Q35" s="562"/>
      <c r="S35" s="562"/>
      <c r="T35" s="562"/>
      <c r="U35" s="562"/>
      <c r="W35" s="562"/>
      <c r="X35" s="562"/>
      <c r="Y35" s="562"/>
      <c r="AA35" s="562"/>
      <c r="AB35" s="562"/>
      <c r="AC35" s="562"/>
      <c r="AE35" s="562"/>
      <c r="AF35" s="562"/>
      <c r="AG35" s="562"/>
      <c r="AI35" s="562"/>
      <c r="AJ35" s="562"/>
      <c r="AK35" s="562"/>
    </row>
    <row r="36" spans="1:47" ht="24.75" customHeight="1" x14ac:dyDescent="0.5">
      <c r="A36" s="4"/>
      <c r="B36" s="5"/>
      <c r="C36" s="559">
        <f>C13</f>
        <v>46082</v>
      </c>
      <c r="D36" s="558">
        <v>45992</v>
      </c>
      <c r="E36" s="560" t="s">
        <v>62</v>
      </c>
      <c r="F36" s="3"/>
      <c r="G36" s="559">
        <f>G13</f>
        <v>46082</v>
      </c>
      <c r="H36" s="558">
        <v>45992</v>
      </c>
      <c r="I36" s="560" t="s">
        <v>62</v>
      </c>
      <c r="J36" s="3"/>
      <c r="K36" s="559">
        <f>K13</f>
        <v>46082</v>
      </c>
      <c r="L36" s="558">
        <v>45992</v>
      </c>
      <c r="M36" s="560" t="s">
        <v>62</v>
      </c>
      <c r="N36" s="3"/>
      <c r="O36" s="559">
        <f>O13</f>
        <v>46082</v>
      </c>
      <c r="P36" s="558">
        <v>45992</v>
      </c>
      <c r="Q36" s="560" t="s">
        <v>62</v>
      </c>
      <c r="R36" s="3"/>
      <c r="S36" s="559">
        <f>S13</f>
        <v>46082</v>
      </c>
      <c r="T36" s="558">
        <v>45992</v>
      </c>
      <c r="U36" s="560" t="s">
        <v>62</v>
      </c>
      <c r="V36" s="3"/>
      <c r="W36" s="559">
        <f>W13</f>
        <v>46082</v>
      </c>
      <c r="X36" s="558">
        <v>45992</v>
      </c>
      <c r="Y36" s="560" t="s">
        <v>62</v>
      </c>
      <c r="Z36" s="3"/>
      <c r="AA36" s="559">
        <f>AA13</f>
        <v>46082</v>
      </c>
      <c r="AB36" s="558">
        <v>44896</v>
      </c>
      <c r="AC36" s="560" t="s">
        <v>62</v>
      </c>
      <c r="AD36" s="3"/>
      <c r="AE36" s="559">
        <f>AE13</f>
        <v>46082</v>
      </c>
      <c r="AF36" s="558">
        <v>44896</v>
      </c>
      <c r="AG36" s="560" t="s">
        <v>62</v>
      </c>
      <c r="AH36" s="3"/>
      <c r="AI36" s="559">
        <f>AE36</f>
        <v>46082</v>
      </c>
      <c r="AJ36" s="558">
        <v>45992</v>
      </c>
      <c r="AK36" s="560" t="s">
        <v>62</v>
      </c>
    </row>
    <row r="37" spans="1:47" ht="6.75" customHeight="1" x14ac:dyDescent="0.4">
      <c r="C37" s="562"/>
      <c r="D37" s="562"/>
      <c r="E37" s="562"/>
      <c r="G37" s="562"/>
      <c r="H37" s="562"/>
      <c r="I37" s="562"/>
      <c r="K37" s="562"/>
      <c r="L37" s="562"/>
      <c r="M37" s="562"/>
      <c r="O37" s="562"/>
      <c r="P37" s="562"/>
      <c r="Q37" s="562"/>
      <c r="S37" s="562"/>
      <c r="T37" s="562"/>
      <c r="U37" s="562"/>
      <c r="W37" s="562"/>
      <c r="X37" s="562"/>
      <c r="Y37" s="562"/>
      <c r="AA37" s="562"/>
      <c r="AB37" s="562"/>
      <c r="AC37" s="562"/>
      <c r="AE37" s="562"/>
      <c r="AF37" s="562"/>
      <c r="AG37" s="562"/>
      <c r="AI37" s="562"/>
      <c r="AJ37" s="562"/>
      <c r="AK37" s="562"/>
    </row>
    <row r="38" spans="1:47" ht="6" customHeight="1" x14ac:dyDescent="0.25">
      <c r="A38" s="563"/>
      <c r="B38" s="563"/>
      <c r="C38" s="563"/>
      <c r="D38" s="563"/>
      <c r="E38" s="563"/>
      <c r="G38" s="563"/>
      <c r="H38" s="563"/>
      <c r="I38" s="563"/>
      <c r="K38" s="563"/>
      <c r="L38" s="563"/>
      <c r="M38" s="563"/>
      <c r="O38" s="563"/>
      <c r="P38" s="563"/>
      <c r="Q38" s="563"/>
      <c r="S38" s="563"/>
      <c r="T38" s="563"/>
      <c r="U38" s="563"/>
      <c r="W38" s="563"/>
      <c r="X38" s="563"/>
      <c r="Y38" s="563"/>
      <c r="AA38" s="563"/>
      <c r="AB38" s="563"/>
      <c r="AC38" s="563"/>
      <c r="AE38" s="563"/>
      <c r="AF38" s="563"/>
      <c r="AG38" s="563"/>
      <c r="AI38" s="563"/>
      <c r="AJ38" s="563"/>
      <c r="AK38" s="563"/>
    </row>
    <row r="39" spans="1:47" ht="23.5" x14ac:dyDescent="0.55000000000000004">
      <c r="A39" s="6" t="s">
        <v>10</v>
      </c>
      <c r="B39" s="7"/>
      <c r="C39" s="8">
        <f>WAFASALAF!$B$42</f>
        <v>3152663.0060000001</v>
      </c>
      <c r="D39" s="8">
        <f>+'[2]Syn prin concurents par catégor'!$C$39</f>
        <v>3120697.2489999998</v>
      </c>
      <c r="E39" s="9">
        <f>IF(D39=0,0,C39/D39-1)</f>
        <v>1.0243145825902689E-2</v>
      </c>
      <c r="F39" s="10"/>
      <c r="G39" s="8">
        <f>WAFASALAF!$B$43+WAFASALAF!$B$45</f>
        <v>12532088.526000001</v>
      </c>
      <c r="H39" s="8">
        <f>'[2]Syn prin concurents par catégor'!$G$39</f>
        <v>11843082.844000001</v>
      </c>
      <c r="I39" s="9">
        <f>IF(H39=0,0,G39/H39-1)</f>
        <v>5.8177899376011588E-2</v>
      </c>
      <c r="J39" s="10"/>
      <c r="K39" s="8">
        <f>WAFASALAF!$B$51</f>
        <v>4249913.7489999998</v>
      </c>
      <c r="L39" s="8">
        <f>'[2]Syn prin concurents par catégor'!$K$39</f>
        <v>4256868.5460000001</v>
      </c>
      <c r="M39" s="9">
        <f>IF(L39=0,0,K39/L39-1)</f>
        <v>-1.6337824212437901E-3</v>
      </c>
      <c r="N39" s="10"/>
      <c r="O39" s="8">
        <f>WAFASALAF!$B$52</f>
        <v>1001115.205</v>
      </c>
      <c r="P39" s="8">
        <f>+'[2]Syn prin concurents par catégor'!$O$39</f>
        <v>1052841.5290000001</v>
      </c>
      <c r="Q39" s="9">
        <f>IF(P39=0,0,O39/P39-1)</f>
        <v>-4.9130208654601937E-2</v>
      </c>
      <c r="R39" s="10"/>
      <c r="S39" s="8">
        <f>WAFASALAF!$B$53</f>
        <v>378918.56300000002</v>
      </c>
      <c r="T39" s="8">
        <f>+'[2]Syn prin concurents par catégor'!$S$39</f>
        <v>403512.87199999997</v>
      </c>
      <c r="U39" s="9">
        <f>IF(T39=0,0,S39/T39-1)</f>
        <v>-6.0950494288073087E-2</v>
      </c>
      <c r="V39" s="10"/>
      <c r="W39" s="8">
        <f>WAFASALAF!$B$54</f>
        <v>3163331.0950000002</v>
      </c>
      <c r="X39" s="8">
        <f>+'[2]Syn prin concurents par catégor'!$W$39</f>
        <v>3079939.5389999999</v>
      </c>
      <c r="Y39" s="9">
        <f>IF(X39=0,0,W39/X39-1)</f>
        <v>2.7075712020982134E-2</v>
      </c>
      <c r="Z39" s="10"/>
      <c r="AA39" s="8">
        <f>WAFASALAF!$B$48-WAFASALAF!$B$41</f>
        <v>605147.41100000031</v>
      </c>
      <c r="AB39" s="8">
        <f>'[3]Syn prin concurents par catégor'!AA39</f>
        <v>404902.47416000068</v>
      </c>
      <c r="AC39" s="9">
        <f>IF(AB39=0,0,AA39/AB39-1)</f>
        <v>0.4945510329503966</v>
      </c>
      <c r="AD39" s="10"/>
      <c r="AE39" s="8">
        <f>WAFASALAF!$B$55</f>
        <v>74028.191999999995</v>
      </c>
      <c r="AF39" s="8">
        <f>'[3]Syn prin concurents par catégor'!AE39</f>
        <v>92905.176180000009</v>
      </c>
      <c r="AG39" s="9">
        <f>IF(AF39=0,0,AE39/AF39-1)</f>
        <v>-0.20318549467498581</v>
      </c>
      <c r="AH39" s="10"/>
      <c r="AI39" s="8">
        <f>AE39+AA39+K39+G39+C39+O39+S39+W39</f>
        <v>25157205.746999998</v>
      </c>
      <c r="AJ39" s="8">
        <f>AF39+AB39+L39+H39+D39+P39+T39+X39</f>
        <v>24254750.229340006</v>
      </c>
      <c r="AK39" s="9">
        <f>IF(AJ39=0,0,AI39/AJ39-1)</f>
        <v>3.7207372128216232E-2</v>
      </c>
      <c r="AL39" s="35">
        <f>C39+G39-'Syn prin concurents'!E40</f>
        <v>0</v>
      </c>
      <c r="AM39" s="35">
        <f>D39+H39-'Syn prin concurents'!F40</f>
        <v>0</v>
      </c>
      <c r="AN39" s="35">
        <f>K39+O39+S39+W39-'Syn prin concurents'!I40</f>
        <v>0</v>
      </c>
      <c r="AO39" s="35">
        <f>L39+P39+T39+X39-'Syn prin concurents'!J40</f>
        <v>0</v>
      </c>
      <c r="AP39" s="35">
        <f>AA39-'Syn prin concurents'!M40</f>
        <v>0</v>
      </c>
      <c r="AQ39" s="35">
        <f>AB39-'Syn prin concurents'!N40</f>
        <v>-121627.71184</v>
      </c>
      <c r="AR39" s="35">
        <f>AE39-'Syn prin concurents'!Q40</f>
        <v>0</v>
      </c>
      <c r="AS39" s="35">
        <f>AF39-'Syn prin concurents'!R40</f>
        <v>17512.356180000002</v>
      </c>
      <c r="AT39" s="35">
        <f>AI39-'Syn prin concurents'!U40</f>
        <v>0</v>
      </c>
      <c r="AU39" s="35">
        <f>AJ39-'Syn prin concurents'!V40</f>
        <v>-104115.35565999523</v>
      </c>
    </row>
    <row r="40" spans="1:47" ht="18.5" x14ac:dyDescent="0.45">
      <c r="A40" s="11" t="s">
        <v>67</v>
      </c>
      <c r="B40" s="12"/>
      <c r="C40" s="13">
        <f>C39/C$53</f>
        <v>0.15335335965448305</v>
      </c>
      <c r="D40" s="13">
        <f>D39/D$53</f>
        <v>0.22771681985941364</v>
      </c>
      <c r="E40" s="14">
        <f>(C40-D40)*100</f>
        <v>-7.4363460204930592</v>
      </c>
      <c r="F40" s="15"/>
      <c r="G40" s="13">
        <f>G39/G$53</f>
        <v>0.34964910746553435</v>
      </c>
      <c r="H40" s="13">
        <f>H39/H$53</f>
        <v>0.50834349907866638</v>
      </c>
      <c r="I40" s="14">
        <f>(G40-H40)*100</f>
        <v>-15.869439161313203</v>
      </c>
      <c r="J40" s="15"/>
      <c r="K40" s="13">
        <f>K39/K$53</f>
        <v>0.28583595411033291</v>
      </c>
      <c r="L40" s="13">
        <f>L39/L$53</f>
        <v>0.28276496934035705</v>
      </c>
      <c r="M40" s="14">
        <f>(K40-L40)*100</f>
        <v>0.30709847699758597</v>
      </c>
      <c r="N40" s="15"/>
      <c r="O40" s="13">
        <f>O39/O$53</f>
        <v>0.28722568310330893</v>
      </c>
      <c r="P40" s="13">
        <f>P39/P$53</f>
        <v>0.29298938765473881</v>
      </c>
      <c r="Q40" s="14">
        <f>(O40-P40)*100</f>
        <v>-0.57637045514298824</v>
      </c>
      <c r="R40" s="15"/>
      <c r="S40" s="13">
        <f>S39/S$53</f>
        <v>0.32914654956451844</v>
      </c>
      <c r="T40" s="13">
        <f>T39/T$53</f>
        <v>0.34114147279871265</v>
      </c>
      <c r="U40" s="14">
        <f>(S40-T40)*100</f>
        <v>-1.199492323419421</v>
      </c>
      <c r="V40" s="15"/>
      <c r="W40" s="13">
        <f>W39/W$53</f>
        <v>0.49200569671067879</v>
      </c>
      <c r="X40" s="13">
        <f>X39/X$53</f>
        <v>0.49923391457190619</v>
      </c>
      <c r="Y40" s="14">
        <f>(W40-X40)*100</f>
        <v>-0.7228217861227404</v>
      </c>
      <c r="Z40" s="15"/>
      <c r="AA40" s="13">
        <f>AA39/AA$53</f>
        <v>0.99022624291293904</v>
      </c>
      <c r="AB40" s="13">
        <f>AB39/AB$53</f>
        <v>0.99256635256671666</v>
      </c>
      <c r="AC40" s="14">
        <f>(AA40-AB40)*100</f>
        <v>-0.23401096537776223</v>
      </c>
      <c r="AD40" s="15"/>
      <c r="AE40" s="13">
        <f>AE39/AE$53</f>
        <v>0.32790681765354163</v>
      </c>
      <c r="AF40" s="13">
        <f>AF39/AF$53</f>
        <v>0.53727981206940523</v>
      </c>
      <c r="AG40" s="14">
        <f>(AE40-AF40)*100</f>
        <v>-20.937299441586362</v>
      </c>
      <c r="AH40" s="15"/>
      <c r="AI40" s="13">
        <f>AI39/AI$53</f>
        <v>0.30247405830561541</v>
      </c>
      <c r="AJ40" s="13">
        <f>AJ39/AJ$53</f>
        <v>0.38146839633607599</v>
      </c>
      <c r="AK40" s="14">
        <f>(AI40-AJ40)*100</f>
        <v>-7.8994338030460574</v>
      </c>
      <c r="AL40" s="35">
        <f>C40+G40-'Syn prin concurents'!E41</f>
        <v>0.22490433737452459</v>
      </c>
      <c r="AM40" s="35">
        <f>D40+H40-'Syn prin concurents'!F41</f>
        <v>0.45547881191350931</v>
      </c>
      <c r="AN40" s="35">
        <f>K40+O40+S40+W40-'Syn prin concurents'!I41</f>
        <v>1.055156797717917</v>
      </c>
      <c r="AO40" s="35">
        <f>L40+P40+T40+X40-'Syn prin concurents'!J41</f>
        <v>1.0779318372031412</v>
      </c>
      <c r="AP40" s="35">
        <f>AA40-'Syn prin concurents'!M41</f>
        <v>0</v>
      </c>
      <c r="AQ40" s="35">
        <f>AB40-'Syn prin concurents'!N41</f>
        <v>4.7408861784561385E-3</v>
      </c>
      <c r="AR40" s="35">
        <f>AE40-'Syn prin concurents'!Q41</f>
        <v>0</v>
      </c>
      <c r="AS40" s="35">
        <f>AF40-'Syn prin concurents'!R41</f>
        <v>0.10204159291652942</v>
      </c>
      <c r="AT40" s="35">
        <f>AI40-'Syn prin concurents'!U41</f>
        <v>0</v>
      </c>
      <c r="AU40" s="35">
        <f>AJ40-'Syn prin concurents'!V41</f>
        <v>7.7125633218484591E-2</v>
      </c>
    </row>
    <row r="41" spans="1:47" ht="23.5" x14ac:dyDescent="0.55000000000000004">
      <c r="A41" s="16" t="s">
        <v>2</v>
      </c>
      <c r="B41" s="37"/>
      <c r="C41" s="17">
        <f>SOFAC!B42</f>
        <v>5385317.5980803072</v>
      </c>
      <c r="D41" s="17">
        <f>+'[2]Syn prin concurents par catégor'!$C$41</f>
        <v>4654577.4622301552</v>
      </c>
      <c r="E41" s="18">
        <f>IF(D41=0,0,C41/D41-1)</f>
        <v>0.1569938714694914</v>
      </c>
      <c r="F41" s="10"/>
      <c r="G41" s="17">
        <f>SOFAC!B43+SOFAC!B45</f>
        <v>10260660.953036683</v>
      </c>
      <c r="H41" s="17">
        <f>'[2]Syn prin concurents par catégor'!$G$41</f>
        <v>9054972.5101520233</v>
      </c>
      <c r="I41" s="18">
        <f>IF(H41=0,0,G41/H41-1)</f>
        <v>0.13315208207787443</v>
      </c>
      <c r="J41" s="10"/>
      <c r="K41" s="17">
        <f>SOFAC!B51</f>
        <v>984421.86239999637</v>
      </c>
      <c r="L41" s="17">
        <f>+[5]V1!$B$51</f>
        <v>761163858.97999191</v>
      </c>
      <c r="M41" s="18">
        <f>IF(L41=0,0,K41/L41-1)</f>
        <v>-0.99870668864425693</v>
      </c>
      <c r="N41" s="10"/>
      <c r="O41" s="17">
        <f>SOFAC!B52</f>
        <v>1047513.4314800019</v>
      </c>
      <c r="P41" s="17">
        <f>+'[2]Syn prin concurents par catégor'!$O$41</f>
        <v>1061028.6698399947</v>
      </c>
      <c r="Q41" s="18">
        <f>IF(P41=0,0,O41/P41-1)</f>
        <v>-1.2737863494330481E-2</v>
      </c>
      <c r="R41" s="10"/>
      <c r="S41" s="17">
        <f>SOFAC!B53</f>
        <v>93372.04432999964</v>
      </c>
      <c r="T41" s="17">
        <f>+'[2]Syn prin concurents par catégor'!$S$41</f>
        <v>82692.260599999994</v>
      </c>
      <c r="U41" s="18">
        <f>IF(T41=0,0,S41/T41-1)</f>
        <v>0.12915094656391157</v>
      </c>
      <c r="V41" s="10"/>
      <c r="W41" s="17">
        <f>SOFAC!B54</f>
        <v>1749715.3952700063</v>
      </c>
      <c r="X41" s="17">
        <f>+'[2]Syn prin concurents par catégor'!$W$41</f>
        <v>1642920.454000005</v>
      </c>
      <c r="Y41" s="18">
        <f>IF(X41=0,0,W41/X41-1)</f>
        <v>6.500311138618331E-2</v>
      </c>
      <c r="Z41" s="10"/>
      <c r="AA41" s="17">
        <f>SOFAC!B48-SOFAC!B41</f>
        <v>4423.4978800006211</v>
      </c>
      <c r="AB41" s="17">
        <f>'[3]Syn prin concurents par catégor'!AA41</f>
        <v>2991.1095400005579</v>
      </c>
      <c r="AC41" s="18">
        <f>IF(AB41=0,0,AA41/AB41-1)</f>
        <v>0.47888194024475483</v>
      </c>
      <c r="AD41" s="10"/>
      <c r="AE41" s="17">
        <f>SOFAC!B55</f>
        <v>0</v>
      </c>
      <c r="AF41" s="17">
        <f>'[3]Syn prin concurents par catégor'!AE41</f>
        <v>0</v>
      </c>
      <c r="AG41" s="18">
        <f>IF(AF41=0,0,AE41/AF41-1)</f>
        <v>0</v>
      </c>
      <c r="AH41" s="10"/>
      <c r="AI41" s="17">
        <f>AE41+AA41+K41+G41+C41+O41+S41+W41</f>
        <v>19525424.782476995</v>
      </c>
      <c r="AJ41" s="17">
        <f>AF41+AB41+L41+H41+D41+P41+T41+X41</f>
        <v>777663041.44635403</v>
      </c>
      <c r="AK41" s="18">
        <f>IF(AJ41=0,0,AI41/AJ41-1)</f>
        <v>-0.97489217856340171</v>
      </c>
      <c r="AL41" s="35">
        <f>C41+G41-'Syn prin concurents'!E42</f>
        <v>0</v>
      </c>
      <c r="AM41" s="35">
        <f>D41+H41-'Syn prin concurents'!F42</f>
        <v>0</v>
      </c>
      <c r="AN41" s="35">
        <f>K41+O41+S41+W41-'Syn prin concurents'!I42</f>
        <v>0</v>
      </c>
      <c r="AO41" s="35">
        <f>L41+P41+T41+X41-'Syn prin concurents'!J42</f>
        <v>760201514.5433619</v>
      </c>
      <c r="AP41" s="35">
        <f>AA41-'Syn prin concurents'!M42</f>
        <v>0</v>
      </c>
      <c r="AQ41" s="35">
        <f>AB41-'Syn prin concurents'!N42</f>
        <v>-1648.5346600003541</v>
      </c>
      <c r="AR41" s="35">
        <f>AE41-'Syn prin concurents'!Q42</f>
        <v>0</v>
      </c>
      <c r="AS41" s="35">
        <f>AF41-'Syn prin concurents'!R42</f>
        <v>0</v>
      </c>
      <c r="AT41" s="35">
        <f>AI41-'Syn prin concurents'!U42</f>
        <v>0</v>
      </c>
      <c r="AU41" s="35">
        <f>AJ41-'Syn prin concurents'!V42</f>
        <v>760199866.0087018</v>
      </c>
    </row>
    <row r="42" spans="1:47" ht="18.5" x14ac:dyDescent="0.45">
      <c r="A42" s="19" t="s">
        <v>67</v>
      </c>
      <c r="B42" s="20"/>
      <c r="C42" s="21">
        <f>C41/C$53</f>
        <v>0.26195522480528199</v>
      </c>
      <c r="D42" s="21">
        <f>D41/D$53</f>
        <v>0.33964383370671242</v>
      </c>
      <c r="E42" s="22">
        <f>(C42-D42)*100</f>
        <v>-7.768860890143042</v>
      </c>
      <c r="F42" s="15"/>
      <c r="G42" s="21">
        <f>G41/G$53</f>
        <v>0.28627558262077146</v>
      </c>
      <c r="H42" s="21">
        <f>H41/H$53</f>
        <v>0.38866876728839456</v>
      </c>
      <c r="I42" s="22">
        <f>(G42-H42)*100</f>
        <v>-10.23931846676231</v>
      </c>
      <c r="J42" s="15"/>
      <c r="K42" s="21">
        <f>K41/K$53</f>
        <v>6.6209146562652699E-2</v>
      </c>
      <c r="L42" s="21">
        <f>L41/L$53</f>
        <v>50.560752093157369</v>
      </c>
      <c r="M42" s="22">
        <f>(K42-L42)*100</f>
        <v>-5049.4542946594711</v>
      </c>
      <c r="N42" s="15"/>
      <c r="O42" s="21">
        <f>O41/O$53</f>
        <v>0.3005375998826576</v>
      </c>
      <c r="P42" s="21">
        <f>P41/P$53</f>
        <v>0.29526774134357126</v>
      </c>
      <c r="Q42" s="22">
        <f>(O42-P42)*100</f>
        <v>0.52698585390863473</v>
      </c>
      <c r="R42" s="15"/>
      <c r="S42" s="21">
        <f>S41/S$53</f>
        <v>8.1107365059348221E-2</v>
      </c>
      <c r="T42" s="21">
        <f>T41/T$53</f>
        <v>6.9910432919569804E-2</v>
      </c>
      <c r="U42" s="22">
        <f>(S42-T42)*100</f>
        <v>1.1196932139778417</v>
      </c>
      <c r="V42" s="15"/>
      <c r="W42" s="21">
        <f>W41/W$53</f>
        <v>0.27214032178165659</v>
      </c>
      <c r="X42" s="21">
        <f>X41/X$53</f>
        <v>0.26630445149809023</v>
      </c>
      <c r="Y42" s="22">
        <f>(W42-X42)*100</f>
        <v>0.58358702835663578</v>
      </c>
      <c r="Z42" s="15"/>
      <c r="AA42" s="21">
        <f>AA41/AA$53</f>
        <v>7.2383416116876742E-3</v>
      </c>
      <c r="AB42" s="21">
        <f>AB41/AB$53</f>
        <v>7.3323204369274541E-3</v>
      </c>
      <c r="AC42" s="22">
        <f>(AA42-AB42)*100</f>
        <v>-9.3978825239779927E-3</v>
      </c>
      <c r="AD42" s="15"/>
      <c r="AE42" s="21">
        <f>AE41/AE$53</f>
        <v>0</v>
      </c>
      <c r="AF42" s="21">
        <f>AF41/AF$53</f>
        <v>0</v>
      </c>
      <c r="AG42" s="22">
        <f>(AE42-AF42)*100</f>
        <v>0</v>
      </c>
      <c r="AH42" s="15"/>
      <c r="AI42" s="21">
        <f>AI41/AI$53</f>
        <v>0.23476114690524161</v>
      </c>
      <c r="AJ42" s="21">
        <f>AJ41/AJ$53</f>
        <v>12.230753584571062</v>
      </c>
      <c r="AK42" s="22">
        <f>(AI42-AJ42)*100</f>
        <v>-1199.5992437665818</v>
      </c>
      <c r="AL42" s="35">
        <f>C42+G42-'Syn prin concurents'!E43</f>
        <v>0.27082014113487324</v>
      </c>
      <c r="AM42" s="35">
        <f>D42+H42-'Syn prin concurents'!F43</f>
        <v>0.4712487997381572</v>
      </c>
      <c r="AN42" s="35">
        <f>K42+O42+S42+W42-'Syn prin concurents'!I43</f>
        <v>0.57057872916921659</v>
      </c>
      <c r="AO42" s="35">
        <f>L42+P42+T42+X42-'Syn prin concurents'!J43</f>
        <v>51.048043233695083</v>
      </c>
      <c r="AP42" s="35">
        <f>AA42-'Syn prin concurents'!M43</f>
        <v>0</v>
      </c>
      <c r="AQ42" s="35">
        <f>AB42-'Syn prin concurents'!N43</f>
        <v>-1.3721352953436732E-3</v>
      </c>
      <c r="AR42" s="35">
        <f>AE42-'Syn prin concurents'!Q43</f>
        <v>0</v>
      </c>
      <c r="AS42" s="35">
        <f>AF42-'Syn prin concurents'!R43</f>
        <v>0</v>
      </c>
      <c r="AT42" s="35">
        <f>AI42-'Syn prin concurents'!U43</f>
        <v>0</v>
      </c>
      <c r="AU42" s="35">
        <f>AJ42-'Syn prin concurents'!V43</f>
        <v>12.012566450734456</v>
      </c>
    </row>
    <row r="43" spans="1:47" ht="23.5" x14ac:dyDescent="0.55000000000000004">
      <c r="A43" s="6" t="s">
        <v>5</v>
      </c>
      <c r="B43" s="296"/>
      <c r="C43" s="297">
        <f>VIVALIS!$B$42</f>
        <v>5328526.4189999998</v>
      </c>
      <c r="D43" s="297">
        <f>+'[2]Syn prin concurents par catégor'!$C$43</f>
        <v>5851407.4579999996</v>
      </c>
      <c r="E43" s="298">
        <f>IF(D43=0,0,C43/D43-1)</f>
        <v>-8.9359874996420063E-2</v>
      </c>
      <c r="F43" s="10"/>
      <c r="G43" s="297">
        <f>VIVALIS!$B$43+VIVALIS!$B$45</f>
        <v>5567651.8490000004</v>
      </c>
      <c r="H43" s="297">
        <f>'[2]Syn prin concurents par catégor'!$G$43</f>
        <v>5463237.2570000002</v>
      </c>
      <c r="I43" s="298">
        <f>IF(H43=0,0,G43/H43-1)</f>
        <v>1.9112219932644336E-2</v>
      </c>
      <c r="J43" s="10"/>
      <c r="K43" s="297">
        <f>VIVALIS!$B$51</f>
        <v>4365936.7560000001</v>
      </c>
      <c r="L43" s="297">
        <f>'[2]Syn prin concurents par catégor'!$K$43</f>
        <v>4527886.8880000003</v>
      </c>
      <c r="M43" s="298">
        <f>IF(L43=0,0,K43/L43-1)</f>
        <v>-3.5767265394638592E-2</v>
      </c>
      <c r="N43" s="10"/>
      <c r="O43" s="297">
        <f>VIVALIS!$B$52</f>
        <v>491278.58100000001</v>
      </c>
      <c r="P43" s="297">
        <f>+'[2]Syn prin concurents par catégor'!$O$43</f>
        <v>520478.15600000002</v>
      </c>
      <c r="Q43" s="298">
        <f>IF(P43=0,0,O43/P43-1)</f>
        <v>-5.6101441844179978E-2</v>
      </c>
      <c r="R43" s="10"/>
      <c r="S43" s="297">
        <f>VIVALIS!$B$53</f>
        <v>87393.868000000002</v>
      </c>
      <c r="T43" s="297">
        <f>+'[2]Syn prin concurents par catégor'!$S$43</f>
        <v>87380.482999999993</v>
      </c>
      <c r="U43" s="298">
        <f>IF(T43=0,0,S43/T43-1)</f>
        <v>1.5318065934710745E-4</v>
      </c>
      <c r="V43" s="10"/>
      <c r="W43" s="297">
        <f>VIVALIS!$B$54</f>
        <v>491884.79599999997</v>
      </c>
      <c r="X43" s="297">
        <f>+'[2]Syn prin concurents par catégor'!$W$43</f>
        <v>532961.10800000001</v>
      </c>
      <c r="Y43" s="298">
        <f>IF(X43=0,0,W43/X43-1)</f>
        <v>-7.7071875195816375E-2</v>
      </c>
      <c r="Z43" s="10"/>
      <c r="AA43" s="297">
        <f>VIVALIS!$B$48-VIVALIS!$B$41</f>
        <v>0</v>
      </c>
      <c r="AB43" s="297">
        <f>'[3]Syn prin concurents par catégor'!AA43</f>
        <v>0</v>
      </c>
      <c r="AC43" s="298">
        <f>IF(AB43=0,0,AA43/AB43-1)</f>
        <v>0</v>
      </c>
      <c r="AD43" s="10"/>
      <c r="AE43" s="297">
        <f>VIVALIS!B55</f>
        <v>0</v>
      </c>
      <c r="AF43" s="297">
        <f>'[3]Syn prin concurents par catégor'!AE43</f>
        <v>0</v>
      </c>
      <c r="AG43" s="298">
        <f>IF(AF43=0,0,AE43/AF43-1)</f>
        <v>0</v>
      </c>
      <c r="AH43" s="10"/>
      <c r="AI43" s="297">
        <f>AE43+AA43+K43+G43+C43+O43+S43+W43</f>
        <v>16332672.269000001</v>
      </c>
      <c r="AJ43" s="297">
        <f>AF43+AB43+L43+H43+D43+P43+T43+X43</f>
        <v>16983351.349999998</v>
      </c>
      <c r="AK43" s="298">
        <f>IF(AJ43=0,0,AI43/AJ43-1)</f>
        <v>-3.8312760985186656E-2</v>
      </c>
      <c r="AL43" s="35">
        <f>C43+G43-'Syn prin concurents'!E44</f>
        <v>0</v>
      </c>
      <c r="AM43" s="35">
        <f>D43+H43-'Syn prin concurents'!F44</f>
        <v>0</v>
      </c>
      <c r="AN43" s="35">
        <f>K43+O43+S43+W43-'Syn prin concurents'!I44</f>
        <v>0</v>
      </c>
      <c r="AO43" s="35">
        <f>L43+P43+T43+X43-'Syn prin concurents'!J44</f>
        <v>0</v>
      </c>
      <c r="AP43" s="35">
        <f>AA43-'Syn prin concurents'!M44</f>
        <v>0</v>
      </c>
      <c r="AQ43" s="35">
        <f>AB43-'Syn prin concurents'!N44</f>
        <v>0</v>
      </c>
      <c r="AR43" s="35">
        <f>AE43-'Syn prin concurents'!Q44</f>
        <v>0</v>
      </c>
      <c r="AS43" s="35">
        <f>AF43-'Syn prin concurents'!R44</f>
        <v>0</v>
      </c>
      <c r="AT43" s="35">
        <f>AI43-'Syn prin concurents'!U44</f>
        <v>0</v>
      </c>
      <c r="AU43" s="35">
        <f>AJ43-'Syn prin concurents'!V44</f>
        <v>0</v>
      </c>
    </row>
    <row r="44" spans="1:47" ht="18.5" x14ac:dyDescent="0.45">
      <c r="A44" s="11" t="s">
        <v>67</v>
      </c>
      <c r="B44" s="299"/>
      <c r="C44" s="300">
        <f>C43/C$53</f>
        <v>0.25919276078863013</v>
      </c>
      <c r="D44" s="300">
        <f>D43/D$53</f>
        <v>0.42697634269533574</v>
      </c>
      <c r="E44" s="301">
        <f>(C44-D44)*100</f>
        <v>-16.778358190670563</v>
      </c>
      <c r="F44" s="15"/>
      <c r="G44" s="300">
        <f>G43/G$53</f>
        <v>0.15533919151966274</v>
      </c>
      <c r="H44" s="300">
        <f>H43/H$53</f>
        <v>0.2344998494144043</v>
      </c>
      <c r="I44" s="301">
        <f>(G44-H44)*100</f>
        <v>-7.9160657894741551</v>
      </c>
      <c r="J44" s="15"/>
      <c r="K44" s="300">
        <f>K43/K$53</f>
        <v>0.29363929998115162</v>
      </c>
      <c r="L44" s="300">
        <f>L43/L$53</f>
        <v>0.30076752035601262</v>
      </c>
      <c r="M44" s="301">
        <f>(K44-L44)*100</f>
        <v>-0.7128220374860994</v>
      </c>
      <c r="N44" s="15"/>
      <c r="O44" s="300">
        <f>O43/O$53</f>
        <v>0.14095063716642811</v>
      </c>
      <c r="P44" s="300">
        <f>P43/P$53</f>
        <v>0.14484095850488399</v>
      </c>
      <c r="Q44" s="301">
        <f>(O44-P44)*100</f>
        <v>-0.38903213384558766</v>
      </c>
      <c r="R44" s="15"/>
      <c r="S44" s="300">
        <f>S43/S$53</f>
        <v>7.5914438916778487E-2</v>
      </c>
      <c r="T44" s="300">
        <f>T43/T$53</f>
        <v>7.3873991966439359E-2</v>
      </c>
      <c r="U44" s="301">
        <f>(S44-T44)*100</f>
        <v>0.20404469503391282</v>
      </c>
      <c r="V44" s="15"/>
      <c r="W44" s="300">
        <f>W43/W$53</f>
        <v>7.6504834457542012E-2</v>
      </c>
      <c r="X44" s="300">
        <f>X43/X$53</f>
        <v>8.6388793316315965E-2</v>
      </c>
      <c r="Y44" s="301">
        <f>(W44-X44)*100</f>
        <v>-0.98839588587739535</v>
      </c>
      <c r="Z44" s="15"/>
      <c r="AA44" s="300">
        <f>AA43/AA$53</f>
        <v>0</v>
      </c>
      <c r="AB44" s="300">
        <f>AB43/AB$53</f>
        <v>0</v>
      </c>
      <c r="AC44" s="301">
        <f>(AA44-AB44)*100</f>
        <v>0</v>
      </c>
      <c r="AD44" s="15"/>
      <c r="AE44" s="300">
        <f>AE43/AE$53</f>
        <v>0</v>
      </c>
      <c r="AF44" s="300">
        <f>AF43/AF$53</f>
        <v>0</v>
      </c>
      <c r="AG44" s="301">
        <f>(AE44-AF44)*100</f>
        <v>0</v>
      </c>
      <c r="AH44" s="15"/>
      <c r="AI44" s="300">
        <f>AI43/AI$53</f>
        <v>0.19637354457655282</v>
      </c>
      <c r="AJ44" s="300">
        <f>AJ43/AJ$53</f>
        <v>0.26710692720552986</v>
      </c>
      <c r="AK44" s="301">
        <f>(AI44-AJ44)*100</f>
        <v>-7.0733382628977051</v>
      </c>
      <c r="AL44" s="35">
        <f>C44+G44-'Syn prin concurents'!E45</f>
        <v>0.22133751173828703</v>
      </c>
      <c r="AM44" s="35">
        <f>D44+H44-'Syn prin concurents'!F45</f>
        <v>0.44931856577123236</v>
      </c>
      <c r="AN44" s="35">
        <f>K44+O44+S44+W44-'Syn prin concurents'!I45</f>
        <v>0.37738525862360905</v>
      </c>
      <c r="AO44" s="35">
        <f>L44+P44+T44+X44-'Syn prin concurents'!J45</f>
        <v>0.38784450490566813</v>
      </c>
      <c r="AP44" s="35">
        <f>AA44-'Syn prin concurents'!M45</f>
        <v>0</v>
      </c>
      <c r="AQ44" s="35">
        <f>AB44-'Syn prin concurents'!N45</f>
        <v>0</v>
      </c>
      <c r="AR44" s="35">
        <f>AE44-'Syn prin concurents'!Q45</f>
        <v>0</v>
      </c>
      <c r="AS44" s="35">
        <f>AF44-'Syn prin concurents'!R45</f>
        <v>0</v>
      </c>
      <c r="AT44" s="35">
        <f>AI44-'Syn prin concurents'!U45</f>
        <v>0</v>
      </c>
      <c r="AU44" s="35">
        <f>AJ44-'Syn prin concurents'!V45</f>
        <v>5.4914776515279401E-2</v>
      </c>
    </row>
    <row r="45" spans="1:47" ht="23.5" x14ac:dyDescent="0.55000000000000004">
      <c r="A45" s="6" t="s">
        <v>6</v>
      </c>
      <c r="B45" s="7"/>
      <c r="C45" s="8">
        <f>EQDOM!$B$42</f>
        <v>1034633.931</v>
      </c>
      <c r="D45" s="8">
        <f>+'[2]Syn prin concurents par catégor'!$C$45</f>
        <v>947304.17</v>
      </c>
      <c r="E45" s="9">
        <f>IF(D45=0,0,C45/D45-1)</f>
        <v>9.218766660765354E-2</v>
      </c>
      <c r="F45" s="10"/>
      <c r="G45" s="8">
        <f>EQDOM!$B$43+EQDOM!$B$45</f>
        <v>4275128.4129999997</v>
      </c>
      <c r="H45" s="8">
        <f>'[2]Syn prin concurents par catégor'!$G$45</f>
        <v>3963904.8829999999</v>
      </c>
      <c r="I45" s="9">
        <f>IF(H45=0,0,G45/H45-1)</f>
        <v>7.851437892335511E-2</v>
      </c>
      <c r="J45" s="10"/>
      <c r="K45" s="8">
        <f>EQDOM!$B$51</f>
        <v>3126697.0610000002</v>
      </c>
      <c r="L45" s="8">
        <f>'[2]Syn prin concurents par catégor'!$K$45</f>
        <v>3154839.3280000002</v>
      </c>
      <c r="M45" s="9">
        <f>IF(L45=0,0,K45/L45-1)</f>
        <v>-8.9203487322572217E-3</v>
      </c>
      <c r="N45" s="10"/>
      <c r="O45" s="8">
        <f>EQDOM!$B$52</f>
        <v>717890.67500000005</v>
      </c>
      <c r="P45" s="8">
        <f>+'[2]Syn prin concurents par catégor'!$O$45</f>
        <v>722572.29099999997</v>
      </c>
      <c r="Q45" s="9">
        <f>IF(P45=0,0,O45/P45-1)</f>
        <v>-6.4790970513425306E-3</v>
      </c>
      <c r="R45" s="10"/>
      <c r="S45" s="8">
        <f>EQDOM!$B$53</f>
        <v>435200.36900000001</v>
      </c>
      <c r="T45" s="8">
        <f>+'[2]Syn prin concurents par catégor'!$S$45</f>
        <v>450399.91</v>
      </c>
      <c r="U45" s="9">
        <f>IF(T45=0,0,S45/T45-1)</f>
        <v>-3.3746767400552935E-2</v>
      </c>
      <c r="V45" s="10"/>
      <c r="W45" s="8">
        <f>EQDOM!$B$54</f>
        <v>402013.19900000002</v>
      </c>
      <c r="X45" s="8">
        <f>+'[2]Syn prin concurents par catégor'!$W$45</f>
        <v>379495.84100000001</v>
      </c>
      <c r="Y45" s="9">
        <f>IF(X45=0,0,W45/X45-1)</f>
        <v>5.9334926940609156E-2</v>
      </c>
      <c r="Z45" s="10"/>
      <c r="AA45" s="8">
        <f>EQDOM!$B$48-EQDOM!$B$41</f>
        <v>1549.4440000001341</v>
      </c>
      <c r="AB45" s="8">
        <f>'[3]Syn prin concurents par catégor'!AA47</f>
        <v>0</v>
      </c>
      <c r="AC45" s="9">
        <f>IF(AB45=0,0,AA45/AB45-1)</f>
        <v>0</v>
      </c>
      <c r="AD45" s="10"/>
      <c r="AE45" s="8">
        <f>EQDOM!$B$55</f>
        <v>0</v>
      </c>
      <c r="AF45" s="8">
        <f>'[3]Syn prin concurents par catégor'!AE47</f>
        <v>0</v>
      </c>
      <c r="AG45" s="9">
        <f>IF(AF45=0,0,AE45/AF45-1)</f>
        <v>0</v>
      </c>
      <c r="AH45" s="10"/>
      <c r="AI45" s="8">
        <f>AE45+AA45+K45+G45+C45+O45+S45+W45</f>
        <v>9993113.0920000002</v>
      </c>
      <c r="AJ45" s="8">
        <f>AF45+AB45+L45+H45+D45+P45+T45+X45</f>
        <v>9618516.4230000004</v>
      </c>
      <c r="AK45" s="9">
        <f>IF(AJ45=0,0,AI45/AJ45-1)</f>
        <v>3.8945368758144028E-2</v>
      </c>
      <c r="AL45" s="35">
        <f>C45+G45-'Syn prin concurents'!E46</f>
        <v>0</v>
      </c>
      <c r="AM45" s="35">
        <f>D45+H45-'Syn prin concurents'!F46</f>
        <v>0</v>
      </c>
      <c r="AN45" s="35">
        <f>K45+O45+S45+W45-'Syn prin concurents'!I46</f>
        <v>0</v>
      </c>
      <c r="AO45" s="35">
        <f>L45+P45+T45+X45-'Syn prin concurents'!J46</f>
        <v>0</v>
      </c>
      <c r="AP45" s="35">
        <f>AA45-'Syn prin concurents'!M46</f>
        <v>0</v>
      </c>
      <c r="AQ45" s="35">
        <f>AB45-'Syn prin concurents'!N46</f>
        <v>-1849.6189999999999</v>
      </c>
      <c r="AR45" s="35">
        <f>AE45-'Syn prin concurents'!Q46</f>
        <v>0</v>
      </c>
      <c r="AS45" s="35">
        <f>AF45-'Syn prin concurents'!R46</f>
        <v>0</v>
      </c>
      <c r="AT45" s="35">
        <f>AI45-'Syn prin concurents'!U46</f>
        <v>0</v>
      </c>
      <c r="AU45" s="35">
        <f>AJ45-'Syn prin concurents'!V46</f>
        <v>-1849.6189999990165</v>
      </c>
    </row>
    <row r="46" spans="1:47" ht="18.5" x14ac:dyDescent="0.45">
      <c r="A46" s="11" t="s">
        <v>67</v>
      </c>
      <c r="B46" s="12"/>
      <c r="C46" s="13">
        <f>C45/C$53</f>
        <v>5.032716437799143E-2</v>
      </c>
      <c r="D46" s="13">
        <f>D45/D$53</f>
        <v>6.9124646135118054E-2</v>
      </c>
      <c r="E46" s="14">
        <f>(C46-D46)*100</f>
        <v>-1.8797481757126624</v>
      </c>
      <c r="F46" s="15"/>
      <c r="G46" s="13">
        <f>G45/G$53</f>
        <v>0.11927739185729369</v>
      </c>
      <c r="H46" s="13">
        <f>H45/H$53</f>
        <v>0.17014364458829173</v>
      </c>
      <c r="I46" s="14">
        <f>(G46-H46)*100</f>
        <v>-5.0866252730998038</v>
      </c>
      <c r="J46" s="15"/>
      <c r="K46" s="13">
        <f>K45/K$53</f>
        <v>0.21029190012507917</v>
      </c>
      <c r="L46" s="13">
        <f>L45/L$53</f>
        <v>0.20956203749676997</v>
      </c>
      <c r="M46" s="14">
        <f>(K46-L46)*100</f>
        <v>7.2986262830920801E-2</v>
      </c>
      <c r="N46" s="15"/>
      <c r="O46" s="13">
        <f>O45/O$53</f>
        <v>0.20596694415441485</v>
      </c>
      <c r="P46" s="13">
        <f>P45/P$53</f>
        <v>0.20108060638285452</v>
      </c>
      <c r="Q46" s="14">
        <f>(O46-P46)*100</f>
        <v>0.4886337771560334</v>
      </c>
      <c r="R46" s="15"/>
      <c r="S46" s="13">
        <f>S45/S$53</f>
        <v>0.37803558287418926</v>
      </c>
      <c r="T46" s="13">
        <f>T45/T$53</f>
        <v>0.38078113316248213</v>
      </c>
      <c r="U46" s="14">
        <f>(S46-T46)*100</f>
        <v>-0.27455502882928751</v>
      </c>
      <c r="V46" s="15"/>
      <c r="W46" s="13">
        <f>W45/W$53</f>
        <v>6.2526740995755226E-2</v>
      </c>
      <c r="X46" s="13">
        <f>X45/X$53</f>
        <v>6.1513283578190303E-2</v>
      </c>
      <c r="Y46" s="14">
        <f>(W46-X46)*100</f>
        <v>0.10134574175649225</v>
      </c>
      <c r="Z46" s="15"/>
      <c r="AA46" s="13">
        <f>AA45/AA$53</f>
        <v>2.5354154753611394E-3</v>
      </c>
      <c r="AB46" s="13">
        <f>AB45/AB$53</f>
        <v>0</v>
      </c>
      <c r="AC46" s="14">
        <f>(AA46-AB46)*100</f>
        <v>0.25354154753611396</v>
      </c>
      <c r="AD46" s="15"/>
      <c r="AE46" s="13">
        <f>AE45/AE$53</f>
        <v>0</v>
      </c>
      <c r="AF46" s="13">
        <f>AF45/AF$53</f>
        <v>0</v>
      </c>
      <c r="AG46" s="14">
        <f>(AE46-AF46)*100</f>
        <v>0</v>
      </c>
      <c r="AH46" s="15"/>
      <c r="AI46" s="13">
        <f>AI45/AI$53</f>
        <v>0.12015076326211903</v>
      </c>
      <c r="AJ46" s="13">
        <f>AJ45/AJ$53</f>
        <v>0.15127593565468189</v>
      </c>
      <c r="AK46" s="14">
        <f>(AI46-AJ46)*100</f>
        <v>-3.1125172392562863</v>
      </c>
      <c r="AL46" s="35">
        <f>C46+G46-'Syn prin concurents'!E47</f>
        <v>7.5459935949345885E-2</v>
      </c>
      <c r="AM46" s="35">
        <f>D46+H46-'Syn prin concurents'!F47</f>
        <v>0.14717963205299295</v>
      </c>
      <c r="AN46" s="35">
        <f>K46+O46+S46+W46-'Syn prin concurents'!I47</f>
        <v>0.67629715926309941</v>
      </c>
      <c r="AO46" s="35">
        <f>L46+P46+T46+X46-'Syn prin concurents'!J47</f>
        <v>0.67188712512329496</v>
      </c>
      <c r="AP46" s="35">
        <f>AA46-'Syn prin concurents'!M47</f>
        <v>0</v>
      </c>
      <c r="AQ46" s="35">
        <f>AB46-'Syn prin concurents'!N47</f>
        <v>-3.4700778794771428E-3</v>
      </c>
      <c r="AR46" s="35">
        <f>AE46-'Syn prin concurents'!Q47</f>
        <v>0</v>
      </c>
      <c r="AS46" s="35">
        <f>AF46-'Syn prin concurents'!R47</f>
        <v>0</v>
      </c>
      <c r="AT46" s="35">
        <f>AI46-'Syn prin concurents'!U47</f>
        <v>0</v>
      </c>
      <c r="AU46" s="35">
        <f>AJ46-'Syn prin concurents'!V47</f>
        <v>3.1077859385157378E-2</v>
      </c>
    </row>
    <row r="47" spans="1:47" ht="23.5" x14ac:dyDescent="0.55000000000000004">
      <c r="A47" s="6" t="s">
        <v>4</v>
      </c>
      <c r="B47" s="7"/>
      <c r="C47" s="8">
        <f>'RCI '!$B$42</f>
        <v>4247236.4879999999</v>
      </c>
      <c r="D47" s="8">
        <f>+'[2]Syn prin concurents par catégor'!$C$47</f>
        <v>4068048.4419999998</v>
      </c>
      <c r="E47" s="9">
        <f>IF(D47=0,0,C47/D47-1)</f>
        <v>4.404766770965618E-2</v>
      </c>
      <c r="F47" s="10"/>
      <c r="G47" s="8">
        <f>'RCI '!$B$43+'RCI '!$B$45</f>
        <v>2033188.1189999999</v>
      </c>
      <c r="H47" s="8">
        <f>'[2]Syn prin concurents par catégor'!$G$47</f>
        <v>1982823.389</v>
      </c>
      <c r="I47" s="9">
        <f>IF(H47=0,0,G47/H47-1)</f>
        <v>2.540051236000429E-2</v>
      </c>
      <c r="J47" s="10"/>
      <c r="K47" s="8">
        <f>'RCI '!$B$51</f>
        <v>0</v>
      </c>
      <c r="L47" s="8">
        <f>'[2]Syn prin concurents par catégor'!$K$47</f>
        <v>0</v>
      </c>
      <c r="M47" s="9">
        <f>IF(L47=0,0,K47/L47-1)</f>
        <v>0</v>
      </c>
      <c r="N47" s="10"/>
      <c r="O47" s="8">
        <f>'RCI '!$B$52</f>
        <v>0</v>
      </c>
      <c r="P47" s="8">
        <f>+'[2]Syn prin concurents par catégor'!$O$47</f>
        <v>0</v>
      </c>
      <c r="Q47" s="9">
        <f>IF(P47=0,0,O47/P47-1)</f>
        <v>0</v>
      </c>
      <c r="R47" s="10"/>
      <c r="S47" s="8">
        <f>'RCI '!$B$53</f>
        <v>0</v>
      </c>
      <c r="T47" s="8">
        <f>+'[2]Syn prin concurents par catégor'!$S$47</f>
        <v>0</v>
      </c>
      <c r="U47" s="9">
        <f>IF(T47=0,0,S47/T47-1)</f>
        <v>0</v>
      </c>
      <c r="V47" s="10"/>
      <c r="W47" s="8">
        <f>'RCI '!$B$54</f>
        <v>0</v>
      </c>
      <c r="X47" s="8">
        <f>+'[2]Syn prin concurents par catégor'!$W$47</f>
        <v>0</v>
      </c>
      <c r="Y47" s="9">
        <f>IF(X47=0,0,W47/X47-1)</f>
        <v>0</v>
      </c>
      <c r="Z47" s="10"/>
      <c r="AA47" s="8">
        <f>'RCI '!$B$48-'RCI '!$B$41</f>
        <v>0</v>
      </c>
      <c r="AB47" s="8">
        <f>'[3]Syn prin concurents par catégor'!AA45</f>
        <v>41.334819999989122</v>
      </c>
      <c r="AC47" s="9">
        <f>IF(AB47=0,0,AA47/AB47-1)</f>
        <v>-1</v>
      </c>
      <c r="AD47" s="10"/>
      <c r="AE47" s="8">
        <f>'RCI '!B55</f>
        <v>0</v>
      </c>
      <c r="AF47" s="8">
        <f>'[3]Syn prin concurents par catégor'!AE45</f>
        <v>0</v>
      </c>
      <c r="AG47" s="9">
        <f>IF(AF47=0,0,AE47/AF47-1)</f>
        <v>0</v>
      </c>
      <c r="AH47" s="10"/>
      <c r="AI47" s="8">
        <f>AE47+AA47+K47+G47+C47+O47+S47+W47</f>
        <v>6280424.6069999998</v>
      </c>
      <c r="AJ47" s="8">
        <f>AF47+AB47+L47+H47+D47+P47+T47+X47</f>
        <v>6050913.1658199998</v>
      </c>
      <c r="AK47" s="9">
        <f>IF(AJ47=0,0,AI47/AJ47-1)</f>
        <v>3.7930050372636082E-2</v>
      </c>
      <c r="AL47" s="35">
        <f>C47+G47-'Syn prin concurents'!E48</f>
        <v>0</v>
      </c>
      <c r="AM47" s="35">
        <f>D47+H47-'Syn prin concurents'!F48</f>
        <v>0</v>
      </c>
      <c r="AN47" s="35">
        <f>K47+O47+S47+W47-'Syn prin concurents'!I48</f>
        <v>0</v>
      </c>
      <c r="AO47" s="35">
        <f>L47+P47+T47+X47-'Syn prin concurents'!J48</f>
        <v>0</v>
      </c>
      <c r="AP47" s="35">
        <f>AA47-'Syn prin concurents'!M48</f>
        <v>0</v>
      </c>
      <c r="AQ47" s="35">
        <f>AB47-'Syn prin concurents'!N48</f>
        <v>41.334819999989122</v>
      </c>
      <c r="AR47" s="35">
        <f>AE47-'Syn prin concurents'!Q48</f>
        <v>0</v>
      </c>
      <c r="AS47" s="35">
        <f>AF47-'Syn prin concurents'!R48</f>
        <v>0</v>
      </c>
      <c r="AT47" s="35">
        <f>AI47-'Syn prin concurents'!U48</f>
        <v>0</v>
      </c>
      <c r="AU47" s="35">
        <f>AJ47-'Syn prin concurents'!V48</f>
        <v>41.334819999523461</v>
      </c>
    </row>
    <row r="48" spans="1:47" ht="18.5" x14ac:dyDescent="0.45">
      <c r="A48" s="11" t="s">
        <v>67</v>
      </c>
      <c r="B48" s="12"/>
      <c r="C48" s="13">
        <f>C47/C$53</f>
        <v>0.20659613267968399</v>
      </c>
      <c r="D48" s="13">
        <f>D47/D$53</f>
        <v>0.29684489725593444</v>
      </c>
      <c r="E48" s="14">
        <f>(C48-D48)*100</f>
        <v>-9.0248764576250444</v>
      </c>
      <c r="F48" s="15"/>
      <c r="G48" s="13">
        <f>G47/G$53</f>
        <v>5.6726571125234854E-2</v>
      </c>
      <c r="H48" s="13">
        <f>H47/H$53</f>
        <v>8.5109206183585445E-2</v>
      </c>
      <c r="I48" s="14">
        <f>(G48-H48)*100</f>
        <v>-2.8382635058350592</v>
      </c>
      <c r="J48" s="15"/>
      <c r="K48" s="13">
        <f>K47/K$53</f>
        <v>0</v>
      </c>
      <c r="L48" s="13">
        <f>L47/L$53</f>
        <v>0</v>
      </c>
      <c r="M48" s="14">
        <f>(K48-L48)*100</f>
        <v>0</v>
      </c>
      <c r="N48" s="15"/>
      <c r="O48" s="13">
        <f>O47/O$53</f>
        <v>0</v>
      </c>
      <c r="P48" s="13">
        <f>P47/P$53</f>
        <v>0</v>
      </c>
      <c r="Q48" s="14">
        <f>(O48-P48)*100</f>
        <v>0</v>
      </c>
      <c r="R48" s="15"/>
      <c r="S48" s="13">
        <f>S47/S$53</f>
        <v>0</v>
      </c>
      <c r="T48" s="13">
        <f>T47/T$53</f>
        <v>0</v>
      </c>
      <c r="U48" s="14">
        <f>(S48-T48)*100</f>
        <v>0</v>
      </c>
      <c r="V48" s="15"/>
      <c r="W48" s="13">
        <f>W47/W$53</f>
        <v>0</v>
      </c>
      <c r="X48" s="13">
        <f>X47/X$53</f>
        <v>0</v>
      </c>
      <c r="Y48" s="14">
        <f>(W48-X48)*100</f>
        <v>0</v>
      </c>
      <c r="Z48" s="15"/>
      <c r="AA48" s="13">
        <f>AA47/AA$53</f>
        <v>0</v>
      </c>
      <c r="AB48" s="13">
        <f>AB47/AB$53</f>
        <v>1.0132699635018428E-4</v>
      </c>
      <c r="AC48" s="14">
        <f>(AA48-AB48)*100</f>
        <v>-1.0132699635018429E-2</v>
      </c>
      <c r="AD48" s="15"/>
      <c r="AE48" s="13">
        <f>AE47/AE$53</f>
        <v>0</v>
      </c>
      <c r="AF48" s="13">
        <f>AF47/AF$53</f>
        <v>0</v>
      </c>
      <c r="AG48" s="14">
        <f>(AE48-AF48)*100</f>
        <v>0</v>
      </c>
      <c r="AH48" s="15"/>
      <c r="AI48" s="13">
        <f>AI47/AI$53</f>
        <v>7.5511785285942393E-2</v>
      </c>
      <c r="AJ48" s="13">
        <f>AJ47/AJ$53</f>
        <v>9.5166188887075301E-2</v>
      </c>
      <c r="AK48" s="14">
        <f>(AI48-AJ48)*100</f>
        <v>-1.9654403601132908</v>
      </c>
      <c r="AL48" s="35">
        <f>C48+G48-'Syn prin concurents'!E49</f>
        <v>0.15196777837617273</v>
      </c>
      <c r="AM48" s="35">
        <f>D48+H48-'Syn prin concurents'!F49</f>
        <v>0.26849595806429405</v>
      </c>
      <c r="AN48" s="35">
        <f>K48+O48+S48+W48-'Syn prin concurents'!I49</f>
        <v>0</v>
      </c>
      <c r="AO48" s="35">
        <f>L48+P48+T48+X48-'Syn prin concurents'!J49</f>
        <v>0</v>
      </c>
      <c r="AP48" s="35">
        <f>AA48-'Syn prin concurents'!M49</f>
        <v>0</v>
      </c>
      <c r="AQ48" s="35">
        <f>AB48-'Syn prin concurents'!N49</f>
        <v>1.0132699635018428E-4</v>
      </c>
      <c r="AR48" s="35">
        <f>AE48-'Syn prin concurents'!Q49</f>
        <v>0</v>
      </c>
      <c r="AS48" s="35">
        <f>AF48-'Syn prin concurents'!R49</f>
        <v>0</v>
      </c>
      <c r="AT48" s="35">
        <f>AI48-'Syn prin concurents'!U49</f>
        <v>0</v>
      </c>
      <c r="AU48" s="35">
        <f>AJ48-'Syn prin concurents'!V49</f>
        <v>1.956582704383146E-2</v>
      </c>
    </row>
    <row r="49" spans="1:50" ht="23.5" x14ac:dyDescent="0.55000000000000004">
      <c r="A49" s="6" t="s">
        <v>7</v>
      </c>
      <c r="B49" s="7"/>
      <c r="C49" s="8">
        <f>SALAFIN!$B$42</f>
        <v>229567.07699999999</v>
      </c>
      <c r="D49" s="8">
        <f>+'[2]Syn prin concurents par catégor'!$C$49</f>
        <v>216696.003</v>
      </c>
      <c r="E49" s="9">
        <f>IF(D49=0,0,C49/D49-1)</f>
        <v>5.9396914672210199E-2</v>
      </c>
      <c r="F49" s="10"/>
      <c r="G49" s="8">
        <f>SALAFIN!$B$43+SALAFIN!$B$45</f>
        <v>1165356.6179999998</v>
      </c>
      <c r="H49" s="8">
        <f>'[2]Syn prin concurents par catégor'!$G$49</f>
        <v>1106857.4579999999</v>
      </c>
      <c r="I49" s="9">
        <f>IF(H49=0,0,G49/H49-1)</f>
        <v>5.2851575039936094E-2</v>
      </c>
      <c r="J49" s="10"/>
      <c r="K49" s="8">
        <f>SALAFIN!$B$51</f>
        <v>337812.408</v>
      </c>
      <c r="L49" s="8">
        <f>'[2]Syn prin concurents par catégor'!$K$49</f>
        <v>348921.348</v>
      </c>
      <c r="M49" s="9">
        <f>IF(L49=0,0,K49/L49-1)</f>
        <v>-3.1837948763169366E-2</v>
      </c>
      <c r="N49" s="10"/>
      <c r="O49" s="8">
        <f>SALAFIN!$B$52</f>
        <v>162893.01800000001</v>
      </c>
      <c r="P49" s="8">
        <f>+'[2]Syn prin concurents par catégor'!$O$49</f>
        <v>171751.098</v>
      </c>
      <c r="Q49" s="9">
        <f>IF(P49=0,0,O49/P49-1)</f>
        <v>-5.1575099682914294E-2</v>
      </c>
      <c r="R49" s="10"/>
      <c r="S49" s="8">
        <f>SALAFIN!$B$53</f>
        <v>6848.7659999999996</v>
      </c>
      <c r="T49" s="8">
        <f>+'[2]Syn prin concurents par catégor'!$S$49</f>
        <v>9365.7029999999995</v>
      </c>
      <c r="U49" s="9">
        <f>IF(T49=0,0,S49/T49-1)</f>
        <v>-0.2687397838688671</v>
      </c>
      <c r="V49" s="10"/>
      <c r="W49" s="8">
        <f>SALAFIN!$B$54</f>
        <v>451753.87099999998</v>
      </c>
      <c r="X49" s="8">
        <f>+'[2]Syn prin concurents par catégor'!$W$49</f>
        <v>361712.95699999999</v>
      </c>
      <c r="Y49" s="9">
        <f>IF(X49=0,0,W49/X49-1)</f>
        <v>0.24892919166287975</v>
      </c>
      <c r="Z49" s="10"/>
      <c r="AA49" s="8">
        <f>SALAFIN!$B$48-SALAFIN!$B$41</f>
        <v>0</v>
      </c>
      <c r="AB49" s="8">
        <f>'[3]Syn prin concurents par catégor'!AA49</f>
        <v>0</v>
      </c>
      <c r="AC49" s="9">
        <f>IF(AB49=0,0,AA49/AB49-1)</f>
        <v>0</v>
      </c>
      <c r="AD49" s="10"/>
      <c r="AE49" s="8">
        <f>SALAFIN!$B$55</f>
        <v>151731.652</v>
      </c>
      <c r="AF49" s="8">
        <f>'[3]Syn prin concurents par catégor'!AE49</f>
        <v>80009.384340000004</v>
      </c>
      <c r="AG49" s="9">
        <f>IF(AF49=0,0,AE49/AF49-1)</f>
        <v>0.8964231914998384</v>
      </c>
      <c r="AH49" s="10"/>
      <c r="AI49" s="8">
        <f>AE49+AA49+K49+G49+C49+O49+S49+W49</f>
        <v>2505963.4099999997</v>
      </c>
      <c r="AJ49" s="8">
        <f>AF49+AB49+L49+H49+D49+P49+T49+X49</f>
        <v>2295313.9513399997</v>
      </c>
      <c r="AK49" s="9">
        <f>IF(AJ49=0,0,AI49/AJ49-1)</f>
        <v>9.1773702040639504E-2</v>
      </c>
      <c r="AL49" s="35">
        <f>C49+G49-'Syn prin concurents'!E50</f>
        <v>0</v>
      </c>
      <c r="AM49" s="35">
        <f>D49+H49-'Syn prin concurents'!F50</f>
        <v>0</v>
      </c>
      <c r="AN49" s="35">
        <f>K49+O49+S49+W49-'Syn prin concurents'!I50</f>
        <v>0</v>
      </c>
      <c r="AO49" s="35">
        <f>L49+P49+T49+X49-'Syn prin concurents'!J50</f>
        <v>0</v>
      </c>
      <c r="AP49" s="35">
        <f>AA49-'Syn prin concurents'!M50</f>
        <v>0</v>
      </c>
      <c r="AQ49" s="35">
        <f>AB49-'Syn prin concurents'!N50</f>
        <v>0</v>
      </c>
      <c r="AR49" s="35">
        <f>AE49-'Syn prin concurents'!Q50</f>
        <v>0</v>
      </c>
      <c r="AS49" s="35">
        <f>AF49-'Syn prin concurents'!R50</f>
        <v>-17819.761659999989</v>
      </c>
      <c r="AT49" s="35">
        <f>AI49-'Syn prin concurents'!U50</f>
        <v>0</v>
      </c>
      <c r="AU49" s="35">
        <f>AJ49-'Syn prin concurents'!V50</f>
        <v>-17819.761659999844</v>
      </c>
      <c r="AX49" s="26"/>
    </row>
    <row r="50" spans="1:50" ht="18.5" x14ac:dyDescent="0.45">
      <c r="A50" s="11" t="s">
        <v>67</v>
      </c>
      <c r="B50" s="12"/>
      <c r="C50" s="13">
        <f>C49/C$53</f>
        <v>1.116671285735555E-2</v>
      </c>
      <c r="D50" s="13">
        <f>D49/D$53</f>
        <v>1.5812275508371804E-2</v>
      </c>
      <c r="E50" s="14">
        <f>(C50-D50)*100</f>
        <v>-0.4645562651016254</v>
      </c>
      <c r="F50" s="15"/>
      <c r="G50" s="13">
        <f>G49/G$53</f>
        <v>3.2513806499004108E-2</v>
      </c>
      <c r="H50" s="13">
        <f>H49/H$53</f>
        <v>4.7509909420763476E-2</v>
      </c>
      <c r="I50" s="14">
        <f>(G50-H50)*100</f>
        <v>-1.4996102921759367</v>
      </c>
      <c r="J50" s="15"/>
      <c r="K50" s="13">
        <f>K49/K$53</f>
        <v>2.2720209786306667E-2</v>
      </c>
      <c r="L50" s="13">
        <f>L49/L$53</f>
        <v>2.317730350450339E-2</v>
      </c>
      <c r="M50" s="14">
        <f>(K50-L50)*100</f>
        <v>-4.5709371819672301E-2</v>
      </c>
      <c r="N50" s="15"/>
      <c r="O50" s="13">
        <f>O49/O$53</f>
        <v>4.673493932979432E-2</v>
      </c>
      <c r="P50" s="13">
        <f>P49/P$53</f>
        <v>4.7795653615454063E-2</v>
      </c>
      <c r="Q50" s="14">
        <f>(O50-P50)*100</f>
        <v>-0.10607142856597432</v>
      </c>
      <c r="R50" s="15"/>
      <c r="S50" s="13">
        <f>S49/S$53</f>
        <v>5.9491614235716089E-3</v>
      </c>
      <c r="T50" s="13">
        <f>T49/T$53</f>
        <v>7.9180366648014169E-3</v>
      </c>
      <c r="U50" s="14">
        <f>(S50-T50)*100</f>
        <v>-0.1968875241229808</v>
      </c>
      <c r="V50" s="15"/>
      <c r="W50" s="13">
        <f>W49/W$53</f>
        <v>7.0263109161863152E-2</v>
      </c>
      <c r="X50" s="13">
        <f>X49/X$53</f>
        <v>5.8630818296232012E-2</v>
      </c>
      <c r="Y50" s="14">
        <f>(W50-X50)*100</f>
        <v>1.1632290865631139</v>
      </c>
      <c r="Z50" s="15"/>
      <c r="AA50" s="13">
        <f>AA49/AA$53</f>
        <v>0</v>
      </c>
      <c r="AB50" s="13">
        <f>AB49/AB$53</f>
        <v>0</v>
      </c>
      <c r="AC50" s="14">
        <f>(AA50-AB50)*100</f>
        <v>0</v>
      </c>
      <c r="AD50" s="15"/>
      <c r="AE50" s="13">
        <f>AE49/AE$53</f>
        <v>0.67209318234645843</v>
      </c>
      <c r="AF50" s="13">
        <f>AF49/AF$53</f>
        <v>0.4627021738670149</v>
      </c>
      <c r="AG50" s="14">
        <f>(AE50-AF50)*100</f>
        <v>20.939100847944353</v>
      </c>
      <c r="AH50" s="15"/>
      <c r="AI50" s="13">
        <f>AI49/AI$53</f>
        <v>3.013009195897955E-2</v>
      </c>
      <c r="AJ50" s="13">
        <f>AJ49/AJ$53</f>
        <v>3.609972165560895E-2</v>
      </c>
      <c r="AK50" s="14">
        <f>(AI50-AJ50)*100</f>
        <v>-0.59696296966294005</v>
      </c>
      <c r="AL50" s="35">
        <f>C50+G50-'Syn prin concurents'!E51</f>
        <v>1.894785655798973E-2</v>
      </c>
      <c r="AM50" s="35">
        <f>D50+H50-'Syn prin concurents'!F51</f>
        <v>3.8504617281994474E-2</v>
      </c>
      <c r="AN50" s="35">
        <f>K50+O50+S50+W50-'Syn prin concurents'!I51</f>
        <v>0.10867778130278735</v>
      </c>
      <c r="AO50" s="35">
        <f>L50+P50+T50+X50-'Syn prin concurents'!J51</f>
        <v>0.10322375853776534</v>
      </c>
      <c r="AP50" s="35">
        <f>AA50-'Syn prin concurents'!M51</f>
        <v>0</v>
      </c>
      <c r="AQ50" s="35">
        <f>AB50-'Syn prin concurents'!N51</f>
        <v>0</v>
      </c>
      <c r="AR50" s="35">
        <f>AE50-'Syn prin concurents'!Q51</f>
        <v>0</v>
      </c>
      <c r="AS50" s="35">
        <f>AF50-'Syn prin concurents'!R51</f>
        <v>-0.10205960698010924</v>
      </c>
      <c r="AT50" s="35">
        <f>AI50-'Syn prin concurents'!U51</f>
        <v>0</v>
      </c>
      <c r="AU50" s="35">
        <f>AJ50-'Syn prin concurents'!V51</f>
        <v>7.1991349998665639E-3</v>
      </c>
    </row>
    <row r="51" spans="1:50" ht="23.5" x14ac:dyDescent="0.55000000000000004">
      <c r="A51" s="6" t="s">
        <v>11</v>
      </c>
      <c r="B51" s="7"/>
      <c r="C51" s="8">
        <f>'AXA CREDIT'!$B$42</f>
        <v>5644.0749999999998</v>
      </c>
      <c r="D51" s="8">
        <f>+'[2]Syn prin concurents par catégor'!$C$51</f>
        <v>5644.0749999999998</v>
      </c>
      <c r="E51" s="9">
        <f>IF(D51=0,0,C51/D51-1)</f>
        <v>0</v>
      </c>
      <c r="F51" s="10"/>
      <c r="G51" s="8">
        <f>'AXA CREDIT'!$B$43+'AXA CREDIT'!$B$45</f>
        <v>7826.04</v>
      </c>
      <c r="H51" s="8">
        <f>'[2]Syn prin concurents par catégor'!$G$51</f>
        <v>7826.04</v>
      </c>
      <c r="I51" s="9">
        <f>IF(H51=0,0,G51/H51-1)</f>
        <v>0</v>
      </c>
      <c r="J51" s="10"/>
      <c r="K51" s="8">
        <f>'AXA CREDIT'!$B$51</f>
        <v>1803496.6780000001</v>
      </c>
      <c r="L51" s="8">
        <f>'[2]Syn prin concurents par catégor'!$K$51</f>
        <v>1803496.6780000001</v>
      </c>
      <c r="M51" s="9">
        <f>IF(L51=0,0,K51/L51-1)</f>
        <v>0</v>
      </c>
      <c r="N51" s="10"/>
      <c r="O51" s="8">
        <f>'AXA CREDIT'!$B$52</f>
        <v>64761.531000000003</v>
      </c>
      <c r="P51" s="8">
        <f>+'[2]Syn prin concurents par catégor'!$O$51</f>
        <v>64761.531000000003</v>
      </c>
      <c r="Q51" s="9">
        <f>IF(P51=0,0,O51/P51-1)</f>
        <v>0</v>
      </c>
      <c r="R51" s="10"/>
      <c r="S51" s="8">
        <f>'AXA CREDIT'!$B$53</f>
        <v>149469.03700000001</v>
      </c>
      <c r="T51" s="8">
        <f>+'[2]Syn prin concurents par catégor'!$S$51</f>
        <v>149469.03700000001</v>
      </c>
      <c r="U51" s="9">
        <f>IF(T51=0,0,S51/T51-1)</f>
        <v>0</v>
      </c>
      <c r="V51" s="10"/>
      <c r="W51" s="8">
        <f>'AXA CREDIT'!$B$54</f>
        <v>149312.049</v>
      </c>
      <c r="X51" s="8">
        <f>+'[2]Syn prin concurents par catégor'!$W$51</f>
        <v>149312.049</v>
      </c>
      <c r="Y51" s="9">
        <f>IF(X51=0,0,W51/X51-1)</f>
        <v>0</v>
      </c>
      <c r="Z51" s="10"/>
      <c r="AA51" s="8">
        <f>'AXA CREDIT'!$B$48-'AXA CREDIT'!$B$41</f>
        <v>0</v>
      </c>
      <c r="AB51" s="8">
        <f>'[3]Syn prin concurents par catégor'!AA51</f>
        <v>0</v>
      </c>
      <c r="AC51" s="9">
        <f>IF(AB51=0,0,AA51/AB51-1)</f>
        <v>0</v>
      </c>
      <c r="AD51" s="10"/>
      <c r="AE51" s="8">
        <f>'AXA CREDIT'!$B$55</f>
        <v>0</v>
      </c>
      <c r="AF51" s="8">
        <f>'[3]Syn prin concurents par catégor'!AE51</f>
        <v>3.1149499999999999</v>
      </c>
      <c r="AG51" s="9">
        <f>IF(AF51=0,0,AE51/AF51-1)</f>
        <v>-1</v>
      </c>
      <c r="AH51" s="10"/>
      <c r="AI51" s="8">
        <f>AE51+AA51+K51+G51+C51+O51+S51+W51</f>
        <v>2180509.41</v>
      </c>
      <c r="AJ51" s="8">
        <f>AF51+AB51+L51+H51+D51+P51+T51+X51</f>
        <v>2180512.52495</v>
      </c>
      <c r="AK51" s="9">
        <f>IF(AJ51=0,0,AI51/AJ51-1)</f>
        <v>-1.4285402923919222E-6</v>
      </c>
      <c r="AL51" s="35">
        <f>C51+G51-'Syn prin concurents'!E52</f>
        <v>0</v>
      </c>
      <c r="AM51" s="35">
        <f>D51+H51-'Syn prin concurents'!F52</f>
        <v>0</v>
      </c>
      <c r="AN51" s="35">
        <f>K51+O51+S51+W51-'Syn prin concurents'!I52</f>
        <v>0</v>
      </c>
      <c r="AO51" s="35">
        <f>L51+P51+T51+X51-'Syn prin concurents'!J52</f>
        <v>0</v>
      </c>
      <c r="AP51" s="35">
        <f>AA51-'Syn prin concurents'!M52</f>
        <v>0</v>
      </c>
      <c r="AQ51" s="35">
        <f>AB51-'Syn prin concurents'!N52</f>
        <v>0</v>
      </c>
      <c r="AR51" s="35">
        <f>AE51-'Syn prin concurents'!Q52</f>
        <v>0</v>
      </c>
      <c r="AS51" s="35">
        <f>AF51-'Syn prin concurents'!R52</f>
        <v>3.1149499999999999</v>
      </c>
      <c r="AT51" s="35">
        <f>AI51-'Syn prin concurents'!U52</f>
        <v>0</v>
      </c>
      <c r="AU51" s="35">
        <f>AJ51-'Syn prin concurents'!V52</f>
        <v>3.1149499998427927</v>
      </c>
    </row>
    <row r="52" spans="1:50" ht="19" thickBot="1" x14ac:dyDescent="0.5">
      <c r="A52" s="11" t="s">
        <v>67</v>
      </c>
      <c r="B52" s="12"/>
      <c r="C52" s="13">
        <f>C51/(C$53+C$43)</f>
        <v>2.1803002377646967E-4</v>
      </c>
      <c r="D52" s="13">
        <f>D51/(D$53+D$43)</f>
        <v>2.8861538300788142E-4</v>
      </c>
      <c r="E52" s="14">
        <f>(C52-D52)*100</f>
        <v>-7.0585359231411749E-3</v>
      </c>
      <c r="F52" s="15"/>
      <c r="G52" s="13">
        <f>G51/(G$53+G$43)</f>
        <v>1.889911760125612E-4</v>
      </c>
      <c r="H52" s="13">
        <f>H51/(H$53+H$43)</f>
        <v>2.7210939000401398E-4</v>
      </c>
      <c r="I52" s="14">
        <f>(G52-H52)*100</f>
        <v>-8.3118213991452781E-3</v>
      </c>
      <c r="J52" s="15"/>
      <c r="K52" s="13">
        <f>K51/(K$53+K$43)</f>
        <v>9.3764595784352964E-2</v>
      </c>
      <c r="L52" s="13">
        <f>L51/(L$53+L$43)</f>
        <v>9.2098175911549507E-2</v>
      </c>
      <c r="M52" s="14">
        <f>(K52-L52)*100</f>
        <v>0.16664198728034568</v>
      </c>
      <c r="N52" s="15"/>
      <c r="O52" s="13">
        <f>O51/(O$53+O$43)</f>
        <v>1.6285063840510962E-2</v>
      </c>
      <c r="P52" s="13">
        <f>P51/(P$53+P$43)</f>
        <v>1.5742033470326433E-2</v>
      </c>
      <c r="Q52" s="14">
        <f>(O52-P52)*100</f>
        <v>5.4303037018452877E-2</v>
      </c>
      <c r="R52" s="15"/>
      <c r="S52" s="13">
        <f>S51/(S$53+S$43)</f>
        <v>0.12067489392346684</v>
      </c>
      <c r="T52" s="13">
        <f>T51/(T$53+T$43)</f>
        <v>0.11767251589023696</v>
      </c>
      <c r="U52" s="14">
        <f>(S52-T52)*100</f>
        <v>0.30023780332298772</v>
      </c>
      <c r="V52" s="15"/>
      <c r="W52" s="13">
        <f>W51/(W$53+W$43)</f>
        <v>2.1572692432124691E-2</v>
      </c>
      <c r="X52" s="13">
        <f>X51/(X$53+X$43)</f>
        <v>2.2277757278523696E-2</v>
      </c>
      <c r="Y52" s="14">
        <f>(W52-X52)*100</f>
        <v>-7.0506484639900474E-2</v>
      </c>
      <c r="Z52" s="15"/>
      <c r="AA52" s="13">
        <f>AA51/AA$53</f>
        <v>0</v>
      </c>
      <c r="AB52" s="13">
        <f>AB51/(AB$53+AB$43)</f>
        <v>0</v>
      </c>
      <c r="AC52" s="14">
        <f>(AA52-AB52)*100</f>
        <v>0</v>
      </c>
      <c r="AD52" s="15"/>
      <c r="AE52" s="13">
        <f>AE51/AE$53</f>
        <v>0</v>
      </c>
      <c r="AF52" s="13">
        <f>AF51/(AF$53+AF$43)</f>
        <v>1.8014063579870536E-5</v>
      </c>
      <c r="AG52" s="14">
        <f>(AE52-AF52)*100</f>
        <v>-1.8014063579870536E-3</v>
      </c>
      <c r="AH52" s="15"/>
      <c r="AI52" s="13">
        <f>AI51/(AI$53+AI$43)</f>
        <v>2.1913759749991261E-2</v>
      </c>
      <c r="AJ52" s="13">
        <f>AJ51/(AJ$53+AJ$43)</f>
        <v>2.7064940541938001E-2</v>
      </c>
      <c r="AK52" s="14">
        <f>(AI52-AJ52)*100</f>
        <v>-0.51511807919467389</v>
      </c>
      <c r="AL52" s="35">
        <f>C52+G52-'Syn prin concurents'!E53</f>
        <v>1.6818963262559201E-4</v>
      </c>
      <c r="AM52" s="35">
        <f>D52+H52-'Syn prin concurents'!F53</f>
        <v>3.0815054758189902E-4</v>
      </c>
      <c r="AN52" s="35">
        <f>K52+O52+S52+W52-'Syn prin concurents'!I53</f>
        <v>0.16873910338833106</v>
      </c>
      <c r="AO52" s="35">
        <f>L52+P52+T52+X52-'Syn prin concurents'!J53</f>
        <v>0.16444297754604656</v>
      </c>
      <c r="AP52" s="35">
        <f>AA52-'Syn prin concurents'!M53</f>
        <v>0</v>
      </c>
      <c r="AQ52" s="35">
        <f>AB52-'Syn prin concurents'!N53</f>
        <v>0</v>
      </c>
      <c r="AR52" s="35">
        <f>AE52-'Syn prin concurents'!Q53</f>
        <v>0</v>
      </c>
      <c r="AS52" s="35">
        <f>AF52-'Syn prin concurents'!R53</f>
        <v>1.8014063579870536E-5</v>
      </c>
      <c r="AT52" s="35">
        <f>AI52-'Syn prin concurents'!U53</f>
        <v>-4.3032826771047736E-3</v>
      </c>
      <c r="AU52" s="35">
        <f>AJ52-'Syn prin concurents'!V53</f>
        <v>-1.7862121292312738E-4</v>
      </c>
    </row>
    <row r="53" spans="1:50" ht="29" thickBot="1" x14ac:dyDescent="0.7">
      <c r="A53" s="23" t="s">
        <v>8</v>
      </c>
      <c r="B53" s="38"/>
      <c r="C53" s="53">
        <f>GLOBAL!B42</f>
        <v>20558160.663080309</v>
      </c>
      <c r="D53" s="53">
        <f>'[3]Syn prin concurents par catégor'!C53</f>
        <v>13704289.612539979</v>
      </c>
      <c r="E53" s="25">
        <f>IF(D53=0,0,C53/D53-1)</f>
        <v>0.50012596379083818</v>
      </c>
      <c r="F53" s="3"/>
      <c r="G53" s="218">
        <f>GLOBAL!B43+GLOBAL!B45</f>
        <v>35841900.518036686</v>
      </c>
      <c r="H53" s="53">
        <f>'[3]Syn prin concurents par catégor'!G53</f>
        <v>23297401.984021988</v>
      </c>
      <c r="I53" s="25">
        <f>IF(H53=0,0,G53/H53-1)</f>
        <v>0.53845053378132324</v>
      </c>
      <c r="J53" s="3"/>
      <c r="K53" s="24">
        <f>GLOBAL!B51</f>
        <v>14868366.585399995</v>
      </c>
      <c r="L53" s="53">
        <f>+'[2]Syn prin concurents par catégor'!$K$53</f>
        <v>15054440.993629996</v>
      </c>
      <c r="M53" s="25">
        <f>IF(L53=0,0,K53/L53-1)</f>
        <v>-1.2360100804057472E-2</v>
      </c>
      <c r="N53" s="3"/>
      <c r="O53" s="24">
        <f>GLOBAL!B52</f>
        <v>3485465.4854800021</v>
      </c>
      <c r="P53" s="53">
        <f>+'[2]Syn prin concurents par catégor'!$O$53</f>
        <v>3593445.9518399946</v>
      </c>
      <c r="Q53" s="25">
        <f>IF(P53=0,0,O53/P53-1)</f>
        <v>-3.0049280775936493E-2</v>
      </c>
      <c r="R53" s="3"/>
      <c r="S53" s="24">
        <f>GLOBAL!B53</f>
        <v>1151215.3583299995</v>
      </c>
      <c r="T53" s="53">
        <f>+'[2]Syn prin concurents par catégor'!$S$53</f>
        <v>1182831.4765999999</v>
      </c>
      <c r="U53" s="25">
        <f>IF(T53=0,0,S53/T53-1)</f>
        <v>-2.6729182386048489E-2</v>
      </c>
      <c r="V53" s="3"/>
      <c r="W53" s="24">
        <f>GLOBAL!B54</f>
        <v>6429460.3012700062</v>
      </c>
      <c r="X53" s="53">
        <f>+'[2]Syn prin concurents par catégor'!$W$53</f>
        <v>6169331.5480000041</v>
      </c>
      <c r="Y53" s="25">
        <f>IF(X53=0,0,W53/X53-1)</f>
        <v>4.2164819842488654E-2</v>
      </c>
      <c r="Z53" s="3"/>
      <c r="AA53" s="53">
        <f>GLOBAL!$B$48-GLOBAL!$B$41</f>
        <v>611120.35288000852</v>
      </c>
      <c r="AB53" s="53">
        <f>'[3]Syn prin concurents par catégor'!AA53</f>
        <v>407934.91852000356</v>
      </c>
      <c r="AC53" s="25">
        <f>IF(AB53=0,0,AA53/AB53-1)</f>
        <v>0.49808296651133954</v>
      </c>
      <c r="AD53" s="3"/>
      <c r="AE53" s="53">
        <f>GLOBAL!$B$55</f>
        <v>225759.84399999998</v>
      </c>
      <c r="AF53" s="53">
        <f>'[3]Syn prin concurents par catégor'!AE53</f>
        <v>172917.67547000002</v>
      </c>
      <c r="AG53" s="25">
        <f>IF(AF53=0,0,AE53/AF53-1)</f>
        <v>0.30559148095399702</v>
      </c>
      <c r="AH53" s="3"/>
      <c r="AI53" s="24">
        <f>AE53+AA53+K53+G53+C53+O53+S53+W53</f>
        <v>83171449.108476996</v>
      </c>
      <c r="AJ53" s="24">
        <f>AF53+AB53+L53+H53+D53+P53+T53+X53</f>
        <v>63582594.160621956</v>
      </c>
      <c r="AK53" s="25">
        <f>IF(AJ53=0,0,AI53/AJ53-1)</f>
        <v>0.30808517970137861</v>
      </c>
      <c r="AL53" s="35">
        <f>C53+G53-'Syn prin concurents'!E54</f>
        <v>0</v>
      </c>
      <c r="AM53" s="35">
        <f>D53+H53-'Syn prin concurents'!F54</f>
        <v>-16329621.117820211</v>
      </c>
      <c r="AN53" s="35">
        <f>K53+O53+S53+W53-'Syn prin concurents'!I54</f>
        <v>0</v>
      </c>
      <c r="AO53" s="35">
        <f>L53+P53+T53+X53-'Syn prin concurents'!J54</f>
        <v>0</v>
      </c>
      <c r="AP53" s="35">
        <f>AA53-'Syn prin concurents'!M54</f>
        <v>0</v>
      </c>
      <c r="AQ53" s="35">
        <f>AB53-'Syn prin concurents'!N54</f>
        <v>-125084.53067999333</v>
      </c>
      <c r="AR53" s="35">
        <f>AE53-'Syn prin concurents'!Q54</f>
        <v>0</v>
      </c>
      <c r="AS53" s="35">
        <f>AF53-'Syn prin concurents'!R54</f>
        <v>-304.2905299999984</v>
      </c>
      <c r="AT53" s="35">
        <f>AI53-'Syn prin concurents'!U54</f>
        <v>0</v>
      </c>
      <c r="AU53" s="35">
        <f>AJ53-'Syn prin concurents'!V54</f>
        <v>-16455009.939030215</v>
      </c>
    </row>
    <row r="54" spans="1:50" ht="14" x14ac:dyDescent="0.25">
      <c r="A54" s="221"/>
    </row>
    <row r="55" spans="1:50" ht="27.5" x14ac:dyDescent="0.25">
      <c r="A55" s="757" t="s">
        <v>69</v>
      </c>
      <c r="B55" s="757"/>
      <c r="C55" s="757"/>
      <c r="D55" s="757"/>
      <c r="E55" s="757"/>
      <c r="F55" s="757"/>
      <c r="G55" s="757"/>
      <c r="H55" s="757"/>
      <c r="I55" s="757"/>
      <c r="J55" s="757"/>
      <c r="K55" s="757"/>
      <c r="L55" s="757"/>
      <c r="M55" s="757"/>
      <c r="N55" s="757"/>
      <c r="O55" s="757"/>
      <c r="P55" s="757"/>
      <c r="Q55" s="757"/>
      <c r="R55" s="757"/>
      <c r="S55" s="757"/>
      <c r="T55" s="757"/>
      <c r="U55" s="757"/>
      <c r="V55" s="757"/>
      <c r="W55" s="757"/>
      <c r="X55" s="757"/>
      <c r="Y55" s="757"/>
      <c r="Z55" s="757"/>
      <c r="AA55" s="757"/>
      <c r="AB55" s="757"/>
      <c r="AC55" s="757"/>
      <c r="AD55" s="757"/>
      <c r="AE55" s="757"/>
      <c r="AF55" s="757"/>
      <c r="AG55" s="757"/>
      <c r="AH55" s="757"/>
      <c r="AI55" s="757"/>
      <c r="AJ55" s="757"/>
      <c r="AK55" s="757"/>
    </row>
    <row r="57" spans="1:50" ht="25" x14ac:dyDescent="0.5">
      <c r="C57" s="761" t="s">
        <v>72</v>
      </c>
      <c r="D57" s="761"/>
      <c r="E57" s="761"/>
      <c r="F57" s="3"/>
      <c r="G57" s="761" t="s">
        <v>73</v>
      </c>
      <c r="H57" s="761"/>
      <c r="I57" s="761"/>
      <c r="J57" s="3"/>
      <c r="K57" s="761" t="s">
        <v>74</v>
      </c>
      <c r="L57" s="761"/>
      <c r="M57" s="761"/>
      <c r="N57" s="3"/>
      <c r="O57" s="761" t="s">
        <v>75</v>
      </c>
      <c r="P57" s="761"/>
      <c r="Q57" s="761"/>
      <c r="R57" s="3"/>
      <c r="S57" s="761" t="s">
        <v>76</v>
      </c>
      <c r="T57" s="761"/>
      <c r="U57" s="761"/>
      <c r="V57" s="3"/>
      <c r="W57" s="761" t="s">
        <v>77</v>
      </c>
      <c r="X57" s="761"/>
      <c r="Y57" s="761"/>
      <c r="Z57" s="3"/>
      <c r="AA57" s="761" t="s">
        <v>59</v>
      </c>
      <c r="AB57" s="761"/>
      <c r="AC57" s="761"/>
      <c r="AD57" s="3"/>
      <c r="AE57" s="761" t="s">
        <v>60</v>
      </c>
      <c r="AF57" s="761"/>
      <c r="AG57" s="761"/>
      <c r="AH57" s="3"/>
      <c r="AI57" s="761" t="s">
        <v>61</v>
      </c>
      <c r="AJ57" s="761"/>
      <c r="AK57" s="761"/>
    </row>
    <row r="58" spans="1:50" ht="6.75" customHeight="1" x14ac:dyDescent="0.4">
      <c r="C58" s="562"/>
      <c r="D58" s="562"/>
      <c r="E58" s="562"/>
      <c r="G58" s="562"/>
      <c r="H58" s="562"/>
      <c r="I58" s="562"/>
      <c r="K58" s="562"/>
      <c r="L58" s="562"/>
      <c r="M58" s="562"/>
      <c r="O58" s="562"/>
      <c r="P58" s="562"/>
      <c r="Q58" s="562"/>
      <c r="S58" s="562"/>
      <c r="T58" s="562"/>
      <c r="U58" s="562"/>
      <c r="W58" s="562"/>
      <c r="X58" s="562"/>
      <c r="Y58" s="562"/>
      <c r="AA58" s="562"/>
      <c r="AB58" s="562"/>
      <c r="AC58" s="562"/>
      <c r="AE58" s="562"/>
      <c r="AF58" s="562"/>
      <c r="AG58" s="562"/>
      <c r="AI58" s="562"/>
      <c r="AJ58" s="562"/>
      <c r="AK58" s="562"/>
    </row>
    <row r="59" spans="1:50" ht="24.75" customHeight="1" x14ac:dyDescent="0.5">
      <c r="A59" s="4"/>
      <c r="B59" s="5"/>
      <c r="C59" s="559">
        <f>C36</f>
        <v>46082</v>
      </c>
      <c r="D59" s="558">
        <f>D36</f>
        <v>45992</v>
      </c>
      <c r="E59" s="560" t="s">
        <v>62</v>
      </c>
      <c r="F59" s="3"/>
      <c r="G59" s="559">
        <f>G36</f>
        <v>46082</v>
      </c>
      <c r="H59" s="558">
        <f>H36</f>
        <v>45992</v>
      </c>
      <c r="I59" s="560" t="s">
        <v>62</v>
      </c>
      <c r="J59" s="3"/>
      <c r="K59" s="559">
        <f>G59</f>
        <v>46082</v>
      </c>
      <c r="L59" s="558">
        <f>L36</f>
        <v>45992</v>
      </c>
      <c r="M59" s="560" t="s">
        <v>62</v>
      </c>
      <c r="N59" s="3"/>
      <c r="O59" s="559">
        <f>K59</f>
        <v>46082</v>
      </c>
      <c r="P59" s="558">
        <f>P36</f>
        <v>45992</v>
      </c>
      <c r="Q59" s="560" t="s">
        <v>62</v>
      </c>
      <c r="R59" s="3"/>
      <c r="S59" s="559">
        <f>O59</f>
        <v>46082</v>
      </c>
      <c r="T59" s="558">
        <f>T36</f>
        <v>45992</v>
      </c>
      <c r="U59" s="560" t="s">
        <v>62</v>
      </c>
      <c r="V59" s="3"/>
      <c r="W59" s="559">
        <f>S59</f>
        <v>46082</v>
      </c>
      <c r="X59" s="558">
        <f>X36</f>
        <v>45992</v>
      </c>
      <c r="Y59" s="560" t="s">
        <v>62</v>
      </c>
      <c r="Z59" s="3"/>
      <c r="AA59" s="559">
        <f>K59</f>
        <v>46082</v>
      </c>
      <c r="AB59" s="558">
        <f>AB36</f>
        <v>44896</v>
      </c>
      <c r="AC59" s="560" t="s">
        <v>62</v>
      </c>
      <c r="AD59" s="3"/>
      <c r="AE59" s="559">
        <f>AA59</f>
        <v>46082</v>
      </c>
      <c r="AF59" s="558">
        <f>AF36</f>
        <v>44896</v>
      </c>
      <c r="AG59" s="560" t="s">
        <v>62</v>
      </c>
      <c r="AH59" s="3"/>
      <c r="AI59" s="559">
        <f>AE59</f>
        <v>46082</v>
      </c>
      <c r="AJ59" s="558">
        <f>AF59</f>
        <v>44896</v>
      </c>
      <c r="AK59" s="560" t="s">
        <v>62</v>
      </c>
    </row>
    <row r="60" spans="1:50" ht="6.75" customHeight="1" x14ac:dyDescent="0.4">
      <c r="C60" s="562"/>
      <c r="D60" s="562"/>
      <c r="E60" s="562"/>
      <c r="G60" s="562"/>
      <c r="H60" s="562"/>
      <c r="I60" s="562"/>
      <c r="K60" s="562"/>
      <c r="L60" s="562"/>
      <c r="M60" s="562"/>
      <c r="O60" s="562"/>
      <c r="P60" s="562"/>
      <c r="Q60" s="562"/>
      <c r="S60" s="562"/>
      <c r="T60" s="562"/>
      <c r="U60" s="562"/>
      <c r="W60" s="562"/>
      <c r="X60" s="562"/>
      <c r="Y60" s="562"/>
      <c r="AA60" s="562"/>
      <c r="AB60" s="562"/>
      <c r="AC60" s="562"/>
      <c r="AE60" s="562"/>
      <c r="AF60" s="562"/>
      <c r="AG60" s="562"/>
      <c r="AI60" s="562"/>
      <c r="AJ60" s="562"/>
      <c r="AK60" s="562"/>
    </row>
    <row r="61" spans="1:50" ht="11.5" customHeight="1" x14ac:dyDescent="0.25">
      <c r="A61" s="563"/>
      <c r="B61" s="563"/>
      <c r="C61" s="563"/>
      <c r="D61" s="563"/>
      <c r="E61" s="563"/>
      <c r="G61" s="563"/>
      <c r="H61" s="563"/>
      <c r="I61" s="563"/>
      <c r="K61" s="563"/>
      <c r="L61" s="563"/>
      <c r="M61" s="563"/>
      <c r="O61" s="563"/>
      <c r="P61" s="563"/>
      <c r="Q61" s="563"/>
      <c r="S61" s="563"/>
      <c r="T61" s="563"/>
      <c r="U61" s="563"/>
      <c r="W61" s="563"/>
      <c r="X61" s="563"/>
      <c r="Y61" s="563"/>
      <c r="AA61" s="563"/>
      <c r="AB61" s="563"/>
      <c r="AC61" s="563"/>
      <c r="AE61" s="563"/>
      <c r="AF61" s="563"/>
      <c r="AG61" s="563"/>
      <c r="AI61" s="563"/>
      <c r="AJ61" s="563"/>
      <c r="AK61" s="563"/>
    </row>
    <row r="62" spans="1:50" ht="23.5" x14ac:dyDescent="0.55000000000000004">
      <c r="A62" s="6" t="s">
        <v>10</v>
      </c>
      <c r="B62" s="7"/>
      <c r="C62" s="8">
        <f>WAFASALAF!$B$98</f>
        <v>1070052.33</v>
      </c>
      <c r="D62" s="8">
        <f>+'[2]Syn prin concurents par catégor'!$C$62</f>
        <v>964090.04500000004</v>
      </c>
      <c r="E62" s="9">
        <f>IF(D62=0,0,C62/D62-1)</f>
        <v>0.10990911642490819</v>
      </c>
      <c r="F62" s="10"/>
      <c r="G62" s="8">
        <f>WAFASALAF!$B$100+WAFASALAF!$B$99</f>
        <v>285869.09100000001</v>
      </c>
      <c r="H62" s="8">
        <f>+'[2]Syn prin concurents par catégor'!$G$62</f>
        <v>257930.258</v>
      </c>
      <c r="I62" s="9">
        <f>IF(H62=0,0,G62/H62-1)</f>
        <v>0.10831933103405045</v>
      </c>
      <c r="J62" s="10"/>
      <c r="K62" s="8">
        <f>WAFASALAF!$B$107</f>
        <v>257475.41099999999</v>
      </c>
      <c r="L62" s="8">
        <f>+'[2]Syn prin concurents par catégor'!$K$62</f>
        <v>243243.50599999999</v>
      </c>
      <c r="M62" s="9">
        <f>IF(L62=0,0,K62/L62-1)</f>
        <v>5.8508879575185802E-2</v>
      </c>
      <c r="N62" s="10"/>
      <c r="O62" s="8">
        <f>WAFASALAF!$B$108</f>
        <v>38203.944000000003</v>
      </c>
      <c r="P62" s="8">
        <f>+'[2]Syn prin concurents par catégor'!$O$62</f>
        <v>36700.071000000004</v>
      </c>
      <c r="Q62" s="9">
        <f>IF(P62=0,0,O62/P62-1)</f>
        <v>4.097738666500117E-2</v>
      </c>
      <c r="R62" s="10"/>
      <c r="S62" s="8">
        <f>WAFASALAF!$B$109</f>
        <v>159442.003</v>
      </c>
      <c r="T62" s="8">
        <f>+'[2]Syn prin concurents par catégor'!$S$62</f>
        <v>157233.568</v>
      </c>
      <c r="U62" s="9">
        <f>IF(T62=0,0,S62/T62-1)</f>
        <v>1.4045569454990581E-2</v>
      </c>
      <c r="V62" s="10"/>
      <c r="W62" s="8">
        <f>WAFASALAF!$B$110</f>
        <v>1006785.93</v>
      </c>
      <c r="X62" s="8">
        <f>+'[2]Syn prin concurents par catégor'!$W$62</f>
        <v>1015253.921</v>
      </c>
      <c r="Y62" s="9">
        <f>IF(X62=0,0,W62/X62-1)</f>
        <v>-8.3407616802495532E-3</v>
      </c>
      <c r="Z62" s="10"/>
      <c r="AA62" s="8">
        <f>WAFASALAF!$B$103-WAFASALAF!$B$97</f>
        <v>68420.01099999994</v>
      </c>
      <c r="AB62" s="8">
        <f>'[3]Syn prin concurents par catégor'!AA62</f>
        <v>43272.474079999956</v>
      </c>
      <c r="AC62" s="9">
        <f>IF(AB62=0,0,AA62/AB62-1)</f>
        <v>0.58114395940265617</v>
      </c>
      <c r="AD62" s="10"/>
      <c r="AE62" s="8">
        <f>WAFASALAF!$B$111</f>
        <v>38385.053</v>
      </c>
      <c r="AF62" s="8">
        <f>'[3]Syn prin concurents par catégor'!AE62</f>
        <v>51298.267950000001</v>
      </c>
      <c r="AG62" s="9">
        <f>IF(AF62=0,0,AE62/AF62-1)</f>
        <v>-0.2517280888038248</v>
      </c>
      <c r="AH62" s="10"/>
      <c r="AI62" s="8">
        <f>AE62+AA62+K62+G62+C62+O62+S62+W62</f>
        <v>2924633.773</v>
      </c>
      <c r="AJ62" s="8">
        <f>AF62+AB62+L62+H62+D62+P62+T62+X62</f>
        <v>2769022.1110299998</v>
      </c>
      <c r="AK62" s="9">
        <f>IF(AJ62=0,0,AI62/AJ62-1)</f>
        <v>5.6197334557258838E-2</v>
      </c>
      <c r="AL62" s="35">
        <f>C62+G62-'Syn prin concurents'!E64</f>
        <v>0</v>
      </c>
      <c r="AM62" s="35">
        <f>D62+H62-'Syn prin concurents'!F64</f>
        <v>0</v>
      </c>
      <c r="AN62" s="35">
        <f>K62+O62+S62+W62-'Syn prin concurents'!I64</f>
        <v>0</v>
      </c>
      <c r="AO62" s="35">
        <f>L62+P62+T62+X62-'Syn prin concurents'!J64</f>
        <v>0</v>
      </c>
      <c r="AP62" s="35">
        <f>AA62-'Syn prin concurents'!M64</f>
        <v>0</v>
      </c>
      <c r="AQ62" s="35">
        <f>AB62-'Syn prin concurents'!N64</f>
        <v>-15229.822920000064</v>
      </c>
      <c r="AR62" s="35">
        <f>AE62-'Syn prin concurents'!Q64</f>
        <v>0</v>
      </c>
      <c r="AS62" s="35">
        <f>AF62-'Syn prin concurents'!R64</f>
        <v>10673.592949999998</v>
      </c>
      <c r="AT62" s="35">
        <f>AI62-'Syn prin concurents'!U64</f>
        <v>0</v>
      </c>
      <c r="AU62" s="35">
        <f>AJ62-'Syn prin concurents'!V64</f>
        <v>-4556.2299700002186</v>
      </c>
    </row>
    <row r="63" spans="1:50" ht="23.25" customHeight="1" x14ac:dyDescent="0.45">
      <c r="A63" s="11" t="s">
        <v>67</v>
      </c>
      <c r="B63" s="12"/>
      <c r="C63" s="13">
        <f>C62/C$76</f>
        <v>0.18823677664692162</v>
      </c>
      <c r="D63" s="13">
        <f>D62/D$76</f>
        <v>0.19958774529025641</v>
      </c>
      <c r="E63" s="14">
        <f>(C63-D63)*100</f>
        <v>-1.1350968643334791</v>
      </c>
      <c r="F63" s="15"/>
      <c r="G63" s="13">
        <f>G62/G$76</f>
        <v>0.14141514378451001</v>
      </c>
      <c r="H63" s="13">
        <f>H62/H$76</f>
        <v>0.17666724630705483</v>
      </c>
      <c r="I63" s="14">
        <f>(G63-H63)*100</f>
        <v>-3.5252102522544821</v>
      </c>
      <c r="J63" s="15"/>
      <c r="K63" s="13">
        <f>K62/K$76</f>
        <v>0.19881367008615725</v>
      </c>
      <c r="L63" s="13">
        <f>L62/L$76</f>
        <v>0.308240317545249</v>
      </c>
      <c r="M63" s="14">
        <f>(K63-L63)*100</f>
        <v>-10.942664745909175</v>
      </c>
      <c r="N63" s="15"/>
      <c r="O63" s="13">
        <f>O62/O$76</f>
        <v>0.20110004006597818</v>
      </c>
      <c r="P63" s="13">
        <f>P62/P$76</f>
        <v>0.13517721098398155</v>
      </c>
      <c r="Q63" s="14">
        <f>(O63-P63)*100</f>
        <v>6.5922829081996621</v>
      </c>
      <c r="R63" s="15"/>
      <c r="S63" s="13">
        <f>S62/S$76</f>
        <v>0.33484139729715423</v>
      </c>
      <c r="T63" s="13">
        <f>T62/T$76</f>
        <v>0.26845219213398736</v>
      </c>
      <c r="U63" s="14">
        <f>(S63-T63)*100</f>
        <v>6.6389205163166878</v>
      </c>
      <c r="V63" s="15"/>
      <c r="W63" s="13">
        <f>W62/W$76</f>
        <v>0.35845987865346879</v>
      </c>
      <c r="X63" s="13">
        <f>X62/X$76</f>
        <v>0.39742242501426517</v>
      </c>
      <c r="Y63" s="14">
        <f>(W63-X63)*100</f>
        <v>-3.8962546360796377</v>
      </c>
      <c r="Z63" s="15"/>
      <c r="AA63" s="13">
        <f>AA62/AA$76</f>
        <v>0.92814373775204262</v>
      </c>
      <c r="AB63" s="13">
        <f>AB62/AB$76</f>
        <v>0.91025211222784064</v>
      </c>
      <c r="AC63" s="14">
        <f>(AA63-AB63)*100</f>
        <v>1.7891625524201982</v>
      </c>
      <c r="AD63" s="15"/>
      <c r="AE63" s="13">
        <f>AE62/AE$76</f>
        <v>0.46361307854010192</v>
      </c>
      <c r="AF63" s="13">
        <f>AF62/AF$76</f>
        <v>0.90351239096968772</v>
      </c>
      <c r="AG63" s="14">
        <f>(AE63-AF63)*100</f>
        <v>-43.989931242958576</v>
      </c>
      <c r="AH63" s="15"/>
      <c r="AI63" s="13">
        <f>AI62/AI$76</f>
        <v>0.23151739605702418</v>
      </c>
      <c r="AJ63" s="13">
        <f>AJ62/AJ$76</f>
        <v>0.26133617021629091</v>
      </c>
      <c r="AK63" s="14">
        <f>(AI63-AJ63)*100</f>
        <v>-2.981877415926673</v>
      </c>
      <c r="AL63" s="35">
        <f>C63+G63-'Syn prin concurents'!E65</f>
        <v>0.15369754779331449</v>
      </c>
      <c r="AM63" s="35">
        <f>D63+H63-'Syn prin concurents'!F65</f>
        <v>0.19496948975120404</v>
      </c>
      <c r="AN63" s="35">
        <f>K63+O63+S63+W63-'Syn prin concurents'!I65</f>
        <v>0.78672574985910804</v>
      </c>
      <c r="AO63" s="35">
        <f>L63+P63+T63+X63-'Syn prin concurents'!J65</f>
        <v>0.79933097413143317</v>
      </c>
      <c r="AP63" s="35">
        <f>AA63-'Syn prin concurents'!M65</f>
        <v>0</v>
      </c>
      <c r="AQ63" s="35">
        <f>AB63-'Syn prin concurents'!N65</f>
        <v>-7.7374499715644474E-3</v>
      </c>
      <c r="AR63" s="35">
        <f>AE63-'Syn prin concurents'!Q65</f>
        <v>0</v>
      </c>
      <c r="AS63" s="35">
        <f>AF63-'Syn prin concurents'!R65</f>
        <v>0.63727350082242995</v>
      </c>
      <c r="AT63" s="35">
        <f>AI63-'Syn prin concurents'!U65</f>
        <v>0</v>
      </c>
      <c r="AU63" s="35">
        <f>AJ63-'Syn prin concurents'!V65</f>
        <v>2.3118153635139971E-2</v>
      </c>
    </row>
    <row r="64" spans="1:50" ht="23.5" x14ac:dyDescent="0.55000000000000004">
      <c r="A64" s="16" t="s">
        <v>2</v>
      </c>
      <c r="B64" s="37"/>
      <c r="C64" s="17">
        <f>SOFAC!B98</f>
        <v>1168367.9485099998</v>
      </c>
      <c r="D64" s="17">
        <f>+'[2]Syn prin concurents par catégor'!$C$64</f>
        <v>1029045.9462099947</v>
      </c>
      <c r="E64" s="18">
        <f>IF(D64=0,0,C64/D64-1)</f>
        <v>0.13538948655609784</v>
      </c>
      <c r="F64" s="10"/>
      <c r="G64" s="17">
        <f>SOFAC!B100+SOFAC!B99</f>
        <v>470380.37509000051</v>
      </c>
      <c r="H64" s="17">
        <f>+'[2]Syn prin concurents par catégor'!$G$64</f>
        <v>434473.62028999953</v>
      </c>
      <c r="I64" s="18">
        <f>IF(H64=0,0,G64/H64-1)</f>
        <v>8.2644269118189895E-2</v>
      </c>
      <c r="J64" s="10"/>
      <c r="K64" s="17">
        <f>SOFAC!B107</f>
        <v>70292.07451000002</v>
      </c>
      <c r="L64" s="17">
        <f>+'[2]Syn prin concurents par catégor'!$K$64</f>
        <v>67197.762159999998</v>
      </c>
      <c r="M64" s="18">
        <f>IF(L64=0,0,K64/L64-1)</f>
        <v>4.6047848180306383E-2</v>
      </c>
      <c r="N64" s="10"/>
      <c r="O64" s="17">
        <f>SOFAC!B108</f>
        <v>27237.951429999979</v>
      </c>
      <c r="P64" s="17">
        <f>+'[2]Syn prin concurents par catégor'!$O$64</f>
        <v>24263.058059999985</v>
      </c>
      <c r="Q64" s="18">
        <f>IF(P64=0,0,O64/P64-1)</f>
        <v>0.12260999263338523</v>
      </c>
      <c r="R64" s="10"/>
      <c r="S64" s="17">
        <f>SOFAC!B109</f>
        <v>69719.384780000037</v>
      </c>
      <c r="T64" s="17">
        <f>+'[2]Syn prin concurents par catégor'!$S$64</f>
        <v>85341.934590000077</v>
      </c>
      <c r="U64" s="18">
        <f>IF(T64=0,0,S64/T64-1)</f>
        <v>-0.18305830404541368</v>
      </c>
      <c r="V64" s="10"/>
      <c r="W64" s="17">
        <f>SOFAC!B110</f>
        <v>616959.17886999843</v>
      </c>
      <c r="X64" s="17">
        <f>+'[2]Syn prin concurents par catégor'!$W$64</f>
        <v>557706.92934999987</v>
      </c>
      <c r="Y64" s="18">
        <f>IF(X64=0,0,W64/X64-1)</f>
        <v>0.10624262744781787</v>
      </c>
      <c r="Z64" s="10"/>
      <c r="AA64" s="17">
        <f>SOFAC!B103-SOFAC!B97</f>
        <v>321.63810999994166</v>
      </c>
      <c r="AB64" s="17">
        <f>'[3]Syn prin concurents par catégor'!AA64</f>
        <v>124.78544999996666</v>
      </c>
      <c r="AC64" s="18">
        <f>IF(AB64=0,0,AA64/AB64-1)</f>
        <v>1.5775289506911871</v>
      </c>
      <c r="AD64" s="10"/>
      <c r="AE64" s="17">
        <f>SOFAC!B111</f>
        <v>0</v>
      </c>
      <c r="AF64" s="17">
        <f>'[3]Syn prin concurents par catégor'!AE64</f>
        <v>0</v>
      </c>
      <c r="AG64" s="18">
        <f>IF(AF64=0,0,AE64/AF64-1)</f>
        <v>0</v>
      </c>
      <c r="AH64" s="10"/>
      <c r="AI64" s="17">
        <f>AE64+AA64+K64+G64+C64+O64+S64+W64</f>
        <v>2423278.5512999985</v>
      </c>
      <c r="AJ64" s="17">
        <f>AF64+AB64+L64+H64+D64+P64+T64+X64</f>
        <v>2198154.0361099942</v>
      </c>
      <c r="AK64" s="18">
        <f>IF(AJ64=0,0,AI64/AJ64-1)</f>
        <v>0.10241525911823746</v>
      </c>
      <c r="AL64" s="35">
        <f>C64+G64-'Syn prin concurents'!E70</f>
        <v>0</v>
      </c>
      <c r="AM64" s="35">
        <f>D64+H64-'Syn prin concurents'!F70</f>
        <v>0</v>
      </c>
      <c r="AN64" s="35">
        <f>K64+O64+S64+W64-'Syn prin concurents'!I70</f>
        <v>0</v>
      </c>
      <c r="AO64" s="35">
        <f>L64+P64+T64+X64-'Syn prin concurents'!J70</f>
        <v>0</v>
      </c>
      <c r="AP64" s="35">
        <f>AA64-'Syn prin concurents'!M70</f>
        <v>0</v>
      </c>
      <c r="AQ64" s="35">
        <f>AB64-'Syn prin concurents'!N70</f>
        <v>-121.86753000004683</v>
      </c>
      <c r="AR64" s="35">
        <f>AE64-'Syn prin concurents'!Q70</f>
        <v>0</v>
      </c>
      <c r="AS64" s="35">
        <f>AF64-'Syn prin concurents'!R70</f>
        <v>0</v>
      </c>
      <c r="AT64" s="35">
        <f>AI64-'Syn prin concurents'!U70</f>
        <v>0</v>
      </c>
      <c r="AU64" s="35">
        <f>AJ64-'Syn prin concurents'!V70</f>
        <v>-121.86752999993041</v>
      </c>
    </row>
    <row r="65" spans="1:47" ht="18.5" x14ac:dyDescent="0.45">
      <c r="A65" s="19" t="s">
        <v>67</v>
      </c>
      <c r="B65" s="20"/>
      <c r="C65" s="21">
        <f>C64/C$76</f>
        <v>0.20553183278905512</v>
      </c>
      <c r="D65" s="21">
        <f>D64/D$76</f>
        <v>0.21303503886312955</v>
      </c>
      <c r="E65" s="22">
        <f>(C65-D65)*100</f>
        <v>-0.75032060740744255</v>
      </c>
      <c r="F65" s="15"/>
      <c r="G65" s="21">
        <f>G64/G$76</f>
        <v>0.23269010351582278</v>
      </c>
      <c r="H65" s="21">
        <f>H64/H$76</f>
        <v>0.29758919595114414</v>
      </c>
      <c r="I65" s="22">
        <f>(G65-H65)*100</f>
        <v>-6.4899092435321357</v>
      </c>
      <c r="J65" s="15"/>
      <c r="K65" s="21">
        <f>K64/K$76</f>
        <v>5.427712594777731E-2</v>
      </c>
      <c r="L65" s="21">
        <f>L64/L$76</f>
        <v>8.5153597262031394E-2</v>
      </c>
      <c r="M65" s="22">
        <f>(K65-L65)*100</f>
        <v>-3.0876471314254084</v>
      </c>
      <c r="N65" s="15"/>
      <c r="O65" s="21">
        <f>O64/O$76</f>
        <v>0.14337663995864308</v>
      </c>
      <c r="P65" s="21">
        <f>P64/P$76</f>
        <v>8.9368015623000077E-2</v>
      </c>
      <c r="Q65" s="22">
        <f>(O65-P65)*100</f>
        <v>5.4008624335643001</v>
      </c>
      <c r="R65" s="15"/>
      <c r="S65" s="21">
        <f>S64/S$76</f>
        <v>0.14641647608022812</v>
      </c>
      <c r="T65" s="21">
        <f>T64/T$76</f>
        <v>0.14570825882193858</v>
      </c>
      <c r="U65" s="22">
        <f>(S65-T65)*100</f>
        <v>7.0821725828953963E-2</v>
      </c>
      <c r="V65" s="15"/>
      <c r="W65" s="21">
        <f>W64/W$76</f>
        <v>0.21966448457606411</v>
      </c>
      <c r="X65" s="21">
        <f>X64/X$76</f>
        <v>0.21831507933623279</v>
      </c>
      <c r="Y65" s="22">
        <f>(W65-X65)*100</f>
        <v>0.13494052398313194</v>
      </c>
      <c r="Z65" s="15"/>
      <c r="AA65" s="21">
        <f>AA64/AA$76</f>
        <v>4.3631445428859803E-3</v>
      </c>
      <c r="AB65" s="21">
        <f>AB64/AB$76</f>
        <v>2.6249069842361867E-3</v>
      </c>
      <c r="AC65" s="22">
        <f>(AA65-AB65)*100</f>
        <v>0.17382375586497936</v>
      </c>
      <c r="AD65" s="15"/>
      <c r="AE65" s="21">
        <f>AE64/AE$76</f>
        <v>0</v>
      </c>
      <c r="AF65" s="21">
        <f>AF64/AF$76</f>
        <v>0</v>
      </c>
      <c r="AG65" s="22">
        <f>(AE65-AF65)*100</f>
        <v>0</v>
      </c>
      <c r="AH65" s="15"/>
      <c r="AI65" s="21">
        <f>AI64/AI$76</f>
        <v>0.19182953616183024</v>
      </c>
      <c r="AJ65" s="21">
        <f>AJ64/AJ$76</f>
        <v>0.20745849412115605</v>
      </c>
      <c r="AK65" s="22">
        <f>(AI65-AJ65)*100</f>
        <v>-1.5628957959325813</v>
      </c>
      <c r="AL65" s="35">
        <f>C65+G65-'Syn prin concurents'!E71</f>
        <v>0.22556585703285922</v>
      </c>
      <c r="AM65" s="35">
        <f>D65+H65-'Syn prin concurents'!F71</f>
        <v>0.29351255637225948</v>
      </c>
      <c r="AN65" s="35">
        <f>K65+O65+S65+W65-'Syn prin concurents'!I71</f>
        <v>0.39932519549869561</v>
      </c>
      <c r="AO65" s="35">
        <f>L65+P65+T65+X65-'Syn prin concurents'!J71</f>
        <v>0.38179432270449953</v>
      </c>
      <c r="AP65" s="35">
        <f>AA65-'Syn prin concurents'!M71</f>
        <v>0</v>
      </c>
      <c r="AQ65" s="35">
        <f>AB65-'Syn prin concurents'!N71</f>
        <v>-1.2454514928914879E-3</v>
      </c>
      <c r="AR65" s="35">
        <f>AE65-'Syn prin concurents'!Q71</f>
        <v>0</v>
      </c>
      <c r="AS65" s="35">
        <f>AF65-'Syn prin concurents'!R71</f>
        <v>0</v>
      </c>
      <c r="AT65" s="35">
        <f>AI65-'Syn prin concurents'!U71</f>
        <v>0</v>
      </c>
      <c r="AU65" s="35">
        <f>AJ65-'Syn prin concurents'!V71</f>
        <v>1.8652244114729183E-2</v>
      </c>
    </row>
    <row r="66" spans="1:47" ht="23.5" x14ac:dyDescent="0.55000000000000004">
      <c r="A66" s="6" t="s">
        <v>5</v>
      </c>
      <c r="B66" s="296"/>
      <c r="C66" s="297">
        <f>VIVALIS!$B$98</f>
        <v>1936369.6839999999</v>
      </c>
      <c r="D66" s="297">
        <f>+'[2]Syn prin concurents par catégor'!$C$66</f>
        <v>1461851.156</v>
      </c>
      <c r="E66" s="298">
        <f>IF(D66=0,0,C66/D66-1)</f>
        <v>0.32460112375490024</v>
      </c>
      <c r="F66" s="10"/>
      <c r="G66" s="297">
        <f>VIVALIS!$B$100+VIVALIS!$B$99</f>
        <v>573814.46900000004</v>
      </c>
      <c r="H66" s="297">
        <f>+'[2]Syn prin concurents par catégor'!$G$66</f>
        <v>421541.89500000002</v>
      </c>
      <c r="I66" s="298">
        <f>IF(H66=0,0,G66/H66-1)</f>
        <v>0.36122761653382041</v>
      </c>
      <c r="J66" s="10"/>
      <c r="K66" s="297">
        <f>VIVALIS!$B$107</f>
        <v>320833.75199999998</v>
      </c>
      <c r="L66" s="297">
        <f>+'[2]Syn prin concurents par catégor'!$K$66</f>
        <v>243763.47099999999</v>
      </c>
      <c r="M66" s="298">
        <f>IF(L66=0,0,K66/L66-1)</f>
        <v>0.31616829496163512</v>
      </c>
      <c r="N66" s="10"/>
      <c r="O66" s="297">
        <f>VIVALIS!$B$108</f>
        <v>41409.892</v>
      </c>
      <c r="P66" s="297">
        <f>+'[2]Syn prin concurents par catégor'!$O$66</f>
        <v>22420.215</v>
      </c>
      <c r="Q66" s="298">
        <f>IF(P66=0,0,O66/P66-1)</f>
        <v>0.84698906767843218</v>
      </c>
      <c r="R66" s="10"/>
      <c r="S66" s="297">
        <f>VIVALIS!$B$109</f>
        <v>12525.959000000001</v>
      </c>
      <c r="T66" s="297">
        <f>+'[2]Syn prin concurents par catégor'!$S$66</f>
        <v>11868.414000000001</v>
      </c>
      <c r="U66" s="298">
        <f>IF(T66=0,0,S66/T66-1)</f>
        <v>5.5402937578685751E-2</v>
      </c>
      <c r="V66" s="10"/>
      <c r="W66" s="297">
        <f>VIVALIS!$B$110</f>
        <v>258497.511</v>
      </c>
      <c r="X66" s="297">
        <f>+'[2]Syn prin concurents par catégor'!$W$66</f>
        <v>196862.61499999999</v>
      </c>
      <c r="Y66" s="298">
        <f>IF(X66=0,0,W66/X66-1)</f>
        <v>0.31308583399646506</v>
      </c>
      <c r="Z66" s="10"/>
      <c r="AA66" s="297">
        <f>VIVALIS!$B$103-VIVALIS!$B$97</f>
        <v>0</v>
      </c>
      <c r="AB66" s="297">
        <f>'[3]Syn prin concurents par catégor'!AA66</f>
        <v>0</v>
      </c>
      <c r="AC66" s="298">
        <f>IF(AB66=0,0,AA66/AB66-1)</f>
        <v>0</v>
      </c>
      <c r="AD66" s="10"/>
      <c r="AE66" s="297">
        <f>VIVALIS!$B$111</f>
        <v>0</v>
      </c>
      <c r="AF66" s="297">
        <f>'[3]Syn prin concurents par catégor'!AE66</f>
        <v>0</v>
      </c>
      <c r="AG66" s="298">
        <f>IF(AF66=0,0,AE66/AF66-1)</f>
        <v>0</v>
      </c>
      <c r="AH66" s="10"/>
      <c r="AI66" s="297">
        <f>AE66+AA66+K66+G66+C66+O66+S66+W66</f>
        <v>3143451.2669999995</v>
      </c>
      <c r="AJ66" s="297">
        <f>AF66+AB66+L66+H66+D66+P66+T66+X66</f>
        <v>2358307.7659999998</v>
      </c>
      <c r="AK66" s="298">
        <f>IF(AJ66=0,0,AI66/AJ66-1)</f>
        <v>0.33292664864166843</v>
      </c>
      <c r="AL66" s="35">
        <f>C66+G66-'Syn prin concurents'!E68</f>
        <v>0</v>
      </c>
      <c r="AM66" s="35">
        <f>D66+H66-'Syn prin concurents'!F68</f>
        <v>0</v>
      </c>
      <c r="AN66" s="35">
        <f>K66+O66+S66+W66-'Syn prin concurents'!I68</f>
        <v>0</v>
      </c>
      <c r="AO66" s="35">
        <f>L66+P66+T66+X66-'Syn prin concurents'!J68</f>
        <v>0</v>
      </c>
      <c r="AP66" s="35">
        <f>AA66-'Syn prin concurents'!M68</f>
        <v>0</v>
      </c>
      <c r="AQ66" s="35">
        <f>AB66-'Syn prin concurents'!N68</f>
        <v>0</v>
      </c>
      <c r="AR66" s="35">
        <f>AE66-'Syn prin concurents'!Q68</f>
        <v>0</v>
      </c>
      <c r="AS66" s="35">
        <f>AF66-'Syn prin concurents'!R68</f>
        <v>0</v>
      </c>
      <c r="AT66" s="35">
        <f>AI66-'Syn prin concurents'!U68</f>
        <v>0</v>
      </c>
      <c r="AU66" s="35">
        <f>AJ66-'Syn prin concurents'!V68</f>
        <v>0</v>
      </c>
    </row>
    <row r="67" spans="1:47" ht="18.5" x14ac:dyDescent="0.45">
      <c r="A67" s="11" t="s">
        <v>67</v>
      </c>
      <c r="B67" s="299"/>
      <c r="C67" s="300">
        <f>C66/C$76</f>
        <v>0.3406337965854232</v>
      </c>
      <c r="D67" s="300">
        <f>D66/D$76</f>
        <v>0.30263519231338487</v>
      </c>
      <c r="E67" s="301">
        <f>(C67-D67)*100</f>
        <v>3.799860427203833</v>
      </c>
      <c r="F67" s="15"/>
      <c r="G67" s="300">
        <f>G66/G$76</f>
        <v>0.28385739554916506</v>
      </c>
      <c r="H67" s="300">
        <f>H66/H$76</f>
        <v>0.28873171519375462</v>
      </c>
      <c r="I67" s="301">
        <f>(G67-H67)*100</f>
        <v>-0.48743196445895642</v>
      </c>
      <c r="J67" s="15"/>
      <c r="K67" s="300">
        <f>K66/K$76</f>
        <v>0.2477368051376059</v>
      </c>
      <c r="L67" s="300">
        <f>L66/L$76</f>
        <v>0.30889922178219259</v>
      </c>
      <c r="M67" s="301">
        <f>(K67-L67)*100</f>
        <v>-6.116241664458669</v>
      </c>
      <c r="N67" s="15"/>
      <c r="O67" s="300">
        <f>O66/O$76</f>
        <v>0.21797568702141928</v>
      </c>
      <c r="P67" s="300">
        <f>P66/P$76</f>
        <v>8.258027984090896E-2</v>
      </c>
      <c r="Q67" s="301">
        <f>(O67-P67)*100</f>
        <v>13.539540718051033</v>
      </c>
      <c r="R67" s="15"/>
      <c r="S67" s="300">
        <f>S66/S$76</f>
        <v>2.6305550200889444E-2</v>
      </c>
      <c r="T67" s="300">
        <f>T66/T$76</f>
        <v>2.0263495867839782E-2</v>
      </c>
      <c r="U67" s="301">
        <f>(S67-T67)*100</f>
        <v>0.60420543330496623</v>
      </c>
      <c r="V67" s="15"/>
      <c r="W67" s="300">
        <f>W66/W$76</f>
        <v>9.203643362922613E-2</v>
      </c>
      <c r="X67" s="300">
        <f>X66/X$76</f>
        <v>7.7062118382057107E-2</v>
      </c>
      <c r="Y67" s="301">
        <f>(W67-X67)*100</f>
        <v>1.4974315247169023</v>
      </c>
      <c r="Z67" s="15"/>
      <c r="AA67" s="300">
        <f>AA66/AA$76</f>
        <v>0</v>
      </c>
      <c r="AB67" s="300">
        <f>AB66/AB$76</f>
        <v>0</v>
      </c>
      <c r="AC67" s="301">
        <f>(AA67-AB67)*100</f>
        <v>0</v>
      </c>
      <c r="AD67" s="15"/>
      <c r="AE67" s="300">
        <f>AE66/AE$76</f>
        <v>0</v>
      </c>
      <c r="AF67" s="300">
        <f>AF66/AF$76</f>
        <v>0</v>
      </c>
      <c r="AG67" s="301">
        <f>(AE67-AF67)*100</f>
        <v>0</v>
      </c>
      <c r="AH67" s="15"/>
      <c r="AI67" s="300">
        <f>AI66/AI$76</f>
        <v>0.2488392422622801</v>
      </c>
      <c r="AJ67" s="300">
        <f>AJ66/AJ$76</f>
        <v>0.2225735638956404</v>
      </c>
      <c r="AK67" s="301">
        <f>(AI67-AJ67)*100</f>
        <v>2.6265678366639706</v>
      </c>
      <c r="AL67" s="35">
        <f>C67+G67-'Syn prin concurents'!E69</f>
        <v>0.29875116693348297</v>
      </c>
      <c r="AM67" s="35">
        <f>D67+H67-'Syn prin concurents'!F69</f>
        <v>0.31196741341869638</v>
      </c>
      <c r="AN67" s="35">
        <f>K67+O67+S67+W67-'Syn prin concurents'!I69</f>
        <v>0.45128986382716851</v>
      </c>
      <c r="AO67" s="35">
        <f>L67+P67+T67+X67-'Syn prin concurents'!J69</f>
        <v>0.38745426701566732</v>
      </c>
      <c r="AP67" s="35">
        <f>AA67-'Syn prin concurents'!M69</f>
        <v>0</v>
      </c>
      <c r="AQ67" s="35">
        <f>AB67-'Syn prin concurents'!N69</f>
        <v>0</v>
      </c>
      <c r="AR67" s="35">
        <f>AE67-'Syn prin concurents'!Q69</f>
        <v>0</v>
      </c>
      <c r="AS67" s="35">
        <f>AF67-'Syn prin concurents'!R69</f>
        <v>0</v>
      </c>
      <c r="AT67" s="35">
        <f>AI67-'Syn prin concurents'!U69</f>
        <v>0</v>
      </c>
      <c r="AU67" s="35">
        <f>AJ67-'Syn prin concurents'!V69</f>
        <v>2.0022444210341078E-2</v>
      </c>
    </row>
    <row r="68" spans="1:47" ht="23.5" x14ac:dyDescent="0.55000000000000004">
      <c r="A68" s="6" t="s">
        <v>6</v>
      </c>
      <c r="B68" s="7"/>
      <c r="C68" s="8">
        <f>EQDOM!$B$98</f>
        <v>498745.50199999998</v>
      </c>
      <c r="D68" s="8">
        <f>+'[2]Syn prin concurents par catégor'!$C$68</f>
        <v>455455.58399999997</v>
      </c>
      <c r="E68" s="9">
        <f>IF(D68=0,0,C68/D68-1)</f>
        <v>9.5047507420613853E-2</v>
      </c>
      <c r="F68" s="10"/>
      <c r="G68" s="8">
        <f>EQDOM!$B$100+EQDOM!$B$99</f>
        <v>387140.68599999999</v>
      </c>
      <c r="H68" s="8">
        <f>+'[2]Syn prin concurents par catégor'!$G$68</f>
        <v>372087.46399999998</v>
      </c>
      <c r="I68" s="9">
        <f>IF(H68=0,0,G68/H68-1)</f>
        <v>4.0456138559938237E-2</v>
      </c>
      <c r="J68" s="10"/>
      <c r="K68" s="8">
        <f>EQDOM!$B$107</f>
        <v>464146.05900000001</v>
      </c>
      <c r="L68" s="8">
        <f>+'[2]Syn prin concurents par catégor'!$K$68</f>
        <v>484915.87900000002</v>
      </c>
      <c r="M68" s="9">
        <f>IF(L68=0,0,K68/L68-1)</f>
        <v>-4.2831800111045704E-2</v>
      </c>
      <c r="N68" s="10"/>
      <c r="O68" s="8">
        <f>EQDOM!$B$108</f>
        <v>42837.334999999999</v>
      </c>
      <c r="P68" s="8">
        <f>+'[2]Syn prin concurents par catégor'!$O$68</f>
        <v>43780.307999999997</v>
      </c>
      <c r="Q68" s="9">
        <f>IF(P68=0,0,O68/P68-1)</f>
        <v>-2.1538747511780865E-2</v>
      </c>
      <c r="R68" s="10"/>
      <c r="S68" s="8">
        <f>EQDOM!$B$109</f>
        <v>148471.649</v>
      </c>
      <c r="T68" s="8">
        <f>+'[2]Syn prin concurents par catégor'!$S$68</f>
        <v>147548.29800000001</v>
      </c>
      <c r="U68" s="9">
        <f>IF(T68=0,0,S68/T68-1)</f>
        <v>6.2579576485524147E-3</v>
      </c>
      <c r="V68" s="10"/>
      <c r="W68" s="8">
        <f>EQDOM!$B$110</f>
        <v>244708.52799999999</v>
      </c>
      <c r="X68" s="8">
        <f>+'[2]Syn prin concurents par catégor'!$W$68</f>
        <v>246462.976</v>
      </c>
      <c r="Y68" s="9">
        <f>IF(X68=0,0,W68/X68-1)</f>
        <v>-7.1185052963087525E-3</v>
      </c>
      <c r="Z68" s="10"/>
      <c r="AA68" s="8">
        <f>EQDOM!$B$103-EQDOM!$B$97</f>
        <v>4975.39300000004</v>
      </c>
      <c r="AB68" s="8">
        <f>'[3]Syn prin concurents par catégor'!AA70</f>
        <v>0</v>
      </c>
      <c r="AC68" s="9">
        <f>IF(AB68=0,0,AA68/AB68-1)</f>
        <v>0</v>
      </c>
      <c r="AD68" s="10"/>
      <c r="AE68" s="8">
        <f>EQDOM!$B$111</f>
        <v>0</v>
      </c>
      <c r="AF68" s="8">
        <f>'[3]Syn prin concurents par catégor'!AE70</f>
        <v>0</v>
      </c>
      <c r="AG68" s="9">
        <f>IF(AF68=0,0,AE68/AF68-1)</f>
        <v>0</v>
      </c>
      <c r="AH68" s="10"/>
      <c r="AI68" s="8">
        <f>AE68+AA68+K68+G68+C68+O68+S68+W68</f>
        <v>1791025.152</v>
      </c>
      <c r="AJ68" s="8">
        <f>AF68+AB68+L68+H68+D68+P68+T68+X68</f>
        <v>1750250.5089999998</v>
      </c>
      <c r="AK68" s="9">
        <f>IF(AJ68=0,0,AI68/AJ68-1)</f>
        <v>2.3296461158178294E-2</v>
      </c>
      <c r="AL68" s="35">
        <f>C68+G68-'Syn prin concurents'!E66</f>
        <v>0</v>
      </c>
      <c r="AM68" s="35">
        <f>D68+H68-'Syn prin concurents'!F66</f>
        <v>0</v>
      </c>
      <c r="AN68" s="35">
        <f>K68+O68+S68+W68-'Syn prin concurents'!I66</f>
        <v>0</v>
      </c>
      <c r="AO68" s="35">
        <f>L68+P68+T68+X68-'Syn prin concurents'!J66</f>
        <v>0</v>
      </c>
      <c r="AP68" s="35">
        <f>AA68-'Syn prin concurents'!M66</f>
        <v>0</v>
      </c>
      <c r="AQ68" s="35">
        <f>AB68-'Syn prin concurents'!N66</f>
        <v>-4979.7669999999998</v>
      </c>
      <c r="AR68" s="35">
        <f>AE68-'Syn prin concurents'!Q66</f>
        <v>0</v>
      </c>
      <c r="AS68" s="35">
        <f>AF68-'Syn prin concurents'!R66</f>
        <v>0</v>
      </c>
      <c r="AT68" s="35">
        <f>AI68-'Syn prin concurents'!U66</f>
        <v>0</v>
      </c>
      <c r="AU68" s="35">
        <f>AJ68-'Syn prin concurents'!V66</f>
        <v>-4979.7670000002254</v>
      </c>
    </row>
    <row r="69" spans="1:47" ht="18.5" x14ac:dyDescent="0.45">
      <c r="A69" s="11" t="s">
        <v>67</v>
      </c>
      <c r="B69" s="12"/>
      <c r="C69" s="13">
        <f>C68/C$76</f>
        <v>8.7736125637547832E-2</v>
      </c>
      <c r="D69" s="13">
        <f>D68/D$76</f>
        <v>9.4289276776441527E-2</v>
      </c>
      <c r="E69" s="14">
        <f>(C69-D69)*100</f>
        <v>-0.65531511388936958</v>
      </c>
      <c r="F69" s="15"/>
      <c r="G69" s="13">
        <f>G68/G$76</f>
        <v>0.19151268010126996</v>
      </c>
      <c r="H69" s="13">
        <f>H68/H$76</f>
        <v>0.25485830224019468</v>
      </c>
      <c r="I69" s="14">
        <f>(G69-H69)*100</f>
        <v>-6.3345622138924726</v>
      </c>
      <c r="J69" s="15"/>
      <c r="K69" s="13">
        <f>K68/K$76</f>
        <v>0.35839764693420018</v>
      </c>
      <c r="L69" s="13">
        <f>L68/L$76</f>
        <v>0.61448968148688643</v>
      </c>
      <c r="M69" s="14">
        <f>(K69-L69)*100</f>
        <v>-25.609203455268627</v>
      </c>
      <c r="N69" s="15"/>
      <c r="O69" s="13">
        <f>O68/O$76</f>
        <v>0.22548954068249416</v>
      </c>
      <c r="P69" s="13">
        <f>P68/P$76</f>
        <v>0.16125581695631311</v>
      </c>
      <c r="Q69" s="14">
        <f>(O69-P69)*100</f>
        <v>6.4233723726181049</v>
      </c>
      <c r="R69" s="15"/>
      <c r="S69" s="13">
        <f>S68/S$76</f>
        <v>0.31180274629498123</v>
      </c>
      <c r="T69" s="13">
        <f>T68/T$76</f>
        <v>0.25191607967414964</v>
      </c>
      <c r="U69" s="14">
        <f>(S69-T69)*100</f>
        <v>5.9886666620831583</v>
      </c>
      <c r="V69" s="15"/>
      <c r="W69" s="13">
        <f>W68/W$76</f>
        <v>8.7126951855941173E-2</v>
      </c>
      <c r="X69" s="13">
        <f>X68/X$76</f>
        <v>9.6478242114715881E-2</v>
      </c>
      <c r="Y69" s="14">
        <f>(W69-X69)*100</f>
        <v>-0.93512902587747082</v>
      </c>
      <c r="Z69" s="15"/>
      <c r="AA69" s="13">
        <f>AA68/AA$76</f>
        <v>6.7493117705073005E-2</v>
      </c>
      <c r="AB69" s="13">
        <f>AB68/AB$76</f>
        <v>0</v>
      </c>
      <c r="AC69" s="14">
        <f>(AA69-AB69)*100</f>
        <v>6.7493117705073002</v>
      </c>
      <c r="AD69" s="15"/>
      <c r="AE69" s="13">
        <f>AE68/AE$76</f>
        <v>0</v>
      </c>
      <c r="AF69" s="13">
        <f>AF68/AF$76</f>
        <v>0</v>
      </c>
      <c r="AG69" s="14">
        <f>(AE69-AF69)*100</f>
        <v>0</v>
      </c>
      <c r="AH69" s="15"/>
      <c r="AI69" s="13">
        <f>AI68/AI$76</f>
        <v>0.14177962495397742</v>
      </c>
      <c r="AJ69" s="13">
        <f>AJ68/AJ$76</f>
        <v>0.16518602835245408</v>
      </c>
      <c r="AK69" s="14">
        <f>(AI69-AJ69)*100</f>
        <v>-2.3406403398476661</v>
      </c>
      <c r="AL69" s="35">
        <f>C69+G69-'Syn prin concurents'!E67</f>
        <v>0.16428967460911414</v>
      </c>
      <c r="AM69" s="35">
        <f>D69+H69-'Syn prin concurents'!F67</f>
        <v>0.22638238731921381</v>
      </c>
      <c r="AN69" s="35">
        <f>K69+O69+S69+W69-'Syn prin concurents'!I67</f>
        <v>0.79409736324058566</v>
      </c>
      <c r="AO69" s="35">
        <f>L69+P69+T69+X69-'Syn prin concurents'!J67</f>
        <v>0.92722618191840966</v>
      </c>
      <c r="AP69" s="35">
        <f>AA69-'Syn prin concurents'!M67</f>
        <v>0</v>
      </c>
      <c r="AQ69" s="35">
        <f>AB69-'Syn prin concurents'!N67</f>
        <v>-7.814007932346731E-2</v>
      </c>
      <c r="AR69" s="35">
        <f>AE69-'Syn prin concurents'!Q67</f>
        <v>0</v>
      </c>
      <c r="AS69" s="35">
        <f>AF69-'Syn prin concurents'!R67</f>
        <v>0</v>
      </c>
      <c r="AT69" s="35">
        <f>AI69-'Syn prin concurents'!U67</f>
        <v>0</v>
      </c>
      <c r="AU69" s="35">
        <f>AJ69-'Syn prin concurents'!V67</f>
        <v>1.4432228176342099E-2</v>
      </c>
    </row>
    <row r="70" spans="1:47" ht="23.5" x14ac:dyDescent="0.55000000000000004">
      <c r="A70" s="6" t="s">
        <v>4</v>
      </c>
      <c r="B70" s="7"/>
      <c r="C70" s="8">
        <f>'RCI '!$B$98</f>
        <v>729110.04500000004</v>
      </c>
      <c r="D70" s="8">
        <f>+'[2]Syn prin concurents par catégor'!$C$70</f>
        <v>725474.31</v>
      </c>
      <c r="E70" s="9">
        <f>IF(D70=0,0,C70/D70-1)</f>
        <v>5.0115282510829751E-3</v>
      </c>
      <c r="F70" s="10"/>
      <c r="G70" s="8">
        <f>'RCI '!$B$100+'RCI '!$B$99</f>
        <v>131587.07500000001</v>
      </c>
      <c r="H70" s="8">
        <f>+'[2]Syn prin concurents par catégor'!$G$70</f>
        <v>125409.81299999999</v>
      </c>
      <c r="I70" s="9">
        <f>IF(H70=0,0,G70/H70-1)</f>
        <v>4.9256608013601211E-2</v>
      </c>
      <c r="J70" s="10"/>
      <c r="K70" s="8">
        <f>'RCI '!$B$107</f>
        <v>0</v>
      </c>
      <c r="L70" s="8">
        <f>+'[2]Syn prin concurents par catégor'!$K$70</f>
        <v>0</v>
      </c>
      <c r="M70" s="9">
        <f>IF(L70=0,0,K70/L70-1)</f>
        <v>0</v>
      </c>
      <c r="N70" s="10"/>
      <c r="O70" s="8">
        <f>'RCI '!$B$108</f>
        <v>0</v>
      </c>
      <c r="P70" s="8">
        <f>+'[2]Syn prin concurents par catégor'!$O$70</f>
        <v>0</v>
      </c>
      <c r="Q70" s="9">
        <f>IF(P70=0,0,O70/P70-1)</f>
        <v>0</v>
      </c>
      <c r="R70" s="10"/>
      <c r="S70" s="8">
        <f>'RCI '!$B$109</f>
        <v>0</v>
      </c>
      <c r="T70" s="8">
        <f>+'[2]Syn prin concurents par catégor'!$S$70</f>
        <v>0</v>
      </c>
      <c r="U70" s="9">
        <f>IF(T70=0,0,S70/T70-1)</f>
        <v>0</v>
      </c>
      <c r="V70" s="10"/>
      <c r="W70" s="8">
        <f>'RCI '!$B$110</f>
        <v>0</v>
      </c>
      <c r="X70" s="8">
        <f>+'[2]Syn prin concurents par catégor'!$W$70</f>
        <v>0</v>
      </c>
      <c r="Y70" s="9">
        <f>IF(X70=0,0,W70/X70-1)</f>
        <v>0</v>
      </c>
      <c r="Z70" s="10"/>
      <c r="AA70" s="8">
        <f>'RCI '!$B$103-'RCI '!$B$97</f>
        <v>0</v>
      </c>
      <c r="AB70" s="8">
        <f>'[3]Syn prin concurents par catégor'!AA68</f>
        <v>4141.7392799999798</v>
      </c>
      <c r="AC70" s="9">
        <f>IF(AB70=0,0,AA70/AB70-1)</f>
        <v>-1</v>
      </c>
      <c r="AD70" s="10"/>
      <c r="AE70" s="8">
        <f>'RCI '!$B$111</f>
        <v>0</v>
      </c>
      <c r="AF70" s="8">
        <f>'[3]Syn prin concurents par catégor'!AE68</f>
        <v>0</v>
      </c>
      <c r="AG70" s="9">
        <f>IF(AF70=0,0,AE70/AF70-1)</f>
        <v>0</v>
      </c>
      <c r="AH70" s="10"/>
      <c r="AI70" s="8">
        <f>AE70+AA70+K70+G70+C70+O70+S70+W70</f>
        <v>860697.12000000011</v>
      </c>
      <c r="AJ70" s="8">
        <f>AF70+AB70+L70+H70+D70+P70+T70+X70</f>
        <v>855025.86228</v>
      </c>
      <c r="AK70" s="9">
        <f>IF(AJ70=0,0,AI70/AJ70-1)</f>
        <v>6.6328493326239801E-3</v>
      </c>
      <c r="AL70" s="35">
        <f>C70+G70-'Syn prin concurents'!E74</f>
        <v>0</v>
      </c>
      <c r="AM70" s="35">
        <f>D70+H70-'Syn prin concurents'!F74</f>
        <v>0</v>
      </c>
      <c r="AN70" s="35">
        <f>K70+O70+S70+W70-'Syn prin concurents'!I74</f>
        <v>0</v>
      </c>
      <c r="AO70" s="35">
        <f>L70+P70+T70+X70-'Syn prin concurents'!J74</f>
        <v>0</v>
      </c>
      <c r="AP70" s="35">
        <f>AA70-'Syn prin concurents'!M74</f>
        <v>0</v>
      </c>
      <c r="AQ70" s="35">
        <f>AB70-'Syn prin concurents'!N74</f>
        <v>4141.7392799999798</v>
      </c>
      <c r="AR70" s="35">
        <f>AE70-'Syn prin concurents'!Q74</f>
        <v>0</v>
      </c>
      <c r="AS70" s="35">
        <f>AF70-'Syn prin concurents'!R74</f>
        <v>0</v>
      </c>
      <c r="AT70" s="35">
        <f>AI70-'Syn prin concurents'!U74</f>
        <v>0</v>
      </c>
      <c r="AU70" s="35">
        <f>AJ70-'Syn prin concurents'!V74</f>
        <v>4141.7392799999798</v>
      </c>
    </row>
    <row r="71" spans="1:47" ht="18.5" x14ac:dyDescent="0.45">
      <c r="A71" s="11" t="s">
        <v>67</v>
      </c>
      <c r="B71" s="12"/>
      <c r="C71" s="13">
        <f>C70/C$76</f>
        <v>0.12826038581841318</v>
      </c>
      <c r="D71" s="13">
        <f>D70/D$76</f>
        <v>0.15018906434087753</v>
      </c>
      <c r="E71" s="14">
        <f>(C71-D71)*100</f>
        <v>-2.1928678522464358</v>
      </c>
      <c r="F71" s="15"/>
      <c r="G71" s="13">
        <f>G70/G$76</f>
        <v>6.5094148745546268E-2</v>
      </c>
      <c r="H71" s="13">
        <f>H70/H$76</f>
        <v>8.5898438183986486E-2</v>
      </c>
      <c r="I71" s="14">
        <f>(G71-H71)*100</f>
        <v>-2.080428943844022</v>
      </c>
      <c r="J71" s="15"/>
      <c r="K71" s="13">
        <f>K70/K$76</f>
        <v>0</v>
      </c>
      <c r="L71" s="13">
        <f>L70/L$76</f>
        <v>0</v>
      </c>
      <c r="M71" s="14">
        <f>(K71-L71)*100</f>
        <v>0</v>
      </c>
      <c r="N71" s="15"/>
      <c r="O71" s="13">
        <f>O70/O$76</f>
        <v>0</v>
      </c>
      <c r="P71" s="13">
        <f>P70/P$76</f>
        <v>0</v>
      </c>
      <c r="Q71" s="14">
        <f>(O71-P71)*100</f>
        <v>0</v>
      </c>
      <c r="R71" s="15"/>
      <c r="S71" s="13">
        <f>S70/S$76</f>
        <v>0</v>
      </c>
      <c r="T71" s="13">
        <f>T70/T$76</f>
        <v>0</v>
      </c>
      <c r="U71" s="14">
        <f>(S71-T71)*100</f>
        <v>0</v>
      </c>
      <c r="V71" s="15"/>
      <c r="W71" s="13">
        <f>W70/W$76</f>
        <v>0</v>
      </c>
      <c r="X71" s="13">
        <f>X70/X$76</f>
        <v>0</v>
      </c>
      <c r="Y71" s="14">
        <f>(W71-X71)*100</f>
        <v>0</v>
      </c>
      <c r="Z71" s="15"/>
      <c r="AA71" s="13">
        <f>AA70/AA$76</f>
        <v>0</v>
      </c>
      <c r="AB71" s="13">
        <f>AB70/AB$76</f>
        <v>8.7122980787906021E-2</v>
      </c>
      <c r="AC71" s="14">
        <f>(AA71-AB71)*100</f>
        <v>-8.7122980787906013</v>
      </c>
      <c r="AD71" s="15"/>
      <c r="AE71" s="13">
        <f>AE70/AE$76</f>
        <v>0</v>
      </c>
      <c r="AF71" s="13">
        <f>AF70/AF$76</f>
        <v>0</v>
      </c>
      <c r="AG71" s="14">
        <f>(AE71-AF71)*100</f>
        <v>0</v>
      </c>
      <c r="AH71" s="15"/>
      <c r="AI71" s="13">
        <f>AI70/AI$76</f>
        <v>6.813378066539208E-2</v>
      </c>
      <c r="AJ71" s="13">
        <f>AJ70/AJ$76</f>
        <v>8.0696063564844586E-2</v>
      </c>
      <c r="AK71" s="14">
        <f>(AI71-AJ71)*100</f>
        <v>-1.2562282899452506</v>
      </c>
      <c r="AL71" s="35">
        <f>C71+G71-'Syn prin concurents'!E75</f>
        <v>8.1664122836896502E-2</v>
      </c>
      <c r="AM71" s="35">
        <f>D71+H71-'Syn prin concurents'!F75</f>
        <v>0.10985968546465941</v>
      </c>
      <c r="AN71" s="35">
        <f>K71+O71+S71+W71-'Syn prin concurents'!I75</f>
        <v>0</v>
      </c>
      <c r="AO71" s="35">
        <f>L71+P71+T71+X71-'Syn prin concurents'!J75</f>
        <v>0</v>
      </c>
      <c r="AP71" s="35">
        <f>AA71-'Syn prin concurents'!M75</f>
        <v>0</v>
      </c>
      <c r="AQ71" s="35">
        <f>AB71-'Syn prin concurents'!N75</f>
        <v>8.7122980787906021E-2</v>
      </c>
      <c r="AR71" s="35">
        <f>AE71-'Syn prin concurents'!Q75</f>
        <v>0</v>
      </c>
      <c r="AS71" s="35">
        <f>AF71-'Syn prin concurents'!R75</f>
        <v>0</v>
      </c>
      <c r="AT71" s="35">
        <f>AI71-'Syn prin concurents'!U75</f>
        <v>0</v>
      </c>
      <c r="AU71" s="35">
        <f>AJ71-'Syn prin concurents'!V75</f>
        <v>7.615045760108255E-3</v>
      </c>
    </row>
    <row r="72" spans="1:47" ht="23.5" x14ac:dyDescent="0.55000000000000004">
      <c r="A72" s="6" t="s">
        <v>7</v>
      </c>
      <c r="B72" s="7"/>
      <c r="C72" s="8">
        <f>SALAFIN!$B$98</f>
        <v>193257.223</v>
      </c>
      <c r="D72" s="8">
        <f>+'[2]Syn prin concurents par catégor'!$C$72</f>
        <v>206861.11600000001</v>
      </c>
      <c r="E72" s="9">
        <f>IF(D72=0,0,C72/D72-1)</f>
        <v>-6.5763412975109348E-2</v>
      </c>
      <c r="F72" s="10"/>
      <c r="G72" s="8">
        <f>SALAFIN!$B$100+SALAFIN!$B$99</f>
        <v>172360.91099999999</v>
      </c>
      <c r="H72" s="8">
        <f>+'[2]Syn prin concurents par catégor'!$G$72</f>
        <v>215306.527</v>
      </c>
      <c r="I72" s="9">
        <f>IF(H72=0,0,G72/H72-1)</f>
        <v>-0.19946267583425381</v>
      </c>
      <c r="J72" s="10"/>
      <c r="K72" s="8">
        <f>SALAFIN!$B$107</f>
        <v>103256.822</v>
      </c>
      <c r="L72" s="8">
        <f>+'[2]Syn prin concurents par catégor'!$K$72</f>
        <v>112096.08900000001</v>
      </c>
      <c r="M72" s="9">
        <f>IF(L72=0,0,K72/L72-1)</f>
        <v>-7.8854374660653925E-2</v>
      </c>
      <c r="N72" s="10"/>
      <c r="O72" s="8">
        <f>SALAFIN!$B$108</f>
        <v>35379.146000000001</v>
      </c>
      <c r="P72" s="8">
        <f>+'[2]Syn prin concurents par catégor'!$O$72</f>
        <v>35657.815999999999</v>
      </c>
      <c r="Q72" s="9">
        <f>IF(P72=0,0,O72/P72-1)</f>
        <v>-7.8151168876972044E-3</v>
      </c>
      <c r="R72" s="10"/>
      <c r="S72" s="8">
        <f>SALAFIN!$B$109</f>
        <v>14919.178</v>
      </c>
      <c r="T72" s="8">
        <f>+'[2]Syn prin concurents par catégor'!$S$72</f>
        <v>13703.236000000001</v>
      </c>
      <c r="U72" s="9">
        <f>IF(T72=0,0,S72/T72-1)</f>
        <v>8.8733931167791269E-2</v>
      </c>
      <c r="V72" s="10"/>
      <c r="W72" s="8">
        <f>SALAFIN!$B$110</f>
        <v>396503.13199999998</v>
      </c>
      <c r="X72" s="8">
        <f>+'[2]Syn prin concurents par catégor'!$W$72</f>
        <v>499114.35100000002</v>
      </c>
      <c r="Y72" s="9">
        <f>IF(X72=0,0,W72/X72-1)</f>
        <v>-0.20558659312122252</v>
      </c>
      <c r="Z72" s="10"/>
      <c r="AA72" s="8">
        <f>SALAFIN!$B$103-SALAFIN!$B$97</f>
        <v>0</v>
      </c>
      <c r="AB72" s="8">
        <f>'[3]Syn prin concurents par catégor'!AA72</f>
        <v>0</v>
      </c>
      <c r="AC72" s="9">
        <f>IF(AB72=0,0,AA72/AB72-1)</f>
        <v>0</v>
      </c>
      <c r="AD72" s="10"/>
      <c r="AE72" s="8">
        <f>SALAFIN!$B$111</f>
        <v>44341.983</v>
      </c>
      <c r="AF72" s="8">
        <f>'[3]Syn prin concurents par catégor'!AE72</f>
        <v>5410.5944800000007</v>
      </c>
      <c r="AG72" s="9">
        <f>IF(AF72=0,0,AE72/AF72-1)</f>
        <v>7.1953994452750027</v>
      </c>
      <c r="AH72" s="10"/>
      <c r="AI72" s="8">
        <f>AE72+AA72+K72+G72+C72+O72+S72+W72</f>
        <v>960018.3949999999</v>
      </c>
      <c r="AJ72" s="8">
        <f>AF72+AB72+L72+H72+D72+P72+T72+X72</f>
        <v>1088149.7294800002</v>
      </c>
      <c r="AK72" s="9">
        <f>IF(AJ72=0,0,AI72/AJ72-1)</f>
        <v>-0.11775156580816415</v>
      </c>
      <c r="AL72" s="35">
        <f>C72+G72-'Syn prin concurents'!E72</f>
        <v>0</v>
      </c>
      <c r="AM72" s="35">
        <f>D72+H72-'Syn prin concurents'!F72</f>
        <v>0</v>
      </c>
      <c r="AN72" s="35">
        <f>K72+O72+S72+W72-'Syn prin concurents'!I72</f>
        <v>0</v>
      </c>
      <c r="AO72" s="35">
        <f>L72+P72+T72+X72-'Syn prin concurents'!J72</f>
        <v>0</v>
      </c>
      <c r="AP72" s="35">
        <f>AA72-'Syn prin concurents'!M72</f>
        <v>0</v>
      </c>
      <c r="AQ72" s="35">
        <f>AB72-'Syn prin concurents'!N72</f>
        <v>0</v>
      </c>
      <c r="AR72" s="35">
        <f>AE72-'Syn prin concurents'!Q72</f>
        <v>0</v>
      </c>
      <c r="AS72" s="35">
        <f>AF72-'Syn prin concurents'!R72</f>
        <v>-38139.036520000001</v>
      </c>
      <c r="AT72" s="35">
        <f>AI72-'Syn prin concurents'!U72</f>
        <v>0</v>
      </c>
      <c r="AU72" s="35">
        <f>AJ72-'Syn prin concurents'!V72</f>
        <v>-38139.036520000082</v>
      </c>
    </row>
    <row r="73" spans="1:47" ht="18.5" x14ac:dyDescent="0.45">
      <c r="A73" s="11" t="s">
        <v>67</v>
      </c>
      <c r="B73" s="12"/>
      <c r="C73" s="13">
        <f>C72/C$76</f>
        <v>3.3996577271370759E-2</v>
      </c>
      <c r="D73" s="13">
        <f>D72/D$76</f>
        <v>4.2824779640439271E-2</v>
      </c>
      <c r="E73" s="14">
        <f>(C73-D73)*100</f>
        <v>-0.88282023690685119</v>
      </c>
      <c r="F73" s="15"/>
      <c r="G73" s="13">
        <f>G72/G$76</f>
        <v>8.5264352737925514E-2</v>
      </c>
      <c r="H73" s="13">
        <f>H72/H$76</f>
        <v>0.14747246613084672</v>
      </c>
      <c r="I73" s="14">
        <f>(G73-H73)*100</f>
        <v>-6.2208113392921209</v>
      </c>
      <c r="J73" s="15"/>
      <c r="K73" s="13">
        <f>K72/K$76</f>
        <v>7.9731371875557719E-2</v>
      </c>
      <c r="L73" s="13">
        <f>L72/L$76</f>
        <v>0.14204915328321446</v>
      </c>
      <c r="M73" s="14">
        <f>(K73-L73)*100</f>
        <v>-6.231778140765674</v>
      </c>
      <c r="N73" s="15"/>
      <c r="O73" s="13">
        <f>O72/O$76</f>
        <v>0.18623071162757676</v>
      </c>
      <c r="P73" s="13">
        <f>P72/P$76</f>
        <v>0.13133827770142442</v>
      </c>
      <c r="Q73" s="14">
        <f>(O73-P73)*100</f>
        <v>5.4892433926152338</v>
      </c>
      <c r="R73" s="15"/>
      <c r="S73" s="13">
        <f>S72/S$76</f>
        <v>3.1331508097304596E-2</v>
      </c>
      <c r="T73" s="13">
        <f>T72/T$76</f>
        <v>2.3396172905835046E-2</v>
      </c>
      <c r="U73" s="14">
        <f>(S73-T73)*100</f>
        <v>0.79353351914695502</v>
      </c>
      <c r="V73" s="15"/>
      <c r="W73" s="13">
        <f>W72/W$76</f>
        <v>0.1411724780286116</v>
      </c>
      <c r="X73" s="13">
        <f>X72/X$76</f>
        <v>0.1953789408057269</v>
      </c>
      <c r="Y73" s="14">
        <f>(W73-X73)*100</f>
        <v>-5.4206462777115298</v>
      </c>
      <c r="Z73" s="15"/>
      <c r="AA73" s="13">
        <f>AA72/AA$76</f>
        <v>0</v>
      </c>
      <c r="AB73" s="13">
        <f>AB72/AB$76</f>
        <v>0</v>
      </c>
      <c r="AC73" s="14">
        <f>(AA73-AB73)*100</f>
        <v>0</v>
      </c>
      <c r="AD73" s="15"/>
      <c r="AE73" s="13">
        <f>AE72/AE$76</f>
        <v>0.53556063208256777</v>
      </c>
      <c r="AF73" s="13">
        <f>AF72/AF$76</f>
        <v>9.5296378426597439E-2</v>
      </c>
      <c r="AG73" s="14">
        <f>(AE73-AF73)*100</f>
        <v>44.026425365597035</v>
      </c>
      <c r="AH73" s="15"/>
      <c r="AI73" s="13">
        <f>AI72/AI$76</f>
        <v>7.5996167803688855E-2</v>
      </c>
      <c r="AJ73" s="13">
        <f>AJ72/AJ$76</f>
        <v>0.10269794588906962</v>
      </c>
      <c r="AK73" s="14">
        <f>(AI73-AJ73)*100</f>
        <v>-2.6701778085380767</v>
      </c>
      <c r="AL73" s="35">
        <f>C73+G73-'Syn prin concurents'!E73</f>
        <v>7.1815622046211114E-2</v>
      </c>
      <c r="AM73" s="35">
        <f>D73+H73-'Syn prin concurents'!F73</f>
        <v>0.12766909398317022</v>
      </c>
      <c r="AN73" s="35">
        <f>K73+O73+S73+W73-'Syn prin concurents'!I73</f>
        <v>0.32314621118278963</v>
      </c>
      <c r="AO73" s="35">
        <f>L73+P73+T73+X73-'Syn prin concurents'!J73</f>
        <v>0.35119095689194912</v>
      </c>
      <c r="AP73" s="35">
        <f>AA73-'Syn prin concurents'!M73</f>
        <v>0</v>
      </c>
      <c r="AQ73" s="35">
        <f>AB73-'Syn prin concurents'!N73</f>
        <v>0</v>
      </c>
      <c r="AR73" s="35">
        <f>AE73-'Syn prin concurents'!Q73</f>
        <v>0</v>
      </c>
      <c r="AS73" s="35">
        <f>AF73-'Syn prin concurents'!R73</f>
        <v>-0.19011157680658564</v>
      </c>
      <c r="AT73" s="35">
        <f>AI73-'Syn prin concurents'!U73</f>
        <v>0</v>
      </c>
      <c r="AU73" s="35">
        <f>AJ73-'Syn prin concurents'!V73</f>
        <v>5.9628827513119875E-3</v>
      </c>
    </row>
    <row r="74" spans="1:47" ht="23.5" x14ac:dyDescent="0.55000000000000004">
      <c r="A74" s="6" t="s">
        <v>11</v>
      </c>
      <c r="B74" s="7"/>
      <c r="C74" s="8">
        <f>'AXA CREDIT'!$B$98</f>
        <v>6581.1170000000002</v>
      </c>
      <c r="D74" s="8">
        <f>+'[2]Syn prin concurents par catégor'!$C$74</f>
        <v>6581.1170000000002</v>
      </c>
      <c r="E74" s="9">
        <f>IF(D74=0,0,C74/D74-1)</f>
        <v>0</v>
      </c>
      <c r="F74" s="10"/>
      <c r="G74" s="8">
        <f>'AXA CREDIT'!$B$100+'AXA CREDIT'!$B$99</f>
        <v>335.92200000000003</v>
      </c>
      <c r="H74" s="8">
        <f>+'[2]Syn prin concurents par catégor'!$G$74</f>
        <v>335.92200000000003</v>
      </c>
      <c r="I74" s="9">
        <f>IF(H74=0,0,G74/H74-1)</f>
        <v>0</v>
      </c>
      <c r="J74" s="10"/>
      <c r="K74" s="8">
        <f>'AXA CREDIT'!$B$107</f>
        <v>79049.081000000006</v>
      </c>
      <c r="L74" s="8">
        <f>+'[2]Syn prin concurents par catégor'!$K$74</f>
        <v>79049.081000000006</v>
      </c>
      <c r="M74" s="9">
        <f>IF(L74=0,0,K74/L74-1)</f>
        <v>0</v>
      </c>
      <c r="N74" s="10"/>
      <c r="O74" s="8">
        <f>'AXA CREDIT'!$B$108</f>
        <v>4906.027</v>
      </c>
      <c r="P74" s="8">
        <f>+'[2]Syn prin concurents par catégor'!$O$74</f>
        <v>4906.027</v>
      </c>
      <c r="Q74" s="9">
        <f>IF(P74=0,0,O74/P74-1)</f>
        <v>0</v>
      </c>
      <c r="R74" s="10"/>
      <c r="S74" s="8">
        <f>'AXA CREDIT'!$B$109</f>
        <v>71091.399999999994</v>
      </c>
      <c r="T74" s="8">
        <f>+'[2]Syn prin concurents par catégor'!$S$74</f>
        <v>71091.399999999994</v>
      </c>
      <c r="U74" s="9">
        <f>IF(T74=0,0,S74/T74-1)</f>
        <v>0</v>
      </c>
      <c r="V74" s="10"/>
      <c r="W74" s="8">
        <f>'AXA CREDIT'!$B$110</f>
        <v>284102.31900000002</v>
      </c>
      <c r="X74" s="8">
        <f>+'[2]Syn prin concurents par catégor'!$W$74</f>
        <v>284102.31900000002</v>
      </c>
      <c r="Y74" s="9">
        <f>IF(X74=0,0,W74/X74-1)</f>
        <v>0</v>
      </c>
      <c r="Z74" s="10"/>
      <c r="AA74" s="8">
        <f>'AXA CREDIT'!$B$103-'AXA CREDIT'!$B$97</f>
        <v>0</v>
      </c>
      <c r="AB74" s="8">
        <f>'[3]Syn prin concurents par catégor'!AA74</f>
        <v>0</v>
      </c>
      <c r="AC74" s="9">
        <f>IF(AB74=0,0,AA74/AB74-1)</f>
        <v>0</v>
      </c>
      <c r="AD74" s="10"/>
      <c r="AE74" s="8">
        <f>'AXA CREDIT'!$B$111</f>
        <v>68.412999999999997</v>
      </c>
      <c r="AF74" s="8">
        <f>'[3]Syn prin concurents par catégor'!AE74</f>
        <v>67.633899999999997</v>
      </c>
      <c r="AG74" s="9">
        <f>IF(AF74=0,0,AE74/AF74-1)</f>
        <v>1.1519371202902695E-2</v>
      </c>
      <c r="AH74" s="10"/>
      <c r="AI74" s="8">
        <f>AE74+AA74+K74+G74+C74+O74+S74+W74</f>
        <v>446134.27900000004</v>
      </c>
      <c r="AJ74" s="8">
        <f>AF74+AB74+L74+H74+D74+P74+T74+X74</f>
        <v>446133.49990000005</v>
      </c>
      <c r="AK74" s="9">
        <f>IF(AJ74=0,0,AI74/AJ74-1)</f>
        <v>1.7463382600002575E-6</v>
      </c>
      <c r="AL74" s="35">
        <f>C74+G74-'Syn prin concurents'!E76</f>
        <v>0</v>
      </c>
      <c r="AM74" s="35">
        <f>D74+H74-'Syn prin concurents'!F76</f>
        <v>0</v>
      </c>
      <c r="AN74" s="35">
        <f>K74+O74+S74+W74-'Syn prin concurents'!I76</f>
        <v>0</v>
      </c>
      <c r="AO74" s="35">
        <f>L74+P74+T74+X74-'Syn prin concurents'!J76</f>
        <v>0</v>
      </c>
      <c r="AP74" s="35">
        <f>AA74-'Syn prin concurents'!M76</f>
        <v>0</v>
      </c>
      <c r="AQ74" s="35">
        <f>AB74-'Syn prin concurents'!N76</f>
        <v>0</v>
      </c>
      <c r="AR74" s="35">
        <f>AE74-'Syn prin concurents'!Q76</f>
        <v>0</v>
      </c>
      <c r="AS74" s="35">
        <f>AF74-'Syn prin concurents'!R76</f>
        <v>-68345.366099999999</v>
      </c>
      <c r="AT74" s="35">
        <f>AI74-'Syn prin concurents'!U76</f>
        <v>0</v>
      </c>
      <c r="AU74" s="35">
        <f>AJ74-'Syn prin concurents'!V76</f>
        <v>-0.77909999998519197</v>
      </c>
    </row>
    <row r="75" spans="1:47" ht="19" thickBot="1" x14ac:dyDescent="0.5">
      <c r="A75" s="11" t="s">
        <v>67</v>
      </c>
      <c r="B75" s="12"/>
      <c r="C75" s="13">
        <f>C74/C$76</f>
        <v>1.1577081008891021E-3</v>
      </c>
      <c r="D75" s="13">
        <f>D74/D$76</f>
        <v>1.362435293605149E-3</v>
      </c>
      <c r="E75" s="14">
        <f>(C75-D75)*100</f>
        <v>-2.0472719271604694E-2</v>
      </c>
      <c r="F75" s="15"/>
      <c r="G75" s="13">
        <f>G74/G$76</f>
        <v>1.6617556576055355E-4</v>
      </c>
      <c r="H75" s="13">
        <f>H74/H$76</f>
        <v>2.3008705986700669E-4</v>
      </c>
      <c r="I75" s="14">
        <f>(G75-H75)*100</f>
        <v>-6.3911494106453142E-3</v>
      </c>
      <c r="J75" s="15"/>
      <c r="K75" s="13">
        <f>K74/K$76</f>
        <v>6.1038985623943415E-2</v>
      </c>
      <c r="L75" s="13">
        <f>L74/L$76</f>
        <v>0.10017169308972265</v>
      </c>
      <c r="M75" s="14">
        <f>(K75-L75)*100</f>
        <v>-3.9132707465779237</v>
      </c>
      <c r="N75" s="15"/>
      <c r="O75" s="13">
        <f>O74/O$76</f>
        <v>2.582461711976048E-2</v>
      </c>
      <c r="P75" s="13">
        <f>P74/P$76</f>
        <v>1.8070347789575395E-2</v>
      </c>
      <c r="Q75" s="14">
        <f>(O75-P75)*100</f>
        <v>0.77542693301850851</v>
      </c>
      <c r="R75" s="15"/>
      <c r="S75" s="13">
        <f>S74/S$76</f>
        <v>0.14929782155214716</v>
      </c>
      <c r="T75" s="13">
        <f>T74/T$76</f>
        <v>0.12137765754876303</v>
      </c>
      <c r="U75" s="14">
        <f>(S75-T75)*100</f>
        <v>2.7920164003384125</v>
      </c>
      <c r="V75" s="15"/>
      <c r="W75" s="13">
        <f>W74/W$76</f>
        <v>0.10115286652238881</v>
      </c>
      <c r="X75" s="13">
        <f>X74/X$76</f>
        <v>0.11121221029901972</v>
      </c>
      <c r="Y75" s="14">
        <f>(W75-X75)*100</f>
        <v>-1.0059343776630911</v>
      </c>
      <c r="Z75" s="15"/>
      <c r="AA75" s="13">
        <f>AA74/AA$76</f>
        <v>0</v>
      </c>
      <c r="AB75" s="13">
        <f>AB74/AB$76</f>
        <v>0</v>
      </c>
      <c r="AC75" s="14">
        <f>(AA75-AB75)*100</f>
        <v>0</v>
      </c>
      <c r="AD75" s="15"/>
      <c r="AE75" s="13">
        <f>AE74/AE$76</f>
        <v>8.2628937733038928E-4</v>
      </c>
      <c r="AF75" s="13">
        <f>AF74/AF$76</f>
        <v>1.1912306037148524E-3</v>
      </c>
      <c r="AG75" s="14">
        <f>(AE75-AF75)*100</f>
        <v>-3.6494122638446307E-2</v>
      </c>
      <c r="AH75" s="15"/>
      <c r="AI75" s="13">
        <f>AI74/AI$76</f>
        <v>3.5316506127845336E-2</v>
      </c>
      <c r="AJ75" s="13">
        <f>AJ74/AJ$76</f>
        <v>4.2105413244853958E-2</v>
      </c>
      <c r="AK75" s="14">
        <f>(AI75-AJ75)*100</f>
        <v>-0.67889071170086224</v>
      </c>
      <c r="AL75" s="35">
        <f>C75+G75-'Syn prin concurents'!E77</f>
        <v>4.2627762627839045E-4</v>
      </c>
      <c r="AM75" s="35">
        <f>D75+H75-'Syn prin concurents'!F77</f>
        <v>5.6638646741061661E-4</v>
      </c>
      <c r="AN75" s="35">
        <f>K75+O75+S75+W75-'Syn prin concurents'!I77</f>
        <v>0.24524662709610306</v>
      </c>
      <c r="AO75" s="35">
        <f>L75+P75+T75+X75-'Syn prin concurents'!J77</f>
        <v>0.2571138052752826</v>
      </c>
      <c r="AP75" s="35">
        <f>AA75-'Syn prin concurents'!M77</f>
        <v>0</v>
      </c>
      <c r="AQ75" s="35">
        <f>AB75-'Syn prin concurents'!N77</f>
        <v>0</v>
      </c>
      <c r="AR75" s="35">
        <f>AE75-'Syn prin concurents'!Q77</f>
        <v>0</v>
      </c>
      <c r="AS75" s="35">
        <f>AF75-'Syn prin concurents'!R77</f>
        <v>-0.44716192401584443</v>
      </c>
      <c r="AT75" s="35">
        <f>AI75-'Syn prin concurents'!U77</f>
        <v>0</v>
      </c>
      <c r="AU75" s="35">
        <f>AJ75-'Syn prin concurents'!V77</f>
        <v>3.7876843019880105E-3</v>
      </c>
    </row>
    <row r="76" spans="1:47" ht="26.5" thickBot="1" x14ac:dyDescent="0.65">
      <c r="A76" s="23" t="s">
        <v>8</v>
      </c>
      <c r="B76" s="38"/>
      <c r="C76" s="24">
        <f>GLOBAL!B98</f>
        <v>5684608.2315100003</v>
      </c>
      <c r="D76" s="24">
        <f>+'[2]Syn prin concurents par catégor'!$C$76</f>
        <v>4830407.0152099943</v>
      </c>
      <c r="E76" s="25">
        <f>IF(D76=0,0,C76/D76-1)</f>
        <v>0.17683835204989884</v>
      </c>
      <c r="F76" s="3"/>
      <c r="G76" s="24">
        <f>GLOBAL!B99+GLOBAL!B100</f>
        <v>2021488.5290900003</v>
      </c>
      <c r="H76" s="24">
        <f>+'[2]Syn prin concurents par catégor'!$G$76</f>
        <v>1459977.8022899998</v>
      </c>
      <c r="I76" s="25">
        <f>IF(H76=0,0,G76/H76-1)</f>
        <v>0.38460223567732443</v>
      </c>
      <c r="J76" s="3"/>
      <c r="K76" s="24">
        <f>GLOBAL!B107</f>
        <v>1295058.8905100001</v>
      </c>
      <c r="L76" s="24">
        <f>+'[2]Syn prin concurents par catégor'!$K$76</f>
        <v>789135.91815999988</v>
      </c>
      <c r="M76" s="25">
        <f>IF(L76=0,0,K76/L76-1)</f>
        <v>0.64111005557780554</v>
      </c>
      <c r="N76" s="3"/>
      <c r="O76" s="24">
        <f>GLOBAL!B108</f>
        <v>189974.82042999996</v>
      </c>
      <c r="P76" s="24">
        <f>+'[2]Syn prin concurents par catégor'!$O$76</f>
        <v>271495.99206000002</v>
      </c>
      <c r="Q76" s="25">
        <f>IF(P76=0,0,O76/P76-1)</f>
        <v>-0.30026657488182751</v>
      </c>
      <c r="R76" s="3"/>
      <c r="S76" s="24">
        <f>GLOBAL!B109</f>
        <v>476171.71678000002</v>
      </c>
      <c r="T76" s="24">
        <f>+'[2]Syn prin concurents par catégor'!$S$76</f>
        <v>585704.16859000002</v>
      </c>
      <c r="U76" s="25">
        <f>IF(T76=0,0,S76/T76-1)</f>
        <v>-0.18700985528869274</v>
      </c>
      <c r="V76" s="3"/>
      <c r="W76" s="24">
        <f>GLOBAL!B110</f>
        <v>2808643.2818699987</v>
      </c>
      <c r="X76" s="24">
        <f>+'[2]Syn prin concurents par catégor'!$W$76</f>
        <v>2554596.4623500002</v>
      </c>
      <c r="Y76" s="25">
        <f>IF(X76=0,0,W76/X76-1)</f>
        <v>9.9446947204451241E-2</v>
      </c>
      <c r="Z76" s="3"/>
      <c r="AA76" s="24">
        <f>GLOBAL!$B$103-GLOBAL!$B$97</f>
        <v>73717.042109999806</v>
      </c>
      <c r="AB76" s="24">
        <f>'[3]Syn prin concurents par catégor'!AA76</f>
        <v>47538.998810000718</v>
      </c>
      <c r="AC76" s="25">
        <f>IF(AB76=0,0,AA76/AB76-1)</f>
        <v>0.55066459023726955</v>
      </c>
      <c r="AD76" s="3"/>
      <c r="AE76" s="24">
        <f>GLOBAL!$B$111</f>
        <v>82795.448999999993</v>
      </c>
      <c r="AF76" s="24">
        <f>'[3]Syn prin concurents par catégor'!AE76</f>
        <v>56776.496330000002</v>
      </c>
      <c r="AG76" s="25">
        <f>IF(AF76=0,0,AE76/AF76-1)</f>
        <v>0.45826978330559465</v>
      </c>
      <c r="AH76" s="3"/>
      <c r="AI76" s="24">
        <f>AE76+AA76+K76+G76+C76+O76+S76+W76</f>
        <v>12632457.961299999</v>
      </c>
      <c r="AJ76" s="24">
        <f>AF76+AB76+L76+H76+D76+P76+T76+X76</f>
        <v>10595632.853799995</v>
      </c>
      <c r="AK76" s="25">
        <f>IF(AJ76=0,0,AI76/AJ76-1)</f>
        <v>0.19223251084710058</v>
      </c>
      <c r="AL76" s="35">
        <f>C76+G76-'Syn prin concurents'!E78</f>
        <v>0</v>
      </c>
      <c r="AM76" s="35">
        <f>D76+H76-'Syn prin concurents'!F78</f>
        <v>-450475.81699999981</v>
      </c>
      <c r="AN76" s="35">
        <f>K76+O76+S76+W76-'Syn prin concurents'!I78</f>
        <v>0</v>
      </c>
      <c r="AO76" s="35">
        <f>L76+P76+T76+X76-'Syn prin concurents'!J78</f>
        <v>-484915.87899999972</v>
      </c>
      <c r="AP76" s="35">
        <f>AA76-'Syn prin concurents'!M78</f>
        <v>0</v>
      </c>
      <c r="AQ76" s="35">
        <f>AB76-'Syn prin concurents'!N78</f>
        <v>-16189.718169999309</v>
      </c>
      <c r="AR76" s="35">
        <f>AE76-'Syn prin concurents'!Q78</f>
        <v>0</v>
      </c>
      <c r="AS76" s="35">
        <f>AF76-'Syn prin concurents'!R78</f>
        <v>-95810.809669999988</v>
      </c>
      <c r="AT76" s="35">
        <f>AI76-'Syn prin concurents'!U78</f>
        <v>0</v>
      </c>
      <c r="AU76" s="35">
        <f>AJ76-'Syn prin concurents'!V78</f>
        <v>-1047392.2238399982</v>
      </c>
    </row>
    <row r="77" spans="1:47" ht="14" x14ac:dyDescent="0.25">
      <c r="A77" s="221"/>
    </row>
    <row r="78" spans="1:47" ht="27.5" x14ac:dyDescent="0.25">
      <c r="A78" s="757" t="s">
        <v>81</v>
      </c>
      <c r="B78" s="757"/>
      <c r="C78" s="757"/>
      <c r="D78" s="757"/>
      <c r="E78" s="757"/>
      <c r="F78" s="757"/>
      <c r="G78" s="757"/>
      <c r="H78" s="757"/>
      <c r="I78" s="757"/>
      <c r="J78" s="757"/>
      <c r="K78" s="757"/>
      <c r="L78" s="757"/>
      <c r="M78" s="757"/>
      <c r="N78" s="757"/>
      <c r="O78" s="757"/>
      <c r="P78" s="757"/>
      <c r="Q78" s="757"/>
      <c r="R78" s="757"/>
      <c r="S78" s="757"/>
      <c r="T78" s="757"/>
      <c r="U78" s="757"/>
      <c r="V78" s="757"/>
      <c r="W78" s="757"/>
      <c r="X78" s="757"/>
      <c r="Y78" s="757"/>
      <c r="Z78" s="757"/>
      <c r="AA78" s="757"/>
      <c r="AB78" s="757"/>
      <c r="AC78" s="757"/>
      <c r="AD78" s="757"/>
      <c r="AE78" s="757"/>
      <c r="AF78" s="757"/>
      <c r="AG78" s="757"/>
      <c r="AH78" s="757"/>
      <c r="AI78" s="757"/>
      <c r="AJ78" s="757"/>
      <c r="AK78" s="757"/>
    </row>
    <row r="80" spans="1:47" ht="25" x14ac:dyDescent="0.5">
      <c r="C80" s="761" t="s">
        <v>72</v>
      </c>
      <c r="D80" s="761"/>
      <c r="E80" s="761"/>
      <c r="F80" s="3"/>
      <c r="G80" s="761" t="s">
        <v>73</v>
      </c>
      <c r="H80" s="761"/>
      <c r="I80" s="761"/>
      <c r="J80" s="3"/>
      <c r="K80" s="761" t="s">
        <v>74</v>
      </c>
      <c r="L80" s="761"/>
      <c r="M80" s="761"/>
      <c r="N80" s="3"/>
      <c r="O80" s="761" t="s">
        <v>75</v>
      </c>
      <c r="P80" s="761"/>
      <c r="Q80" s="761"/>
      <c r="R80" s="3"/>
      <c r="S80" s="761" t="s">
        <v>76</v>
      </c>
      <c r="T80" s="761"/>
      <c r="U80" s="761"/>
      <c r="V80" s="3"/>
      <c r="W80" s="761" t="s">
        <v>77</v>
      </c>
      <c r="X80" s="761"/>
      <c r="Y80" s="761"/>
      <c r="Z80" s="3"/>
      <c r="AA80" s="761" t="s">
        <v>59</v>
      </c>
      <c r="AB80" s="761"/>
      <c r="AC80" s="761"/>
      <c r="AD80" s="3"/>
      <c r="AE80" s="761" t="s">
        <v>60</v>
      </c>
      <c r="AF80" s="761"/>
      <c r="AG80" s="761"/>
      <c r="AH80" s="3"/>
      <c r="AI80" s="761" t="s">
        <v>61</v>
      </c>
      <c r="AJ80" s="761"/>
      <c r="AK80" s="761"/>
    </row>
    <row r="81" spans="1:47" ht="6.75" customHeight="1" x14ac:dyDescent="0.4">
      <c r="C81" s="562"/>
      <c r="D81" s="562"/>
      <c r="E81" s="562"/>
      <c r="G81" s="562"/>
      <c r="H81" s="562"/>
      <c r="I81" s="562"/>
      <c r="K81" s="562"/>
      <c r="L81" s="562"/>
      <c r="M81" s="562"/>
      <c r="O81" s="562"/>
      <c r="P81" s="562"/>
      <c r="Q81" s="562"/>
      <c r="S81" s="562"/>
      <c r="T81" s="562"/>
      <c r="U81" s="562"/>
      <c r="W81" s="562"/>
      <c r="X81" s="562"/>
      <c r="Y81" s="562"/>
      <c r="AA81" s="562"/>
      <c r="AB81" s="562"/>
      <c r="AC81" s="562"/>
      <c r="AE81" s="562"/>
      <c r="AF81" s="562"/>
      <c r="AG81" s="562"/>
      <c r="AI81" s="562"/>
      <c r="AJ81" s="562"/>
      <c r="AK81" s="562"/>
    </row>
    <row r="82" spans="1:47" ht="24.75" customHeight="1" x14ac:dyDescent="0.5">
      <c r="A82" s="4"/>
      <c r="B82" s="5"/>
      <c r="C82" s="559">
        <f>C59</f>
        <v>46082</v>
      </c>
      <c r="D82" s="558">
        <f>D59</f>
        <v>45992</v>
      </c>
      <c r="E82" s="560" t="s">
        <v>62</v>
      </c>
      <c r="F82" s="3"/>
      <c r="G82" s="559">
        <f>G59</f>
        <v>46082</v>
      </c>
      <c r="H82" s="558">
        <f>H59</f>
        <v>45992</v>
      </c>
      <c r="I82" s="560" t="s">
        <v>62</v>
      </c>
      <c r="J82" s="3"/>
      <c r="K82" s="559">
        <f>G82</f>
        <v>46082</v>
      </c>
      <c r="L82" s="558">
        <f>L59</f>
        <v>45992</v>
      </c>
      <c r="M82" s="560" t="s">
        <v>62</v>
      </c>
      <c r="N82" s="3"/>
      <c r="O82" s="559">
        <f>K82</f>
        <v>46082</v>
      </c>
      <c r="P82" s="558">
        <f>P59</f>
        <v>45992</v>
      </c>
      <c r="Q82" s="560" t="s">
        <v>62</v>
      </c>
      <c r="R82" s="3"/>
      <c r="S82" s="559">
        <f>O82</f>
        <v>46082</v>
      </c>
      <c r="T82" s="558">
        <f>T59</f>
        <v>45992</v>
      </c>
      <c r="U82" s="560" t="s">
        <v>62</v>
      </c>
      <c r="V82" s="3"/>
      <c r="W82" s="559">
        <f>S82</f>
        <v>46082</v>
      </c>
      <c r="X82" s="558">
        <f>X59</f>
        <v>45992</v>
      </c>
      <c r="Y82" s="560" t="s">
        <v>62</v>
      </c>
      <c r="Z82" s="3"/>
      <c r="AA82" s="559">
        <f>K82</f>
        <v>46082</v>
      </c>
      <c r="AB82" s="558">
        <f>AB59</f>
        <v>44896</v>
      </c>
      <c r="AC82" s="560" t="s">
        <v>62</v>
      </c>
      <c r="AD82" s="3"/>
      <c r="AE82" s="559">
        <f>AA82</f>
        <v>46082</v>
      </c>
      <c r="AF82" s="558">
        <f>AF59</f>
        <v>44896</v>
      </c>
      <c r="AG82" s="560" t="s">
        <v>62</v>
      </c>
      <c r="AH82" s="3"/>
      <c r="AI82" s="559">
        <f>AE82</f>
        <v>46082</v>
      </c>
      <c r="AJ82" s="558">
        <f>AF82</f>
        <v>44896</v>
      </c>
      <c r="AK82" s="560" t="s">
        <v>62</v>
      </c>
    </row>
    <row r="83" spans="1:47" ht="6.75" customHeight="1" x14ac:dyDescent="0.4">
      <c r="C83" s="562"/>
      <c r="D83" s="562"/>
      <c r="E83" s="562"/>
      <c r="G83" s="562"/>
      <c r="H83" s="562"/>
      <c r="I83" s="562"/>
      <c r="K83" s="562"/>
      <c r="L83" s="562"/>
      <c r="M83" s="562"/>
      <c r="O83" s="562"/>
      <c r="P83" s="562"/>
      <c r="Q83" s="562"/>
      <c r="S83" s="562"/>
      <c r="T83" s="562"/>
      <c r="U83" s="562"/>
      <c r="W83" s="562"/>
      <c r="X83" s="562"/>
      <c r="Y83" s="562"/>
      <c r="AA83" s="562"/>
      <c r="AB83" s="562"/>
      <c r="AC83" s="562"/>
      <c r="AE83" s="562"/>
      <c r="AF83" s="562"/>
      <c r="AG83" s="562"/>
      <c r="AI83" s="562"/>
      <c r="AJ83" s="562"/>
      <c r="AK83" s="562"/>
    </row>
    <row r="84" spans="1:47" ht="6" customHeight="1" x14ac:dyDescent="0.25">
      <c r="A84" s="563"/>
      <c r="B84" s="563"/>
      <c r="C84" s="563"/>
      <c r="D84" s="563"/>
      <c r="E84" s="563"/>
      <c r="G84" s="563"/>
      <c r="H84" s="563"/>
      <c r="I84" s="563"/>
      <c r="K84" s="563"/>
      <c r="L84" s="563"/>
      <c r="M84" s="563"/>
      <c r="O84" s="563"/>
      <c r="P84" s="563"/>
      <c r="Q84" s="563"/>
      <c r="S84" s="563"/>
      <c r="T84" s="563"/>
      <c r="U84" s="563"/>
      <c r="W84" s="563"/>
      <c r="X84" s="563"/>
      <c r="Y84" s="563"/>
      <c r="AA84" s="563"/>
      <c r="AB84" s="563"/>
      <c r="AC84" s="563"/>
      <c r="AE84" s="563"/>
      <c r="AF84" s="563"/>
      <c r="AG84" s="563"/>
      <c r="AI84" s="563"/>
      <c r="AJ84" s="563"/>
      <c r="AK84" s="563"/>
    </row>
    <row r="85" spans="1:47" ht="23.5" x14ac:dyDescent="0.55000000000000004">
      <c r="A85" s="6" t="s">
        <v>10</v>
      </c>
      <c r="B85" s="7"/>
      <c r="C85" s="8">
        <f>WAFASALAF!$B$70</f>
        <v>4222715.3360000001</v>
      </c>
      <c r="D85" s="8">
        <f>+'[2]Syn prin concurents par catégor'!$C$85</f>
        <v>4084787.2939999998</v>
      </c>
      <c r="E85" s="9">
        <f>IF(D85=0,0,C85/D85-1)</f>
        <v>3.3766272775720196E-2</v>
      </c>
      <c r="F85" s="10"/>
      <c r="G85" s="8">
        <f>WAFASALAF!$B$71+WAFASALAF!$B$72</f>
        <v>12817957.617000001</v>
      </c>
      <c r="H85" s="8">
        <f>+'[2]Syn prin concurents par catégor'!$G$85</f>
        <v>12101013.102</v>
      </c>
      <c r="I85" s="9">
        <f>IF(H85=0,0,G85/H85-1)</f>
        <v>5.9246652239514308E-2</v>
      </c>
      <c r="J85" s="10"/>
      <c r="K85" s="8">
        <f>WAFASALAF!$B$79</f>
        <v>4507389.16</v>
      </c>
      <c r="L85" s="8">
        <f>+'[2]Syn prin concurents par catégor'!$K$85</f>
        <v>4500112.0520000001</v>
      </c>
      <c r="M85" s="9">
        <f>IF(L85=0,0,K85/L85-1)</f>
        <v>1.6170948447307154E-3</v>
      </c>
      <c r="N85" s="10"/>
      <c r="O85" s="8">
        <f>WAFASALAF!$B$80</f>
        <v>1039319.149</v>
      </c>
      <c r="P85" s="8">
        <f>+'[2]Syn prin concurents par catégor'!$O$85</f>
        <v>1089541.6000000001</v>
      </c>
      <c r="Q85" s="9">
        <f>IF(P85=0,0,O85/P85-1)</f>
        <v>-4.609502840460622E-2</v>
      </c>
      <c r="R85" s="10"/>
      <c r="S85" s="8">
        <f>WAFASALAF!$B$81</f>
        <v>538360.56599999999</v>
      </c>
      <c r="T85" s="8">
        <f>+'[2]Syn prin concurents par catégor'!$S$85</f>
        <v>560746.43999999994</v>
      </c>
      <c r="U85" s="9">
        <f>IF(T85=0,0,S85/T85-1)</f>
        <v>-3.9921562408849143E-2</v>
      </c>
      <c r="V85" s="10"/>
      <c r="W85" s="8">
        <f>WAFASALAF!$B$82</f>
        <v>4170117.0250000004</v>
      </c>
      <c r="X85" s="8">
        <f>+'[2]Syn prin concurents par catégor'!$W$85</f>
        <v>4095193.46</v>
      </c>
      <c r="Y85" s="9">
        <f>IF(X85=0,0,W85/X85-1)</f>
        <v>1.8295488535967852E-2</v>
      </c>
      <c r="Z85" s="10"/>
      <c r="AA85" s="8">
        <f>WAFASALAF!$B$75-WAFASALAF!$B$69</f>
        <v>673567.42199999839</v>
      </c>
      <c r="AB85" s="8">
        <f>'[3]Syn prin concurents par catégor'!AA85</f>
        <v>448174.94824000075</v>
      </c>
      <c r="AC85" s="9">
        <f>IF(AB85=0,0,AA85/AB85-1)</f>
        <v>0.50291180853620232</v>
      </c>
      <c r="AD85" s="10"/>
      <c r="AE85" s="8">
        <f>WAFASALAF!$B$83</f>
        <v>112413.245</v>
      </c>
      <c r="AF85" s="8">
        <f>'[3]Syn prin concurents par catégor'!AE85</f>
        <v>144203.44413000002</v>
      </c>
      <c r="AG85" s="9">
        <f>IF(AF85=0,0,AE85/AF85-1)</f>
        <v>-0.22045381316510737</v>
      </c>
      <c r="AH85" s="10"/>
      <c r="AI85" s="8">
        <f>AE85+AA85+K85+G85+C85+O85+S85+W85</f>
        <v>28081839.519999996</v>
      </c>
      <c r="AJ85" s="8">
        <f>AF85+AB85+L85+H85+D85+P85+T85+X85</f>
        <v>27023772.340370003</v>
      </c>
      <c r="AK85" s="9">
        <f>IF(AJ85=0,0,AI85/AJ85-1)</f>
        <v>3.9153200608094796E-2</v>
      </c>
      <c r="AL85" s="35">
        <f>C85+G85-'Syn prin concurents'!E87</f>
        <v>0</v>
      </c>
      <c r="AM85" s="35">
        <f>D85+H85-'Syn prin concurents'!F87</f>
        <v>0</v>
      </c>
      <c r="AN85" s="35">
        <f>K85+O85+S85+W85-'Syn prin concurents'!I87</f>
        <v>0</v>
      </c>
      <c r="AO85" s="35">
        <f>L85+P85+T85+X85-'Syn prin concurents'!J87</f>
        <v>0</v>
      </c>
      <c r="AP85" s="35">
        <f>AA85-'Syn prin concurents'!M87</f>
        <v>0</v>
      </c>
      <c r="AQ85" s="35">
        <f>AB85-'Syn prin concurents'!N87</f>
        <v>-136857.53476000018</v>
      </c>
      <c r="AR85" s="35">
        <f>AE85-'Syn prin concurents'!Q87</f>
        <v>0</v>
      </c>
      <c r="AS85" s="35">
        <f>AF85-'Syn prin concurents'!R87</f>
        <v>28185.949130000008</v>
      </c>
      <c r="AT85" s="35">
        <f>AI85-'Syn prin concurents'!U87</f>
        <v>0</v>
      </c>
      <c r="AU85" s="35">
        <f>AJ85-'Syn prin concurents'!V87</f>
        <v>-108671.58562999591</v>
      </c>
    </row>
    <row r="86" spans="1:47" ht="18.5" x14ac:dyDescent="0.45">
      <c r="A86" s="11" t="s">
        <v>67</v>
      </c>
      <c r="B86" s="12"/>
      <c r="C86" s="13">
        <f>C85/C$99</f>
        <v>0.16090967203047207</v>
      </c>
      <c r="D86" s="13">
        <f>D85/D$99</f>
        <v>0.14716975782334887</v>
      </c>
      <c r="E86" s="14">
        <f>(C86-D86)*100</f>
        <v>1.3739914207123198</v>
      </c>
      <c r="F86" s="15"/>
      <c r="G86" s="13">
        <f>G85/G$99</f>
        <v>0.33853170409669681</v>
      </c>
      <c r="H86" s="13">
        <f>H85/H$99</f>
        <v>0.39135730118043699</v>
      </c>
      <c r="I86" s="14">
        <f>(G86-H86)*100</f>
        <v>-5.2825597083740181</v>
      </c>
      <c r="J86" s="15"/>
      <c r="K86" s="13">
        <f>K85/K$99</f>
        <v>0.2788634851392004</v>
      </c>
      <c r="L86" s="13">
        <f>L85/L$99</f>
        <v>0.33554604986490677</v>
      </c>
      <c r="M86" s="14">
        <f>(K86-L86)*100</f>
        <v>-5.6682564725706372</v>
      </c>
      <c r="N86" s="15"/>
      <c r="O86" s="13">
        <f>O85/O$99</f>
        <v>0.2827740522213909</v>
      </c>
      <c r="P86" s="13">
        <f>P85/P$99</f>
        <v>0.30325952748290069</v>
      </c>
      <c r="Q86" s="14">
        <f>(O86-P86)*100</f>
        <v>-2.0485475261509789</v>
      </c>
      <c r="R86" s="15"/>
      <c r="S86" s="13">
        <f>S85/S$99</f>
        <v>0.33081285591727505</v>
      </c>
      <c r="T86" s="13">
        <f>T85/T$99</f>
        <v>0.33031103324461308</v>
      </c>
      <c r="U86" s="14">
        <f>(S86-T86)*100</f>
        <v>5.0182267266196678E-2</v>
      </c>
      <c r="V86" s="15"/>
      <c r="W86" s="13">
        <f>W85/W$99</f>
        <v>0.45140401246535816</v>
      </c>
      <c r="X86" s="13">
        <f>X85/X$99</f>
        <v>0.49076957867092325</v>
      </c>
      <c r="Y86" s="14">
        <f>(W86-X86)*100</f>
        <v>-3.9365566205565083</v>
      </c>
      <c r="Z86" s="15"/>
      <c r="AA86" s="13">
        <f>AA85/AA$99</f>
        <v>0.98354357826769856</v>
      </c>
      <c r="AB86" s="13">
        <f>AB85/AB$99</f>
        <v>0.98397500095550983</v>
      </c>
      <c r="AC86" s="14">
        <f>(AA86-AB86)*100</f>
        <v>-4.3142268781126702E-2</v>
      </c>
      <c r="AD86" s="15"/>
      <c r="AE86" s="13">
        <f>AE85/AE$99</f>
        <v>0.36432123366621355</v>
      </c>
      <c r="AF86" s="13">
        <f>AF85/AF$99</f>
        <v>0.62780628258849014</v>
      </c>
      <c r="AG86" s="14">
        <f>(AE86-AF86)*100</f>
        <v>-26.348504892227659</v>
      </c>
      <c r="AH86" s="15"/>
      <c r="AI86" s="13">
        <f>AI85/AI$99</f>
        <v>0.29311789444607</v>
      </c>
      <c r="AJ86" s="13">
        <f>AJ85/AJ$99</f>
        <v>0.31274779819793386</v>
      </c>
      <c r="AK86" s="14">
        <f>(AI86-AJ86)*100</f>
        <v>-1.9629903751863853</v>
      </c>
      <c r="AL86" s="35">
        <f>C86+G86-'Syn prin concurents'!E88</f>
        <v>0.2336217809411219</v>
      </c>
      <c r="AM86" s="35">
        <f>D86+H86-'Syn prin concurents'!F88</f>
        <v>0.26908782460157016</v>
      </c>
      <c r="AN86" s="35">
        <f>K86+O86+S86+W86-'Syn prin concurents'!I88</f>
        <v>1.0098566578986641</v>
      </c>
      <c r="AO86" s="35">
        <f>L86+P86+T86+X86-'Syn prin concurents'!J88</f>
        <v>1.1260001344472959</v>
      </c>
      <c r="AP86" s="35">
        <f>AA86-'Syn prin concurents'!M88</f>
        <v>0</v>
      </c>
      <c r="AQ86" s="35">
        <f>AB86-'Syn prin concurents'!N88</f>
        <v>3.6075425265967853E-3</v>
      </c>
      <c r="AR86" s="35">
        <f>AE86-'Syn prin concurents'!Q88</f>
        <v>0</v>
      </c>
      <c r="AS86" s="35">
        <f>AF86-'Syn prin concurents'!R88</f>
        <v>0.2717160636459181</v>
      </c>
      <c r="AT86" s="35">
        <f>AI86-'Syn prin concurents'!U88</f>
        <v>0</v>
      </c>
      <c r="AU86" s="35">
        <f>AJ86-'Syn prin concurents'!V88</f>
        <v>1.6802578695445158E-2</v>
      </c>
    </row>
    <row r="87" spans="1:47" ht="23.5" x14ac:dyDescent="0.55000000000000004">
      <c r="A87" s="16" t="s">
        <v>2</v>
      </c>
      <c r="B87" s="37"/>
      <c r="C87" s="17">
        <f>SOFAC!B70</f>
        <v>6553685.5465903068</v>
      </c>
      <c r="D87" s="17">
        <f>+'[2]Syn prin concurents par catégor'!$C$87</f>
        <v>5683623.4084401503</v>
      </c>
      <c r="E87" s="18">
        <f>IF(D87=0,0,C87/D87-1)</f>
        <v>0.15308229902391468</v>
      </c>
      <c r="F87" s="10"/>
      <c r="G87" s="17">
        <f>SOFAC!B71+SOFAC!B72</f>
        <v>10731041.328126684</v>
      </c>
      <c r="H87" s="17">
        <f>+'[2]Syn prin concurents par catégor'!$G$87</f>
        <v>9489446.1304420233</v>
      </c>
      <c r="I87" s="18">
        <f>IF(H87=0,0,G87/H87-1)</f>
        <v>0.13083958543182406</v>
      </c>
      <c r="J87" s="10"/>
      <c r="K87" s="17">
        <f>SOFAC!B79</f>
        <v>1054713.9369099964</v>
      </c>
      <c r="L87" s="17">
        <f>SOFAC!C79</f>
        <v>1063913.6399889935</v>
      </c>
      <c r="M87" s="18">
        <f>IF(L87=0,0,K87/L87-1)</f>
        <v>-8.6470393208721852E-3</v>
      </c>
      <c r="N87" s="10"/>
      <c r="O87" s="17">
        <f>SOFAC!B80</f>
        <v>1074751.3829100018</v>
      </c>
      <c r="P87" s="17">
        <f>+'[2]Syn prin concurents par catégor'!$O$87</f>
        <v>1085291.7278999947</v>
      </c>
      <c r="Q87" s="18">
        <f>IF(P87=0,0,O87/P87-1)</f>
        <v>-9.7119923786650464E-3</v>
      </c>
      <c r="R87" s="10"/>
      <c r="S87" s="17">
        <f>SOFAC!B81</f>
        <v>163091.42910999968</v>
      </c>
      <c r="T87" s="17">
        <f>+'[2]Syn prin concurents par catégor'!$S$87</f>
        <v>168034.19519000006</v>
      </c>
      <c r="U87" s="18">
        <f>IF(T87=0,0,S87/T87-1)</f>
        <v>-2.9415239406547444E-2</v>
      </c>
      <c r="V87" s="10"/>
      <c r="W87" s="17">
        <f>SOFAC!B82</f>
        <v>2366674.5741400048</v>
      </c>
      <c r="X87" s="17">
        <f>+'[2]Syn prin concurents par catégor'!$W$87</f>
        <v>2200627.3833500049</v>
      </c>
      <c r="Y87" s="18">
        <f>IF(X87=0,0,W87/X87-1)</f>
        <v>7.545447813942352E-2</v>
      </c>
      <c r="Z87" s="10"/>
      <c r="AA87" s="17">
        <f>SOFAC!B75-SOFAC!B69</f>
        <v>4745.1359900012612</v>
      </c>
      <c r="AB87" s="17">
        <f>'[3]Syn prin concurents par catégor'!AA87</f>
        <v>3115.8949900008738</v>
      </c>
      <c r="AC87" s="18">
        <f>IF(AB87=0,0,AA87/AB87-1)</f>
        <v>0.52288058655016822</v>
      </c>
      <c r="AD87" s="10"/>
      <c r="AE87" s="17">
        <f>SOFAC!B83</f>
        <v>0</v>
      </c>
      <c r="AF87" s="17">
        <f>'[3]Syn prin concurents par catégor'!AE87</f>
        <v>0</v>
      </c>
      <c r="AG87" s="18">
        <f>IF(AF87=0,0,AE87/AF87-1)</f>
        <v>0</v>
      </c>
      <c r="AH87" s="10"/>
      <c r="AI87" s="17">
        <f>AE87+AA87+K87+G87+C87+O87+S87+W87</f>
        <v>21948703.333776992</v>
      </c>
      <c r="AJ87" s="17">
        <f>AF87+AB87+L87+H87+D87+P87+T87+X87</f>
        <v>19694052.38030117</v>
      </c>
      <c r="AK87" s="18">
        <f>IF(AJ87=0,0,AI87/AJ87-1)</f>
        <v>0.11448385075542</v>
      </c>
      <c r="AL87" s="35">
        <f>C87+G87-'Syn prin concurents'!E91</f>
        <v>0</v>
      </c>
      <c r="AM87" s="35">
        <f>D87+H87-'Syn prin concurents'!F91</f>
        <v>0</v>
      </c>
      <c r="AN87" s="35">
        <f>K87+O87+S87+W87-'Syn prin concurents'!I91</f>
        <v>0</v>
      </c>
      <c r="AO87" s="35">
        <f>L87+P87+T87+X87-'Syn prin concurents'!J91</f>
        <v>34371.441198999994</v>
      </c>
      <c r="AP87" s="35">
        <f>AA87-'Syn prin concurents'!M91</f>
        <v>0</v>
      </c>
      <c r="AQ87" s="35">
        <f>AB87-'Syn prin concurents'!N91</f>
        <v>-1770.4021899998188</v>
      </c>
      <c r="AR87" s="35">
        <f>AE87-'Syn prin concurents'!Q91</f>
        <v>0</v>
      </c>
      <c r="AS87" s="35">
        <f>AF87-'Syn prin concurents'!R91</f>
        <v>0</v>
      </c>
      <c r="AT87" s="35">
        <f>AI87-'Syn prin concurents'!U91</f>
        <v>0</v>
      </c>
      <c r="AU87" s="35">
        <f>AJ87-'Syn prin concurents'!V91</f>
        <v>32601.039009004831</v>
      </c>
    </row>
    <row r="88" spans="1:47" ht="18.5" x14ac:dyDescent="0.45">
      <c r="A88" s="19" t="s">
        <v>67</v>
      </c>
      <c r="B88" s="20"/>
      <c r="C88" s="21">
        <f>C87/C$99</f>
        <v>0.24973300542006777</v>
      </c>
      <c r="D88" s="21">
        <f>D87/D$99</f>
        <v>0.20477381571566688</v>
      </c>
      <c r="E88" s="22">
        <f>(C88-D88)*100</f>
        <v>4.4959189704400879</v>
      </c>
      <c r="F88" s="15"/>
      <c r="G88" s="21">
        <f>G87/G$99</f>
        <v>0.28341470740430258</v>
      </c>
      <c r="H88" s="21">
        <f>H87/H$99</f>
        <v>0.30689695118941218</v>
      </c>
      <c r="I88" s="22">
        <f>(G88-H88)*100</f>
        <v>-2.3482243785109604</v>
      </c>
      <c r="J88" s="15"/>
      <c r="K88" s="21">
        <f>K87/K$99</f>
        <v>6.5253119673298485E-2</v>
      </c>
      <c r="L88" s="21">
        <f>L87/L$99</f>
        <v>7.9329584501577496E-2</v>
      </c>
      <c r="M88" s="22">
        <f>(K88-L88)*100</f>
        <v>-1.4076464828279012</v>
      </c>
      <c r="N88" s="15"/>
      <c r="O88" s="21">
        <f>O87/O$99</f>
        <v>0.29241432140302548</v>
      </c>
      <c r="P88" s="21">
        <f>P87/P$99</f>
        <v>0.30207663166239196</v>
      </c>
      <c r="Q88" s="22">
        <f>(O88-P88)*100</f>
        <v>-0.966231025936648</v>
      </c>
      <c r="R88" s="15"/>
      <c r="S88" s="21">
        <f>S87/S$99</f>
        <v>0.10021674105957605</v>
      </c>
      <c r="T88" s="21">
        <f>T87/T$99</f>
        <v>9.8981544374380545E-2</v>
      </c>
      <c r="U88" s="22">
        <f>(S88-T88)*100</f>
        <v>0.12351966851955054</v>
      </c>
      <c r="V88" s="15"/>
      <c r="W88" s="21">
        <f>W87/W$99</f>
        <v>0.25618619155335115</v>
      </c>
      <c r="X88" s="21">
        <f>X87/X$99</f>
        <v>0.26372404241395186</v>
      </c>
      <c r="Y88" s="22">
        <f>(W88-X88)*100</f>
        <v>-0.75378508606007144</v>
      </c>
      <c r="Z88" s="15"/>
      <c r="AA88" s="21">
        <f>AA87/AA$99</f>
        <v>6.9288505924395638E-3</v>
      </c>
      <c r="AB88" s="21">
        <f>AB87/AB$99</f>
        <v>6.8409954367229242E-3</v>
      </c>
      <c r="AC88" s="22">
        <f>(AA88-AB88)*100</f>
        <v>8.7855155716639634E-3</v>
      </c>
      <c r="AD88" s="15"/>
      <c r="AE88" s="21">
        <f>AE87/AE$99</f>
        <v>0</v>
      </c>
      <c r="AF88" s="21">
        <f>AF87/AF$99</f>
        <v>0</v>
      </c>
      <c r="AG88" s="22">
        <f>(AE88-AF88)*100</f>
        <v>0</v>
      </c>
      <c r="AH88" s="15"/>
      <c r="AI88" s="21">
        <f>AI87/AI$99</f>
        <v>0.2291002946027145</v>
      </c>
      <c r="AJ88" s="21">
        <f>AJ87/AJ$99</f>
        <v>0.22792049318491403</v>
      </c>
      <c r="AK88" s="22">
        <f>(AI88-AJ88)*100</f>
        <v>0.1179801417800469</v>
      </c>
      <c r="AL88" s="35">
        <f>C88+G88-'Syn prin concurents'!E92</f>
        <v>0.26352108989632589</v>
      </c>
      <c r="AM88" s="35">
        <f>D88+H88-'Syn prin concurents'!F92</f>
        <v>0.25909010113223807</v>
      </c>
      <c r="AN88" s="35">
        <f>K88+O88+S88+W88-'Syn prin concurents'!I92</f>
        <v>0.56232541423491189</v>
      </c>
      <c r="AO88" s="35">
        <f>L88+P88+T88+X88-'Syn prin concurents'!J92</f>
        <v>0.59800249084373158</v>
      </c>
      <c r="AP88" s="35">
        <f>AA88-'Syn prin concurents'!M92</f>
        <v>0</v>
      </c>
      <c r="AQ88" s="35">
        <f>AB88-'Syn prin concurents'!N92</f>
        <v>-1.3472110076799861E-3</v>
      </c>
      <c r="AR88" s="35">
        <f>AE88-'Syn prin concurents'!Q92</f>
        <v>0</v>
      </c>
      <c r="AS88" s="35">
        <f>AF88-'Syn prin concurents'!R92</f>
        <v>0</v>
      </c>
      <c r="AT88" s="35">
        <f>AI88-'Syn prin concurents'!U92</f>
        <v>0</v>
      </c>
      <c r="AU88" s="35">
        <f>AJ88-'Syn prin concurents'!V92</f>
        <v>1.3464598654883975E-2</v>
      </c>
    </row>
    <row r="89" spans="1:47" ht="23.5" x14ac:dyDescent="0.55000000000000004">
      <c r="A89" s="6" t="s">
        <v>5</v>
      </c>
      <c r="B89" s="296"/>
      <c r="C89" s="297">
        <f>VIVALIS!$B$70</f>
        <v>7264896.1030000001</v>
      </c>
      <c r="D89" s="297">
        <f>+'[2]Syn prin concurents par catégor'!$C$89</f>
        <v>7313258.6140000001</v>
      </c>
      <c r="E89" s="298">
        <f>IF(D89=0,0,C89/D89-1)</f>
        <v>-6.6129906725052034E-3</v>
      </c>
      <c r="F89" s="10"/>
      <c r="G89" s="297">
        <f>VIVALIS!$B$71+VIVALIS!$B$72</f>
        <v>6141466.318</v>
      </c>
      <c r="H89" s="297">
        <f>+'[2]Syn prin concurents par catégor'!$G$89</f>
        <v>5884779.1519999998</v>
      </c>
      <c r="I89" s="298">
        <f>IF(H89=0,0,G89/H89-1)</f>
        <v>4.3618827379913183E-2</v>
      </c>
      <c r="J89" s="10"/>
      <c r="K89" s="297">
        <f>VIVALIS!$B$79</f>
        <v>4686770.5080000004</v>
      </c>
      <c r="L89" s="297">
        <f>+'[2]Syn prin concurents par catégor'!$K$89</f>
        <v>4771650.3590000002</v>
      </c>
      <c r="M89" s="298">
        <f>IF(L89=0,0,K89/L89-1)</f>
        <v>-1.7788363483067116E-2</v>
      </c>
      <c r="N89" s="10"/>
      <c r="O89" s="297">
        <f>VIVALIS!$B$80</f>
        <v>532688.473</v>
      </c>
      <c r="P89" s="297">
        <f>+'[2]Syn prin concurents par catégor'!$O$89</f>
        <v>542898.37100000004</v>
      </c>
      <c r="Q89" s="298">
        <f>IF(P89=0,0,O89/P89-1)</f>
        <v>-1.8806278569585277E-2</v>
      </c>
      <c r="R89" s="10"/>
      <c r="S89" s="297">
        <f>VIVALIS!$B$81</f>
        <v>99919.827000000005</v>
      </c>
      <c r="T89" s="297">
        <f>+'[2]Syn prin concurents par catégor'!$S$89</f>
        <v>99248.896999999997</v>
      </c>
      <c r="U89" s="298">
        <f>IF(T89=0,0,S89/T89-1)</f>
        <v>6.7600751270817661E-3</v>
      </c>
      <c r="V89" s="10"/>
      <c r="W89" s="297">
        <f>VIVALIS!$B$82</f>
        <v>750382.30700000003</v>
      </c>
      <c r="X89" s="297">
        <f>+'[2]Syn prin concurents par catégor'!$W$89</f>
        <v>729823.723</v>
      </c>
      <c r="Y89" s="298">
        <f>IF(X89=0,0,W89/X89-1)</f>
        <v>2.816924601394466E-2</v>
      </c>
      <c r="Z89" s="10"/>
      <c r="AA89" s="297">
        <f>VIVALIS!$B$75-VIVALIS!$B$69</f>
        <v>0</v>
      </c>
      <c r="AB89" s="297">
        <f>'[3]Syn prin concurents par catégor'!AA89</f>
        <v>0</v>
      </c>
      <c r="AC89" s="298">
        <f>IF(AB89=0,0,AA89/AB89-1)</f>
        <v>0</v>
      </c>
      <c r="AD89" s="10"/>
      <c r="AE89" s="297">
        <f>VIVALIS!$B$83</f>
        <v>0</v>
      </c>
      <c r="AF89" s="297">
        <f>'[3]Syn prin concurents par catégor'!AE89</f>
        <v>0</v>
      </c>
      <c r="AG89" s="298">
        <f>IF(AF89=0,0,AE89/AF89-1)</f>
        <v>0</v>
      </c>
      <c r="AH89" s="10"/>
      <c r="AI89" s="297">
        <f>AE89+AA89+K89+G89+C89+O89+S89+W89</f>
        <v>19476123.536000002</v>
      </c>
      <c r="AJ89" s="297">
        <f>AF89+AB89+L89+H89+D89+P89+T89+X89</f>
        <v>19341659.116</v>
      </c>
      <c r="AK89" s="298">
        <f>IF(AJ89=0,0,AI89/AJ89-1)</f>
        <v>6.9520623434402573E-3</v>
      </c>
      <c r="AL89" s="35">
        <f>C89+G89-'Syn prin concurents'!E89</f>
        <v>0</v>
      </c>
      <c r="AM89" s="35">
        <f>D89+H89-'Syn prin concurents'!F89</f>
        <v>0</v>
      </c>
      <c r="AN89" s="35">
        <f>K89+O89+S89+W89-'Syn prin concurents'!I89</f>
        <v>0</v>
      </c>
      <c r="AO89" s="35">
        <f>L89+P89+T89+X89-'Syn prin concurents'!J89</f>
        <v>0</v>
      </c>
      <c r="AP89" s="35">
        <f>AA89-'Syn prin concurents'!M89</f>
        <v>0</v>
      </c>
      <c r="AQ89" s="35">
        <f>AB89-'Syn prin concurents'!N89</f>
        <v>0</v>
      </c>
      <c r="AR89" s="35">
        <f>AE89-'Syn prin concurents'!Q89</f>
        <v>0</v>
      </c>
      <c r="AS89" s="35">
        <f>AF89-'Syn prin concurents'!R89</f>
        <v>0</v>
      </c>
      <c r="AT89" s="35">
        <f>AI89-'Syn prin concurents'!U89</f>
        <v>0</v>
      </c>
      <c r="AU89" s="35">
        <f>AJ89-'Syn prin concurents'!V89</f>
        <v>0</v>
      </c>
    </row>
    <row r="90" spans="1:47" ht="18.5" x14ac:dyDescent="0.45">
      <c r="A90" s="11" t="s">
        <v>67</v>
      </c>
      <c r="B90" s="299"/>
      <c r="C90" s="300">
        <f>C89/C$99</f>
        <v>0.27683420648869062</v>
      </c>
      <c r="D90" s="300">
        <f>D89/D$99</f>
        <v>0.26348752619330396</v>
      </c>
      <c r="E90" s="301">
        <f>(C90-D90)*100</f>
        <v>1.3346680295386659</v>
      </c>
      <c r="F90" s="15"/>
      <c r="G90" s="300">
        <f>G89/G$99</f>
        <v>0.16220065008855974</v>
      </c>
      <c r="H90" s="300">
        <f>H89/H$99</f>
        <v>0.19031888219251517</v>
      </c>
      <c r="I90" s="301">
        <f>(G90-H90)*100</f>
        <v>-2.8118232103955423</v>
      </c>
      <c r="J90" s="15"/>
      <c r="K90" s="300">
        <f>K89/K$99</f>
        <v>0.28996146361333947</v>
      </c>
      <c r="L90" s="300">
        <f>L89/L$99</f>
        <v>0.35579301377336336</v>
      </c>
      <c r="M90" s="301">
        <f>(K90-L90)*100</f>
        <v>-6.5831550160023902</v>
      </c>
      <c r="N90" s="15"/>
      <c r="O90" s="300">
        <f>O89/O$99</f>
        <v>0.1449318799011515</v>
      </c>
      <c r="P90" s="300">
        <f>P89/P$99</f>
        <v>0.15110859783664665</v>
      </c>
      <c r="Q90" s="301">
        <f>(O90-P90)*100</f>
        <v>-0.61767179354951518</v>
      </c>
      <c r="R90" s="15"/>
      <c r="S90" s="300">
        <f>S89/S$99</f>
        <v>6.139893116285574E-2</v>
      </c>
      <c r="T90" s="300">
        <f>T89/T$99</f>
        <v>5.8463154427620047E-2</v>
      </c>
      <c r="U90" s="301">
        <f>(S90-T90)*100</f>
        <v>0.29357767352356928</v>
      </c>
      <c r="V90" s="15"/>
      <c r="W90" s="300">
        <f>W89/W$99</f>
        <v>8.1226877383090271E-2</v>
      </c>
      <c r="X90" s="300">
        <f>X89/X$99</f>
        <v>8.7462359114227201E-2</v>
      </c>
      <c r="Y90" s="301">
        <f>(W90-X90)*100</f>
        <v>-0.62354817311369293</v>
      </c>
      <c r="Z90" s="15"/>
      <c r="AA90" s="300">
        <f>AA89/AA$99</f>
        <v>0</v>
      </c>
      <c r="AB90" s="300">
        <f>AB89/AB$99</f>
        <v>0</v>
      </c>
      <c r="AC90" s="301">
        <f>(AA90-AB90)*100</f>
        <v>0</v>
      </c>
      <c r="AD90" s="15"/>
      <c r="AE90" s="300">
        <f>AE89/AE$99</f>
        <v>0</v>
      </c>
      <c r="AF90" s="300">
        <f>AF89/AF$99</f>
        <v>0</v>
      </c>
      <c r="AG90" s="301">
        <f>(AE90-AF90)*100</f>
        <v>0</v>
      </c>
      <c r="AH90" s="15"/>
      <c r="AI90" s="300">
        <f>AI89/AI$99</f>
        <v>0.20329153717932327</v>
      </c>
      <c r="AJ90" s="300">
        <f>AJ89/AJ$99</f>
        <v>0.2238422240179801</v>
      </c>
      <c r="AK90" s="301">
        <f>(AI90-AJ90)*100</f>
        <v>-2.0550686838656822</v>
      </c>
      <c r="AL90" s="35">
        <f>C90+G90-'Syn prin concurents'!E90</f>
        <v>0.22990732731261124</v>
      </c>
      <c r="AM90" s="35">
        <f>D90+H90-'Syn prin concurents'!F90</f>
        <v>0.23410339066163033</v>
      </c>
      <c r="AN90" s="35">
        <f>K90+O90+S90+W90-'Syn prin concurents'!I90</f>
        <v>0.37983511569747963</v>
      </c>
      <c r="AO90" s="35">
        <f>L90+P90+T90+X90-'Syn prin concurents'!J90</f>
        <v>0.45261720227874847</v>
      </c>
      <c r="AP90" s="35">
        <f>AA90-'Syn prin concurents'!M90</f>
        <v>0</v>
      </c>
      <c r="AQ90" s="35">
        <f>AB90-'Syn prin concurents'!N90</f>
        <v>0</v>
      </c>
      <c r="AR90" s="35">
        <f>AE90-'Syn prin concurents'!Q90</f>
        <v>0</v>
      </c>
      <c r="AS90" s="35">
        <f>AF90-'Syn prin concurents'!R90</f>
        <v>0</v>
      </c>
      <c r="AT90" s="35">
        <f>AI90-'Syn prin concurents'!U90</f>
        <v>0</v>
      </c>
      <c r="AU90" s="35">
        <f>AJ90-'Syn prin concurents'!V90</f>
        <v>1.2874440642529378E-2</v>
      </c>
    </row>
    <row r="91" spans="1:47" ht="23.5" x14ac:dyDescent="0.55000000000000004">
      <c r="A91" s="6" t="s">
        <v>6</v>
      </c>
      <c r="B91" s="7"/>
      <c r="C91" s="8">
        <f>EQDOM!$B$70</f>
        <v>1533379.433</v>
      </c>
      <c r="D91" s="8">
        <f>+'[2]Syn prin concurents par catégor'!$C$91</f>
        <v>1402759.754</v>
      </c>
      <c r="E91" s="9">
        <f>IF(D91=0,0,C91/D91-1)</f>
        <v>9.3116215109205314E-2</v>
      </c>
      <c r="F91" s="10"/>
      <c r="G91" s="8">
        <f>EQDOM!$B$71+EQDOM!$B$72</f>
        <v>4662269.0989999995</v>
      </c>
      <c r="H91" s="8">
        <f>+'[2]Syn prin concurents par catégor'!$G$91</f>
        <v>4335992.3470000001</v>
      </c>
      <c r="I91" s="9">
        <f>IF(H91=0,0,G91/H91-1)</f>
        <v>7.5248461226123942E-2</v>
      </c>
      <c r="J91" s="10"/>
      <c r="K91" s="8">
        <f>EQDOM!$B$79</f>
        <v>3590843.12</v>
      </c>
      <c r="L91" s="8">
        <f>+'[2]Syn prin concurents par catégor'!$K$91</f>
        <v>3639755.2070000004</v>
      </c>
      <c r="M91" s="9">
        <f>IF(L91=0,0,K91/L91-1)</f>
        <v>-1.3438290274558118E-2</v>
      </c>
      <c r="N91" s="10"/>
      <c r="O91" s="8">
        <f>EQDOM!$B$80</f>
        <v>760728.01</v>
      </c>
      <c r="P91" s="8">
        <f>+'[2]Syn prin concurents par catégor'!$O$91</f>
        <v>766352.59899999993</v>
      </c>
      <c r="Q91" s="9">
        <f>IF(P91=0,0,O91/P91-1)</f>
        <v>-7.3394270566047304E-3</v>
      </c>
      <c r="R91" s="10"/>
      <c r="S91" s="8">
        <f>EQDOM!$B$81</f>
        <v>583672.01800000004</v>
      </c>
      <c r="T91" s="8">
        <f>+'[2]Syn prin concurents par catégor'!$S$91</f>
        <v>597948.20799999998</v>
      </c>
      <c r="U91" s="9">
        <f>IF(T91=0,0,S91/T91-1)</f>
        <v>-2.3875295232927529E-2</v>
      </c>
      <c r="V91" s="10"/>
      <c r="W91" s="8">
        <f>EQDOM!$B$82</f>
        <v>646721.72699999996</v>
      </c>
      <c r="X91" s="8">
        <f>+'[2]Syn prin concurents par catégor'!$W$91</f>
        <v>625958.81700000004</v>
      </c>
      <c r="Y91" s="9">
        <f>IF(X91=0,0,W91/X91-1)</f>
        <v>3.3169770016994393E-2</v>
      </c>
      <c r="Z91" s="10"/>
      <c r="AA91" s="8">
        <f>EQDOM!$B$75-EQDOM!$B$69</f>
        <v>6524.8370000002906</v>
      </c>
      <c r="AB91" s="8">
        <f>'[3]Syn prin concurents par catégor'!AA93</f>
        <v>0</v>
      </c>
      <c r="AC91" s="9">
        <f>IF(AB91=0,0,AA91/AB91-1)</f>
        <v>0</v>
      </c>
      <c r="AD91" s="10"/>
      <c r="AE91" s="8">
        <f>EQDOM!$B$83</f>
        <v>0</v>
      </c>
      <c r="AF91" s="8">
        <f>'[3]Syn prin concurents par catégor'!AE93</f>
        <v>0</v>
      </c>
      <c r="AG91" s="9">
        <f>IF(AF91=0,0,AE91/AF91-1)</f>
        <v>0</v>
      </c>
      <c r="AH91" s="10"/>
      <c r="AI91" s="8">
        <f>AE91+AA91+K91+G91+C91+O91+S91+W91</f>
        <v>11784138.243999999</v>
      </c>
      <c r="AJ91" s="8">
        <f>AF91+AB91+L91+H91+D91+P91+T91+X91</f>
        <v>11368766.932</v>
      </c>
      <c r="AK91" s="9">
        <f>IF(AJ91=0,0,AI91/AJ91-1)</f>
        <v>3.6536179735626506E-2</v>
      </c>
      <c r="AL91" s="35">
        <f>C91+G91-'Syn prin concurents'!E93</f>
        <v>0</v>
      </c>
      <c r="AM91" s="35">
        <f>D91+H91-'Syn prin concurents'!F93</f>
        <v>0</v>
      </c>
      <c r="AN91" s="35">
        <f>K91+O91+S91+W91-'Syn prin concurents'!I93</f>
        <v>0</v>
      </c>
      <c r="AO91" s="35">
        <f>L91+P91+T91+X91-'Syn prin concurents'!J93</f>
        <v>0</v>
      </c>
      <c r="AP91" s="35">
        <f>AA91-'Syn prin concurents'!M93</f>
        <v>0</v>
      </c>
      <c r="AQ91" s="35">
        <f>AB91-'Syn prin concurents'!N93</f>
        <v>-6829.3859999999995</v>
      </c>
      <c r="AR91" s="35">
        <f>AE91-'Syn prin concurents'!Q93</f>
        <v>0</v>
      </c>
      <c r="AS91" s="35">
        <f>AF91-'Syn prin concurents'!R93</f>
        <v>0</v>
      </c>
      <c r="AT91" s="35">
        <f>AI91-'Syn prin concurents'!U93</f>
        <v>0</v>
      </c>
      <c r="AU91" s="35">
        <f>AJ91-'Syn prin concurents'!V93</f>
        <v>-6829.3859999999404</v>
      </c>
    </row>
    <row r="92" spans="1:47" ht="18.5" x14ac:dyDescent="0.45">
      <c r="A92" s="11" t="s">
        <v>67</v>
      </c>
      <c r="B92" s="12"/>
      <c r="C92" s="13">
        <f>C91/C$99</f>
        <v>5.8430550494086443E-2</v>
      </c>
      <c r="D92" s="13">
        <f>D91/D$99</f>
        <v>5.0539672796122939E-2</v>
      </c>
      <c r="E92" s="14">
        <f>(C92-D92)*100</f>
        <v>0.78908776979635042</v>
      </c>
      <c r="F92" s="15"/>
      <c r="G92" s="13">
        <f>G91/G$99</f>
        <v>0.12313396175913109</v>
      </c>
      <c r="H92" s="13">
        <f>H91/H$99</f>
        <v>0.14022976824812208</v>
      </c>
      <c r="I92" s="14">
        <f>(G92-H92)*100</f>
        <v>-1.7095806488990992</v>
      </c>
      <c r="J92" s="15"/>
      <c r="K92" s="13">
        <f>K91/K$99</f>
        <v>0.22215854710697311</v>
      </c>
      <c r="L92" s="13">
        <f>L91/L$99</f>
        <v>0.27139446042044379</v>
      </c>
      <c r="M92" s="14">
        <f>(K92-L92)*100</f>
        <v>-4.9235913313470689</v>
      </c>
      <c r="N92" s="15"/>
      <c r="O92" s="13">
        <f>O91/O$99</f>
        <v>0.20697602101624973</v>
      </c>
      <c r="P92" s="13">
        <f>P91/P$99</f>
        <v>0.2133041336448584</v>
      </c>
      <c r="Q92" s="14">
        <f>(O92-P92)*100</f>
        <v>-0.6328112628608662</v>
      </c>
      <c r="R92" s="15"/>
      <c r="S92" s="13">
        <f>S91/S$99</f>
        <v>0.35865592576403377</v>
      </c>
      <c r="T92" s="13">
        <f>T91/T$99</f>
        <v>0.35222495645490826</v>
      </c>
      <c r="U92" s="14">
        <f>(S92-T92)*100</f>
        <v>0.64309693091255116</v>
      </c>
      <c r="V92" s="15"/>
      <c r="W92" s="13">
        <f>W91/W$99</f>
        <v>7.0005896900777242E-2</v>
      </c>
      <c r="X92" s="13">
        <f>X91/X$99</f>
        <v>7.5015148340376467E-2</v>
      </c>
      <c r="Y92" s="14">
        <f>(W92-X92)*100</f>
        <v>-0.50092514395992249</v>
      </c>
      <c r="Z92" s="15"/>
      <c r="AA92" s="13">
        <f>AA91/AA$99</f>
        <v>9.5275711398550636E-3</v>
      </c>
      <c r="AB92" s="13">
        <f>AB91/AB$99</f>
        <v>0</v>
      </c>
      <c r="AC92" s="14">
        <f>(AA92-AB92)*100</f>
        <v>0.95275711398550633</v>
      </c>
      <c r="AD92" s="15"/>
      <c r="AE92" s="13">
        <f>AE91/AE$99</f>
        <v>0</v>
      </c>
      <c r="AF92" s="13">
        <f>AF91/AF$99</f>
        <v>0</v>
      </c>
      <c r="AG92" s="14">
        <f>(AE92-AF92)*100</f>
        <v>0</v>
      </c>
      <c r="AH92" s="15"/>
      <c r="AI92" s="13">
        <f>AI91/AI$99</f>
        <v>0.12300268960239003</v>
      </c>
      <c r="AJ92" s="13">
        <f>AJ91/AJ$99</f>
        <v>0.13157144685151673</v>
      </c>
      <c r="AK92" s="14">
        <f>(AI92-AJ92)*100</f>
        <v>-0.85687572491267017</v>
      </c>
      <c r="AL92" s="35">
        <f>C92+G92-'Syn prin concurents'!E94</f>
        <v>8.4917813543978718E-2</v>
      </c>
      <c r="AM92" s="35">
        <f>D92+H92-'Syn prin concurents'!F94</f>
        <v>9.5238485843557485E-2</v>
      </c>
      <c r="AN92" s="35">
        <f>K92+O92+S92+W92-'Syn prin concurents'!I94</f>
        <v>0.67599922835946769</v>
      </c>
      <c r="AO92" s="35">
        <f>L92+P92+T92+X92-'Syn prin concurents'!J94</f>
        <v>0.72846631817928587</v>
      </c>
      <c r="AP92" s="35">
        <f>AA92-'Syn prin concurents'!M94</f>
        <v>0</v>
      </c>
      <c r="AQ92" s="35">
        <f>AB92-'Syn prin concurents'!N94</f>
        <v>-1.1444335126687298E-2</v>
      </c>
      <c r="AR92" s="35">
        <f>AE92-'Syn prin concurents'!Q94</f>
        <v>0</v>
      </c>
      <c r="AS92" s="35">
        <f>AF92-'Syn prin concurents'!R94</f>
        <v>0</v>
      </c>
      <c r="AT92" s="35">
        <f>AI92-'Syn prin concurents'!U94</f>
        <v>0</v>
      </c>
      <c r="AU92" s="35">
        <f>AJ92-'Syn prin concurents'!V94</f>
        <v>7.4929319015172996E-3</v>
      </c>
    </row>
    <row r="93" spans="1:47" ht="23.5" x14ac:dyDescent="0.55000000000000004">
      <c r="A93" s="6" t="s">
        <v>4</v>
      </c>
      <c r="B93" s="7"/>
      <c r="C93" s="8">
        <f>'RCI '!$B$70</f>
        <v>4976346.5329999998</v>
      </c>
      <c r="D93" s="8">
        <f>+'[2]Syn prin concurents par catégor'!$C$93</f>
        <v>4793522.7520000003</v>
      </c>
      <c r="E93" s="9">
        <f>IF(D93=0,0,C93/D93-1)</f>
        <v>3.8139754510129409E-2</v>
      </c>
      <c r="F93" s="10"/>
      <c r="G93" s="8">
        <f>'RCI '!$B$71+'RCI '!$B$72</f>
        <v>2164775.1940000001</v>
      </c>
      <c r="H93" s="8">
        <f>+'[2]Syn prin concurents par catégor'!$G$93</f>
        <v>2108233.202</v>
      </c>
      <c r="I93" s="9">
        <f>IF(H93=0,0,G93/H93-1)</f>
        <v>2.6819609873500072E-2</v>
      </c>
      <c r="J93" s="10"/>
      <c r="K93" s="8">
        <f>'RCI '!$B$79</f>
        <v>0</v>
      </c>
      <c r="L93" s="8">
        <f>+'[2]Syn prin concurents par catégor'!$K$93</f>
        <v>0</v>
      </c>
      <c r="M93" s="9">
        <f>IF(L93=0,0,K93/L93-1)</f>
        <v>0</v>
      </c>
      <c r="N93" s="10"/>
      <c r="O93" s="8">
        <f>'RCI '!$B$80</f>
        <v>0</v>
      </c>
      <c r="P93" s="8">
        <f>+'[2]Syn prin concurents par catégor'!$O$93</f>
        <v>0</v>
      </c>
      <c r="Q93" s="9">
        <f>IF(P93=0,0,O93/P93-1)</f>
        <v>0</v>
      </c>
      <c r="R93" s="10"/>
      <c r="S93" s="8">
        <f>'RCI '!$B$81</f>
        <v>0</v>
      </c>
      <c r="T93" s="8">
        <f>+'[2]Syn prin concurents par catégor'!$S$93</f>
        <v>0</v>
      </c>
      <c r="U93" s="9">
        <f>IF(T93=0,0,S93/T93-1)</f>
        <v>0</v>
      </c>
      <c r="V93" s="10"/>
      <c r="W93" s="8">
        <f>'RCI '!$B$82</f>
        <v>0</v>
      </c>
      <c r="X93" s="8">
        <f>+'[2]Syn prin concurents par catégor'!$W$93</f>
        <v>0</v>
      </c>
      <c r="Y93" s="9">
        <f>IF(X93=0,0,W93/X93-1)</f>
        <v>0</v>
      </c>
      <c r="Z93" s="10"/>
      <c r="AA93" s="8">
        <f>'RCI '!$B$75-'RCI '!$B$69</f>
        <v>0</v>
      </c>
      <c r="AB93" s="8">
        <f>'[3]Syn prin concurents par catégor'!AA91</f>
        <v>4183.0740999998525</v>
      </c>
      <c r="AC93" s="9">
        <f>IF(AB93=0,0,AA93/AB93-1)</f>
        <v>-1</v>
      </c>
      <c r="AD93" s="10"/>
      <c r="AE93" s="8">
        <f>'RCI '!$B$83</f>
        <v>0</v>
      </c>
      <c r="AF93" s="8">
        <f>'[3]Syn prin concurents par catégor'!AE91</f>
        <v>0</v>
      </c>
      <c r="AG93" s="9">
        <f>IF(AF93=0,0,AE93/AF93-1)</f>
        <v>0</v>
      </c>
      <c r="AH93" s="10"/>
      <c r="AI93" s="8">
        <f>AE93+AA93+K93+G93+C93+O93+S93+W93</f>
        <v>7141121.727</v>
      </c>
      <c r="AJ93" s="8">
        <f>AF93+AB93+L93+H93+D93+P93+T93+X93</f>
        <v>6905939.0281000007</v>
      </c>
      <c r="AK93" s="9">
        <f>IF(AJ93=0,0,AI93/AJ93-1)</f>
        <v>3.4055136881899761E-2</v>
      </c>
      <c r="AL93" s="35">
        <f>C93+G93-'Syn prin concurents'!E95</f>
        <v>0</v>
      </c>
      <c r="AM93" s="35">
        <f>D93+H93-'Syn prin concurents'!F95</f>
        <v>0</v>
      </c>
      <c r="AN93" s="35">
        <f>K93+O93+S93+W93-'Syn prin concurents'!I95</f>
        <v>0</v>
      </c>
      <c r="AO93" s="35">
        <f>L93+P93+T93+X93-'Syn prin concurents'!J95</f>
        <v>0</v>
      </c>
      <c r="AP93" s="35">
        <f>AA93-'Syn prin concurents'!M95</f>
        <v>0</v>
      </c>
      <c r="AQ93" s="35">
        <f>AB93-'Syn prin concurents'!N95</f>
        <v>4183.0740999998525</v>
      </c>
      <c r="AR93" s="35">
        <f>AE93-'Syn prin concurents'!Q95</f>
        <v>0</v>
      </c>
      <c r="AS93" s="35">
        <f>AF93-'Syn prin concurents'!R95</f>
        <v>0</v>
      </c>
      <c r="AT93" s="35">
        <f>AI93-'Syn prin concurents'!U95</f>
        <v>0</v>
      </c>
      <c r="AU93" s="35">
        <f>AJ93-'Syn prin concurents'!V95</f>
        <v>4183.0741000007838</v>
      </c>
    </row>
    <row r="94" spans="1:47" ht="18.5" x14ac:dyDescent="0.45">
      <c r="A94" s="11" t="s">
        <v>67</v>
      </c>
      <c r="B94" s="12"/>
      <c r="C94" s="13">
        <f>C93/C$99</f>
        <v>0.18962734279254448</v>
      </c>
      <c r="D94" s="13">
        <f>D93/D$99</f>
        <v>0.17270460657003622</v>
      </c>
      <c r="E94" s="14">
        <f>(C94-D94)*100</f>
        <v>1.6922736222508257</v>
      </c>
      <c r="F94" s="15"/>
      <c r="G94" s="13">
        <f>G93/G$99</f>
        <v>5.7173307738132263E-2</v>
      </c>
      <c r="H94" s="13">
        <f>H93/H$99</f>
        <v>6.818209758465156E-2</v>
      </c>
      <c r="I94" s="14">
        <f>(G94-H94)*100</f>
        <v>-1.1008789846519298</v>
      </c>
      <c r="J94" s="15"/>
      <c r="K94" s="13">
        <f>K93/K$99</f>
        <v>0</v>
      </c>
      <c r="L94" s="13">
        <f>L93/L$99</f>
        <v>0</v>
      </c>
      <c r="M94" s="14">
        <f>(K94-L94)*100</f>
        <v>0</v>
      </c>
      <c r="N94" s="15"/>
      <c r="O94" s="13">
        <f>O93/O$99</f>
        <v>0</v>
      </c>
      <c r="P94" s="13">
        <f>P93/P$99</f>
        <v>0</v>
      </c>
      <c r="Q94" s="14">
        <f>(O94-P94)*100</f>
        <v>0</v>
      </c>
      <c r="R94" s="15"/>
      <c r="S94" s="13">
        <f>S93/S$99</f>
        <v>0</v>
      </c>
      <c r="T94" s="13">
        <f>T93/T$99</f>
        <v>0</v>
      </c>
      <c r="U94" s="14">
        <f>(S94-T94)*100</f>
        <v>0</v>
      </c>
      <c r="V94" s="15"/>
      <c r="W94" s="13">
        <f>W93/W$99</f>
        <v>0</v>
      </c>
      <c r="X94" s="13">
        <f>X93/X$99</f>
        <v>0</v>
      </c>
      <c r="Y94" s="14">
        <f>(W94-X94)*100</f>
        <v>0</v>
      </c>
      <c r="Z94" s="15"/>
      <c r="AA94" s="13">
        <f>AA93/AA$99</f>
        <v>0</v>
      </c>
      <c r="AB94" s="13">
        <f>AB93/AB$99</f>
        <v>9.1840036077611275E-3</v>
      </c>
      <c r="AC94" s="14">
        <f>(AA94-AB94)*100</f>
        <v>-0.91840036077611276</v>
      </c>
      <c r="AD94" s="15"/>
      <c r="AE94" s="13">
        <f>AE93/AE$99</f>
        <v>0</v>
      </c>
      <c r="AF94" s="13">
        <f>AF93/AF$99</f>
        <v>0</v>
      </c>
      <c r="AG94" s="14">
        <f>(AE94-AF94)*100</f>
        <v>0</v>
      </c>
      <c r="AH94" s="15"/>
      <c r="AI94" s="13">
        <f>AI93/AI$99</f>
        <v>7.4538940481820817E-2</v>
      </c>
      <c r="AJ94" s="13">
        <f>AJ93/AJ$99</f>
        <v>7.9922861927791203E-2</v>
      </c>
      <c r="AK94" s="14">
        <f>(AI94-AJ94)*100</f>
        <v>-0.53839214459703855</v>
      </c>
      <c r="AL94" s="35">
        <f>C94+G94-'Syn prin concurents'!E96</f>
        <v>0.1354053968408136</v>
      </c>
      <c r="AM94" s="35">
        <f>D94+H94-'Syn prin concurents'!F96</f>
        <v>0.12599563946960379</v>
      </c>
      <c r="AN94" s="35">
        <f>K94+O94+S94+W94-'Syn prin concurents'!I96</f>
        <v>0</v>
      </c>
      <c r="AO94" s="35">
        <f>L94+P94+T94+X94-'Syn prin concurents'!J96</f>
        <v>0</v>
      </c>
      <c r="AP94" s="35">
        <f>AA94-'Syn prin concurents'!M96</f>
        <v>0</v>
      </c>
      <c r="AQ94" s="35">
        <f>AB94-'Syn prin concurents'!N96</f>
        <v>9.1840036077611275E-3</v>
      </c>
      <c r="AR94" s="35">
        <f>AE94-'Syn prin concurents'!Q96</f>
        <v>0</v>
      </c>
      <c r="AS94" s="35">
        <f>AF94-'Syn prin concurents'!R96</f>
        <v>0</v>
      </c>
      <c r="AT94" s="35">
        <f>AI94-'Syn prin concurents'!U96</f>
        <v>0</v>
      </c>
      <c r="AU94" s="35">
        <f>AJ94-'Syn prin concurents'!V96</f>
        <v>4.642445378147203E-3</v>
      </c>
    </row>
    <row r="95" spans="1:47" ht="23.5" x14ac:dyDescent="0.55000000000000004">
      <c r="A95" s="6" t="s">
        <v>7</v>
      </c>
      <c r="B95" s="7"/>
      <c r="C95" s="8">
        <f>SALAFIN!$B$70</f>
        <v>422824.3</v>
      </c>
      <c r="D95" s="8">
        <f>+'[2]Syn prin concurents par catégor'!$C$95</f>
        <v>423557.11900000001</v>
      </c>
      <c r="E95" s="9">
        <f>IF(D95=0,0,C95/D95-1)</f>
        <v>-1.7301538969057839E-3</v>
      </c>
      <c r="F95" s="10"/>
      <c r="G95" s="8">
        <f>SALAFIN!$B$71+SALAFIN!$B$72</f>
        <v>1337717.5289999999</v>
      </c>
      <c r="H95" s="8">
        <f>+'[2]Syn prin concurents par catégor'!$G$95</f>
        <v>1322163.9850000001</v>
      </c>
      <c r="I95" s="9">
        <f>IF(H95=0,0,G95/H95-1)</f>
        <v>1.1763702669604692E-2</v>
      </c>
      <c r="J95" s="10"/>
      <c r="K95" s="8">
        <f>SALAFIN!$B$79</f>
        <v>441069.23</v>
      </c>
      <c r="L95" s="8">
        <f>+'[2]Syn prin concurents par catégor'!$K$95</f>
        <v>461017.43700000003</v>
      </c>
      <c r="M95" s="9">
        <f>IF(L95=0,0,K95/L95-1)</f>
        <v>-4.3269962042672305E-2</v>
      </c>
      <c r="N95" s="10"/>
      <c r="O95" s="8">
        <f>SALAFIN!$B$80</f>
        <v>198272.16400000002</v>
      </c>
      <c r="P95" s="8">
        <f>+'[2]Syn prin concurents par catégor'!$O$95</f>
        <v>207408.91399999999</v>
      </c>
      <c r="Q95" s="9">
        <f>IF(P95=0,0,O95/P95-1)</f>
        <v>-4.4051867510380815E-2</v>
      </c>
      <c r="R95" s="10"/>
      <c r="S95" s="8">
        <f>SALAFIN!$B$81</f>
        <v>21767.944</v>
      </c>
      <c r="T95" s="8">
        <f>+'[2]Syn prin concurents par catégor'!$S$95</f>
        <v>23068.938999999998</v>
      </c>
      <c r="U95" s="9">
        <f>IF(T95=0,0,S95/T95-1)</f>
        <v>-5.6395961686837803E-2</v>
      </c>
      <c r="V95" s="10"/>
      <c r="W95" s="8">
        <f>SALAFIN!$B$82</f>
        <v>848257.00300000003</v>
      </c>
      <c r="X95" s="8">
        <f>+'[2]Syn prin concurents par catégor'!$W$95</f>
        <v>860827.30799999996</v>
      </c>
      <c r="Y95" s="9">
        <f>IF(X95=0,0,W95/X95-1)</f>
        <v>-1.4602586236727388E-2</v>
      </c>
      <c r="Z95" s="10"/>
      <c r="AA95" s="8">
        <f>SALAFIN!$B$75-SALAFIN!$B$69</f>
        <v>0</v>
      </c>
      <c r="AB95" s="8">
        <f>'[3]Syn prin concurents par catégor'!AA95</f>
        <v>0</v>
      </c>
      <c r="AC95" s="9">
        <f>IF(AB95=0,0,AA95/AB95-1)</f>
        <v>0</v>
      </c>
      <c r="AD95" s="10"/>
      <c r="AE95" s="8">
        <f>SALAFIN!$B$83</f>
        <v>196073.63500000001</v>
      </c>
      <c r="AF95" s="8">
        <f>'[3]Syn prin concurents par catégor'!AE95</f>
        <v>85419.978820000004</v>
      </c>
      <c r="AG95" s="9">
        <f>IF(AF95=0,0,AE95/AF95-1)</f>
        <v>1.2954072069389446</v>
      </c>
      <c r="AH95" s="10"/>
      <c r="AI95" s="8">
        <f>AE95+AA95+K95+G95+C95+O95+S95+W95</f>
        <v>3465981.8049999997</v>
      </c>
      <c r="AJ95" s="8">
        <f>AF95+AB95+L95+H95+D95+P95+T95+X95</f>
        <v>3383463.6808199994</v>
      </c>
      <c r="AK95" s="9">
        <f>IF(AJ95=0,0,AI95/AJ95-1)</f>
        <v>2.4388653747866362E-2</v>
      </c>
      <c r="AL95" s="35">
        <f>C95+G95-'Syn prin concurents'!E97</f>
        <v>0</v>
      </c>
      <c r="AM95" s="35">
        <f>D95+H95-'Syn prin concurents'!F97</f>
        <v>0</v>
      </c>
      <c r="AN95" s="35">
        <f>K95+O95+S95+W95-'Syn prin concurents'!I97</f>
        <v>0</v>
      </c>
      <c r="AO95" s="35">
        <f>L95+P95+T95+X95-'Syn prin concurents'!J97</f>
        <v>0</v>
      </c>
      <c r="AP95" s="35">
        <f>AA95-'Syn prin concurents'!M97</f>
        <v>0</v>
      </c>
      <c r="AQ95" s="35">
        <f>AB95-'Syn prin concurents'!N97</f>
        <v>0</v>
      </c>
      <c r="AR95" s="35">
        <f>AE95-'Syn prin concurents'!Q97</f>
        <v>0</v>
      </c>
      <c r="AS95" s="35">
        <f>AF95-'Syn prin concurents'!R97</f>
        <v>-55958.798179999998</v>
      </c>
      <c r="AT95" s="35">
        <f>AI95-'Syn prin concurents'!U97</f>
        <v>0</v>
      </c>
      <c r="AU95" s="35">
        <f>AJ95-'Syn prin concurents'!V97</f>
        <v>-55958.798180000857</v>
      </c>
    </row>
    <row r="96" spans="1:47" ht="18.5" x14ac:dyDescent="0.45">
      <c r="A96" s="11" t="s">
        <v>67</v>
      </c>
      <c r="B96" s="12"/>
      <c r="C96" s="13">
        <f>C95/C$99</f>
        <v>1.6112030773062256E-2</v>
      </c>
      <c r="D96" s="13">
        <f>D95/D$99</f>
        <v>1.5260231228966744E-2</v>
      </c>
      <c r="E96" s="14">
        <f>(C96-D96)*100</f>
        <v>8.5179954409551201E-2</v>
      </c>
      <c r="F96" s="15"/>
      <c r="G96" s="13">
        <f>G95/G$99</f>
        <v>3.533010548355852E-2</v>
      </c>
      <c r="H96" s="13">
        <f>H95/H$99</f>
        <v>4.2759934604322668E-2</v>
      </c>
      <c r="I96" s="14">
        <f>(G96-H96)*100</f>
        <v>-0.74298291207641476</v>
      </c>
      <c r="J96" s="15"/>
      <c r="K96" s="13">
        <f>K95/K$99</f>
        <v>2.728810366697149E-2</v>
      </c>
      <c r="L96" s="13">
        <f>L95/L$99</f>
        <v>3.4375272908025251E-2</v>
      </c>
      <c r="M96" s="14">
        <f>(K96-L96)*100</f>
        <v>-0.70871692410537612</v>
      </c>
      <c r="N96" s="15"/>
      <c r="O96" s="13">
        <f>O95/O$99</f>
        <v>5.394514602269123E-2</v>
      </c>
      <c r="P96" s="13">
        <f>P95/P$99</f>
        <v>5.772953437976263E-2</v>
      </c>
      <c r="Q96" s="14">
        <f>(O96-P96)*100</f>
        <v>-0.37843883570713999</v>
      </c>
      <c r="R96" s="15"/>
      <c r="S96" s="13">
        <f>S95/S$99</f>
        <v>1.3376008899744177E-2</v>
      </c>
      <c r="T96" s="13">
        <f>T95/T$99</f>
        <v>1.3588896038193217E-2</v>
      </c>
      <c r="U96" s="14">
        <f>(S96-T96)*100</f>
        <v>-2.1288713844904057E-2</v>
      </c>
      <c r="V96" s="15"/>
      <c r="W96" s="13">
        <f>W95/W$99</f>
        <v>9.1821551400236623E-2</v>
      </c>
      <c r="X96" s="13">
        <f>X95/X$99</f>
        <v>0.10316187974562381</v>
      </c>
      <c r="Y96" s="14">
        <f>(W96-X96)*100</f>
        <v>-1.1340328345387187</v>
      </c>
      <c r="Z96" s="15"/>
      <c r="AA96" s="13">
        <f>AA95/AA$99</f>
        <v>0</v>
      </c>
      <c r="AB96" s="13">
        <f>AB95/AB$99</f>
        <v>0</v>
      </c>
      <c r="AC96" s="14">
        <f>(AA96-AB96)*100</f>
        <v>0</v>
      </c>
      <c r="AD96" s="15"/>
      <c r="AE96" s="13">
        <f>AE95/AE$99</f>
        <v>0.63545704594346408</v>
      </c>
      <c r="AF96" s="13">
        <f>AF95/AF$99</f>
        <v>0.37188570415437944</v>
      </c>
      <c r="AG96" s="14">
        <f>(AE96-AF96)*100</f>
        <v>26.357134178908463</v>
      </c>
      <c r="AH96" s="15"/>
      <c r="AI96" s="13">
        <f>AI95/AI$99</f>
        <v>3.6177875318546417E-2</v>
      </c>
      <c r="AJ96" s="13">
        <f>AJ95/AJ$99</f>
        <v>3.915703563259975E-2</v>
      </c>
      <c r="AK96" s="14">
        <f>(AI96-AJ96)*100</f>
        <v>-0.29791603140533335</v>
      </c>
      <c r="AL96" s="35">
        <f>C96+G96-'Syn prin concurents'!E98</f>
        <v>2.3979223401967703E-2</v>
      </c>
      <c r="AM96" s="35">
        <f>D96+H96-'Syn prin concurents'!F98</f>
        <v>2.8959770534099115E-2</v>
      </c>
      <c r="AN96" s="35">
        <f>K96+O96+S96+W96-'Syn prin concurents'!I98</f>
        <v>0.13727275829929</v>
      </c>
      <c r="AO96" s="35">
        <f>L96+P96+T96+X96-'Syn prin concurents'!J98</f>
        <v>0.15826809241843112</v>
      </c>
      <c r="AP96" s="35">
        <f>AA96-'Syn prin concurents'!M98</f>
        <v>0</v>
      </c>
      <c r="AQ96" s="35">
        <f>AB96-'Syn prin concurents'!N98</f>
        <v>0</v>
      </c>
      <c r="AR96" s="35">
        <f>AE96-'Syn prin concurents'!Q98</f>
        <v>0</v>
      </c>
      <c r="AS96" s="35">
        <f>AF96-'Syn prin concurents'!R98</f>
        <v>-6.2045399562030479E-2</v>
      </c>
      <c r="AT96" s="35">
        <f>AI96-'Syn prin concurents'!U98</f>
        <v>0</v>
      </c>
      <c r="AU96" s="35">
        <f>AJ96-'Syn prin concurents'!V98</f>
        <v>1.6417773946917347E-3</v>
      </c>
    </row>
    <row r="97" spans="1:47" ht="23.5" x14ac:dyDescent="0.55000000000000004">
      <c r="A97" s="6" t="s">
        <v>11</v>
      </c>
      <c r="B97" s="7"/>
      <c r="C97" s="8">
        <f>'AXA CREDIT'!$B$70</f>
        <v>12225.191999999999</v>
      </c>
      <c r="D97" s="8">
        <f>+'[2]Syn prin concurents par catégor'!$C$97</f>
        <v>12225.191999999999</v>
      </c>
      <c r="E97" s="9">
        <f>IF(D97=0,0,C97/D97-1)</f>
        <v>0</v>
      </c>
      <c r="F97" s="10"/>
      <c r="G97" s="8">
        <f>'AXA CREDIT'!$B$71+'AXA CREDIT'!$B$72</f>
        <v>8161.9619999999995</v>
      </c>
      <c r="H97" s="8">
        <f>+'[2]Syn prin concurents par catégor'!$G$97</f>
        <v>8161.9619999999995</v>
      </c>
      <c r="I97" s="9">
        <f>IF(H97=0,0,G97/H97-1)</f>
        <v>0</v>
      </c>
      <c r="J97" s="10"/>
      <c r="K97" s="8">
        <f>'AXA CREDIT'!$B$79</f>
        <v>1882545.7590000001</v>
      </c>
      <c r="L97" s="8">
        <f>+'[2]Syn prin concurents par catégor'!$K$97</f>
        <v>1882545.7590000001</v>
      </c>
      <c r="M97" s="9">
        <f>IF(L97=0,0,K97/L97-1)</f>
        <v>0</v>
      </c>
      <c r="N97" s="10"/>
      <c r="O97" s="8">
        <f>'AXA CREDIT'!$B$80</f>
        <v>69667.558000000005</v>
      </c>
      <c r="P97" s="8">
        <f>+'[2]Syn prin concurents par catégor'!$O$97</f>
        <v>69667.558000000005</v>
      </c>
      <c r="Q97" s="9">
        <f>IF(P97=0,0,O97/P97-1)</f>
        <v>0</v>
      </c>
      <c r="R97" s="10"/>
      <c r="S97" s="8">
        <f>'AXA CREDIT'!$B$81</f>
        <v>220560.43700000001</v>
      </c>
      <c r="T97" s="8">
        <f>+'[2]Syn prin concurents par catégor'!$S$97</f>
        <v>220560.43700000001</v>
      </c>
      <c r="U97" s="9">
        <f>IF(T97=0,0,S97/T97-1)</f>
        <v>0</v>
      </c>
      <c r="V97" s="10"/>
      <c r="W97" s="8">
        <f>'AXA CREDIT'!$B$82</f>
        <v>433414.36800000002</v>
      </c>
      <c r="X97" s="8">
        <f>+'[2]Syn prin concurents par catégor'!$W$97</f>
        <v>433414.36800000002</v>
      </c>
      <c r="Y97" s="9">
        <f>IF(X97=0,0,W97/X97-1)</f>
        <v>0</v>
      </c>
      <c r="Z97" s="10"/>
      <c r="AA97" s="8">
        <f>'AXA CREDIT'!$B$75-'AXA CREDIT'!$B$69</f>
        <v>0</v>
      </c>
      <c r="AB97" s="8">
        <f>'[3]Syn prin concurents par catégor'!AA97</f>
        <v>0</v>
      </c>
      <c r="AC97" s="9">
        <f>IF(AB97=0,0,AA97/AB97-1)</f>
        <v>0</v>
      </c>
      <c r="AD97" s="10"/>
      <c r="AE97" s="8">
        <f>'AXA CREDIT'!$B$83</f>
        <v>68.412999999999997</v>
      </c>
      <c r="AF97" s="8">
        <f>'[3]Syn prin concurents par catégor'!AE97</f>
        <v>70.74884999999999</v>
      </c>
      <c r="AG97" s="9">
        <f>IF(AF97=0,0,AE97/AF97-1)</f>
        <v>-3.3016084360381726E-2</v>
      </c>
      <c r="AH97" s="10"/>
      <c r="AI97" s="8">
        <f>AE97+AA97+K97+G97+C97+O97+S97+W97</f>
        <v>2626643.6890000002</v>
      </c>
      <c r="AJ97" s="8">
        <f>AF97+AB97+L97+H97+D97+P97+T97+X97</f>
        <v>2626646.0248500006</v>
      </c>
      <c r="AK97" s="9">
        <f>IF(AJ97=0,0,AI97/AJ97-1)</f>
        <v>-8.8928998365211953E-7</v>
      </c>
      <c r="AL97" s="35">
        <f>C97+G97-'Syn prin concurents'!E99</f>
        <v>0</v>
      </c>
      <c r="AM97" s="35">
        <f>D97+H97-'Syn prin concurents'!F99</f>
        <v>0</v>
      </c>
      <c r="AN97" s="35">
        <f>K97+O97+S97+W97-'Syn prin concurents'!I99</f>
        <v>0</v>
      </c>
      <c r="AO97" s="35">
        <f>L97+P97+T97+X97-'Syn prin concurents'!J99</f>
        <v>0</v>
      </c>
      <c r="AP97" s="35">
        <f>AA97-'Syn prin concurents'!M99</f>
        <v>0</v>
      </c>
      <c r="AQ97" s="35">
        <f>AB97-'Syn prin concurents'!N99</f>
        <v>0</v>
      </c>
      <c r="AR97" s="35">
        <f>AE97-'Syn prin concurents'!Q99</f>
        <v>0</v>
      </c>
      <c r="AS97" s="35">
        <f>AF97-'Syn prin concurents'!R99</f>
        <v>-68342.251149999996</v>
      </c>
      <c r="AT97" s="35">
        <f>AI97-'Syn prin concurents'!U99</f>
        <v>0</v>
      </c>
      <c r="AU97" s="35">
        <f>AJ97-'Syn prin concurents'!V99</f>
        <v>2.3358499999158084</v>
      </c>
    </row>
    <row r="98" spans="1:47" ht="19" thickBot="1" x14ac:dyDescent="0.5">
      <c r="A98" s="11" t="s">
        <v>67</v>
      </c>
      <c r="B98" s="12"/>
      <c r="C98" s="13">
        <f>C97/C$99</f>
        <v>4.6584992799750274E-4</v>
      </c>
      <c r="D98" s="13">
        <f>D97/D$99</f>
        <v>4.404583192438666E-4</v>
      </c>
      <c r="E98" s="14">
        <f>(C98-D98)*100</f>
        <v>2.5391608753636136E-3</v>
      </c>
      <c r="F98" s="15"/>
      <c r="G98" s="13">
        <f>G97/G$99</f>
        <v>2.1556342961907637E-4</v>
      </c>
      <c r="H98" s="13">
        <f>H97/H$99</f>
        <v>2.6396495844875596E-4</v>
      </c>
      <c r="I98" s="14">
        <f>(G98-H98)*100</f>
        <v>-4.8401528829679595E-3</v>
      </c>
      <c r="J98" s="15"/>
      <c r="K98" s="13">
        <f>K97/K$99</f>
        <v>0.11646947992588268</v>
      </c>
      <c r="L98" s="13">
        <f>L97/L$99</f>
        <v>0.14037001430700882</v>
      </c>
      <c r="M98" s="14">
        <f>(K98-L98)*100</f>
        <v>-2.3900534381126146</v>
      </c>
      <c r="N98" s="15"/>
      <c r="O98" s="13">
        <f>O97/O$99</f>
        <v>1.8954887632912056E-2</v>
      </c>
      <c r="P98" s="13">
        <f>P97/P$99</f>
        <v>1.9391045481849962E-2</v>
      </c>
      <c r="Q98" s="14">
        <f>(O98-P98)*100</f>
        <v>-4.361578489379056E-2</v>
      </c>
      <c r="R98" s="15"/>
      <c r="S98" s="13">
        <f>S97/S$99</f>
        <v>0.13553040968147773</v>
      </c>
      <c r="T98" s="13">
        <f>T97/T$99</f>
        <v>0.12992244023582813</v>
      </c>
      <c r="U98" s="14">
        <f>(S98-T98)*100</f>
        <v>0.5607969445649591</v>
      </c>
      <c r="V98" s="15"/>
      <c r="W98" s="13">
        <f>W97/W$99</f>
        <v>4.6915945908097702E-2</v>
      </c>
      <c r="X98" s="13">
        <f>X97/X$99</f>
        <v>5.1940546606871286E-2</v>
      </c>
      <c r="Y98" s="14">
        <f>(W98-X98)*100</f>
        <v>-0.50246006987735847</v>
      </c>
      <c r="Z98" s="15"/>
      <c r="AA98" s="13">
        <f>AA97/AA$99</f>
        <v>0</v>
      </c>
      <c r="AB98" s="13">
        <f>AB97/AB$99</f>
        <v>0</v>
      </c>
      <c r="AC98" s="14">
        <f>(AA98-AB98)*100</f>
        <v>0</v>
      </c>
      <c r="AD98" s="15"/>
      <c r="AE98" s="13">
        <f>AE97/AE$99</f>
        <v>2.2172039032239191E-4</v>
      </c>
      <c r="AF98" s="13">
        <f>AF97/AF$99</f>
        <v>3.0801325713045359E-4</v>
      </c>
      <c r="AG98" s="14">
        <f>(AE98-AF98)*100</f>
        <v>-8.6292866808061683E-3</v>
      </c>
      <c r="AH98" s="15"/>
      <c r="AI98" s="13">
        <f>AI97/AI$99</f>
        <v>2.7416874419191831E-2</v>
      </c>
      <c r="AJ98" s="13">
        <f>AJ97/AJ$99</f>
        <v>3.0398337825323231E-2</v>
      </c>
      <c r="AK98" s="14">
        <f>(AI98-AJ98)*100</f>
        <v>-0.29814634061313994</v>
      </c>
      <c r="AL98" s="35">
        <f>C98+G98-'Syn prin concurents'!E100</f>
        <v>3.6339158475452016E-4</v>
      </c>
      <c r="AM98" s="35">
        <f>D98+H98-'Syn prin concurents'!F100</f>
        <v>3.6504561140448649E-4</v>
      </c>
      <c r="AN98" s="35">
        <f>K98+O98+S98+W98-'Syn prin concurents'!I100</f>
        <v>0.2329906466977576</v>
      </c>
      <c r="AO98" s="35">
        <f>L98+P98+T98+X98-'Syn prin concurents'!J100</f>
        <v>0.25669291348181872</v>
      </c>
      <c r="AP98" s="35">
        <f>AA98-'Syn prin concurents'!M100</f>
        <v>0</v>
      </c>
      <c r="AQ98" s="35">
        <f>AB98-'Syn prin concurents'!N100</f>
        <v>0</v>
      </c>
      <c r="AR98" s="35">
        <f>AE98-'Syn prin concurents'!Q100</f>
        <v>0</v>
      </c>
      <c r="AS98" s="35">
        <f>AF98-'Syn prin concurents'!R100</f>
        <v>-0.20967066408388765</v>
      </c>
      <c r="AT98" s="35">
        <f>AI98-'Syn prin concurents'!U100</f>
        <v>0</v>
      </c>
      <c r="AU98" s="35">
        <f>AJ98-'Syn prin concurents'!V100</f>
        <v>1.748406944934177E-3</v>
      </c>
    </row>
    <row r="99" spans="1:47" ht="26.5" thickBot="1" x14ac:dyDescent="0.65">
      <c r="A99" s="23" t="s">
        <v>8</v>
      </c>
      <c r="B99" s="38"/>
      <c r="C99" s="24">
        <f>GLOBAL!B70</f>
        <v>26242768.894590307</v>
      </c>
      <c r="D99" s="24">
        <f>+'[2]Syn prin concurents par catégor'!$C$99</f>
        <v>27755616.061440155</v>
      </c>
      <c r="E99" s="25">
        <f>IF(D99=0,0,C99/D99-1)</f>
        <v>-5.4505984068269009E-2</v>
      </c>
      <c r="F99" s="3"/>
      <c r="G99" s="24">
        <f>GLOBAL!B71+GLOBAL!B72</f>
        <v>37863389.047126681</v>
      </c>
      <c r="H99" s="24">
        <f>+'[2]Syn prin concurents par catégor'!$G$99</f>
        <v>30920626.919442024</v>
      </c>
      <c r="I99" s="25">
        <f>IF(H99=0,0,G99/H99-1)</f>
        <v>0.22453497290894964</v>
      </c>
      <c r="J99" s="3"/>
      <c r="K99" s="24">
        <f>GLOBAL!B79</f>
        <v>16163425.475909997</v>
      </c>
      <c r="L99" s="24">
        <f>+'[2]Syn prin concurents par catégor'!$K$99</f>
        <v>13411309.874789994</v>
      </c>
      <c r="M99" s="25">
        <f>IF(L99=0,0,K99/L99-1)</f>
        <v>0.20520856104393737</v>
      </c>
      <c r="N99" s="3"/>
      <c r="O99" s="24">
        <f>GLOBAL!B80</f>
        <v>3675440.3059100024</v>
      </c>
      <c r="P99" s="24">
        <f>+'[2]Syn prin concurents par catégor'!$O$99</f>
        <v>3592769.5628999947</v>
      </c>
      <c r="Q99" s="25">
        <f>IF(P99=0,0,O99/P99-1)</f>
        <v>2.3010310447875826E-2</v>
      </c>
      <c r="R99" s="3"/>
      <c r="S99" s="24">
        <f>GLOBAL!B81</f>
        <v>1627387.0751099996</v>
      </c>
      <c r="T99" s="24">
        <f>+'[2]Syn prin concurents par catégor'!$S$99</f>
        <v>1697631.5761899999</v>
      </c>
      <c r="U99" s="25">
        <f>IF(T99=0,0,S99/T99-1)</f>
        <v>-4.1377942107821974E-2</v>
      </c>
      <c r="V99" s="3"/>
      <c r="W99" s="24">
        <f>GLOBAL!B82</f>
        <v>9238103.5831400044</v>
      </c>
      <c r="X99" s="24">
        <f>+'[2]Syn prin concurents par catégor'!$W$99</f>
        <v>8344432.1693500048</v>
      </c>
      <c r="Y99" s="25">
        <f>IF(X99=0,0,W99/X99-1)</f>
        <v>0.10709793017103686</v>
      </c>
      <c r="Z99" s="3"/>
      <c r="AA99" s="24">
        <f>GLOBAL!$B$75-GLOBAL!$B$69</f>
        <v>684837.3949900046</v>
      </c>
      <c r="AB99" s="24">
        <f>'[3]Syn prin concurents par catégor'!AA99</f>
        <v>455473.91733000427</v>
      </c>
      <c r="AC99" s="25">
        <f>IF(AB99=0,0,AA99/AB99-1)</f>
        <v>0.50357104750263826</v>
      </c>
      <c r="AD99" s="3"/>
      <c r="AE99" s="24">
        <f>GLOBAL!$B$83</f>
        <v>308555.29300000001</v>
      </c>
      <c r="AF99" s="24">
        <f>'[3]Syn prin concurents par catégor'!AE99</f>
        <v>229694.17180000001</v>
      </c>
      <c r="AG99" s="25">
        <f>IF(AF99=0,0,AE99/AF99-1)</f>
        <v>0.3433309630018222</v>
      </c>
      <c r="AH99" s="3"/>
      <c r="AI99" s="24">
        <f>AE99+AA99+K99+G99+C99+O99+S99+W99</f>
        <v>95803907.069776997</v>
      </c>
      <c r="AJ99" s="24">
        <f>AF99+AB99+L99+H99+D99+P99+T99+X99</f>
        <v>86407554.253242165</v>
      </c>
      <c r="AK99" s="25">
        <f>IF(AJ99=0,0,AI99/AJ99-1)</f>
        <v>0.10874457560731465</v>
      </c>
      <c r="AL99" s="35">
        <f>C99+G99-'Syn prin concurents'!E101</f>
        <v>0</v>
      </c>
      <c r="AM99" s="35">
        <f>D99+H99-'Syn prin concurents'!F101</f>
        <v>-1395930.3679999933</v>
      </c>
      <c r="AN99" s="35">
        <f>K99+O99+S99+W99-'Syn prin concurents'!I101</f>
        <v>0</v>
      </c>
      <c r="AO99" s="35">
        <f>L99+P99+T99+X99-'Syn prin concurents'!J101</f>
        <v>-3639755.2069999985</v>
      </c>
      <c r="AP99" s="35">
        <f>AA99-'Syn prin concurents'!M101</f>
        <v>0</v>
      </c>
      <c r="AQ99" s="35">
        <f>AB99-'Syn prin concurents'!N101</f>
        <v>-141274.24884999543</v>
      </c>
      <c r="AR99" s="35">
        <f>AE99-'Syn prin concurents'!Q101</f>
        <v>0</v>
      </c>
      <c r="AS99" s="35">
        <f>AF99-'Syn prin concurents'!R101</f>
        <v>-96115.100199999986</v>
      </c>
      <c r="AT99" s="35">
        <f>AI99-'Syn prin concurents'!U101</f>
        <v>0</v>
      </c>
      <c r="AU99" s="35">
        <f>AJ99-'Syn prin concurents'!V101</f>
        <v>-5273074.9240500033</v>
      </c>
    </row>
    <row r="100" spans="1:47" ht="14" x14ac:dyDescent="0.25">
      <c r="A100" s="221"/>
    </row>
    <row r="101" spans="1:47" ht="27.5" x14ac:dyDescent="0.25">
      <c r="A101" s="757" t="s">
        <v>56</v>
      </c>
      <c r="B101" s="757"/>
      <c r="C101" s="757"/>
      <c r="D101" s="757"/>
      <c r="E101" s="757"/>
      <c r="F101" s="757"/>
      <c r="G101" s="757"/>
      <c r="H101" s="757"/>
      <c r="I101" s="757"/>
      <c r="J101" s="757"/>
      <c r="K101" s="757"/>
      <c r="L101" s="757"/>
      <c r="M101" s="757"/>
      <c r="N101" s="757"/>
      <c r="O101" s="757"/>
      <c r="P101" s="757"/>
      <c r="Q101" s="757"/>
      <c r="R101" s="757"/>
      <c r="S101" s="757"/>
      <c r="T101" s="757"/>
      <c r="U101" s="757"/>
      <c r="V101" s="757"/>
      <c r="W101" s="757"/>
      <c r="X101" s="757"/>
      <c r="Y101" s="757"/>
      <c r="Z101" s="757"/>
      <c r="AA101" s="757"/>
      <c r="AB101" s="757"/>
      <c r="AC101" s="757"/>
      <c r="AD101" s="757"/>
      <c r="AE101" s="757"/>
      <c r="AF101" s="757"/>
      <c r="AG101" s="757"/>
      <c r="AH101" s="757"/>
      <c r="AI101" s="757"/>
      <c r="AJ101" s="757"/>
      <c r="AK101" s="757"/>
    </row>
    <row r="103" spans="1:47" ht="25" x14ac:dyDescent="0.5">
      <c r="C103" s="761" t="s">
        <v>72</v>
      </c>
      <c r="D103" s="761"/>
      <c r="E103" s="761"/>
      <c r="F103" s="3"/>
      <c r="G103" s="761" t="s">
        <v>73</v>
      </c>
      <c r="H103" s="761"/>
      <c r="I103" s="761"/>
      <c r="J103" s="3"/>
      <c r="K103" s="761" t="s">
        <v>74</v>
      </c>
      <c r="L103" s="761"/>
      <c r="M103" s="761"/>
      <c r="N103" s="3"/>
      <c r="O103" s="761" t="s">
        <v>75</v>
      </c>
      <c r="P103" s="761"/>
      <c r="Q103" s="761"/>
      <c r="R103" s="3"/>
      <c r="S103" s="761" t="s">
        <v>76</v>
      </c>
      <c r="T103" s="761"/>
      <c r="U103" s="761"/>
      <c r="V103" s="3"/>
      <c r="W103" s="761" t="s">
        <v>77</v>
      </c>
      <c r="X103" s="761"/>
      <c r="Y103" s="761"/>
      <c r="Z103" s="3"/>
      <c r="AA103" s="761" t="s">
        <v>59</v>
      </c>
      <c r="AB103" s="761"/>
      <c r="AC103" s="761"/>
      <c r="AD103" s="3"/>
      <c r="AE103" s="761" t="s">
        <v>60</v>
      </c>
      <c r="AF103" s="761"/>
      <c r="AG103" s="761"/>
      <c r="AH103" s="3"/>
      <c r="AI103" s="761" t="s">
        <v>61</v>
      </c>
      <c r="AJ103" s="761"/>
      <c r="AK103" s="761"/>
    </row>
    <row r="104" spans="1:47" ht="6.75" customHeight="1" x14ac:dyDescent="0.4">
      <c r="C104" s="562"/>
      <c r="D104" s="562"/>
      <c r="E104" s="562"/>
      <c r="G104" s="562"/>
      <c r="H104" s="562"/>
      <c r="I104" s="562"/>
      <c r="K104" s="562"/>
      <c r="L104" s="562"/>
      <c r="M104" s="562"/>
      <c r="O104" s="562"/>
      <c r="P104" s="562"/>
      <c r="Q104" s="562"/>
      <c r="S104" s="562"/>
      <c r="T104" s="562"/>
      <c r="U104" s="562"/>
      <c r="W104" s="562"/>
      <c r="X104" s="562"/>
      <c r="Y104" s="562"/>
      <c r="AA104" s="562"/>
      <c r="AB104" s="562"/>
      <c r="AC104" s="562"/>
      <c r="AE104" s="562"/>
      <c r="AF104" s="562"/>
      <c r="AG104" s="562"/>
      <c r="AI104" s="562"/>
      <c r="AJ104" s="562"/>
      <c r="AK104" s="562"/>
    </row>
    <row r="105" spans="1:47" ht="24.75" customHeight="1" x14ac:dyDescent="0.5">
      <c r="A105" s="4"/>
      <c r="B105" s="5"/>
      <c r="C105" s="559">
        <f>C82</f>
        <v>46082</v>
      </c>
      <c r="D105" s="558">
        <f>D82</f>
        <v>45992</v>
      </c>
      <c r="E105" s="560" t="s">
        <v>62</v>
      </c>
      <c r="F105" s="3"/>
      <c r="G105" s="559">
        <f>G82</f>
        <v>46082</v>
      </c>
      <c r="H105" s="558">
        <f>H82</f>
        <v>45992</v>
      </c>
      <c r="I105" s="560" t="s">
        <v>62</v>
      </c>
      <c r="J105" s="3"/>
      <c r="K105" s="559">
        <f>G105</f>
        <v>46082</v>
      </c>
      <c r="L105" s="558">
        <f>H105</f>
        <v>45992</v>
      </c>
      <c r="M105" s="560" t="s">
        <v>62</v>
      </c>
      <c r="N105" s="3"/>
      <c r="O105" s="559">
        <f>K105</f>
        <v>46082</v>
      </c>
      <c r="P105" s="558">
        <f>L105</f>
        <v>45992</v>
      </c>
      <c r="Q105" s="560" t="s">
        <v>62</v>
      </c>
      <c r="R105" s="3"/>
      <c r="S105" s="559">
        <f>O105</f>
        <v>46082</v>
      </c>
      <c r="T105" s="558">
        <f>P105</f>
        <v>45992</v>
      </c>
      <c r="U105" s="560" t="s">
        <v>62</v>
      </c>
      <c r="V105" s="3"/>
      <c r="W105" s="559">
        <f>S105</f>
        <v>46082</v>
      </c>
      <c r="X105" s="558">
        <f>T105</f>
        <v>45992</v>
      </c>
      <c r="Y105" s="560" t="s">
        <v>62</v>
      </c>
      <c r="Z105" s="3"/>
      <c r="AA105" s="559">
        <f>K105</f>
        <v>46082</v>
      </c>
      <c r="AB105" s="558">
        <f>L105</f>
        <v>45992</v>
      </c>
      <c r="AC105" s="560" t="s">
        <v>62</v>
      </c>
      <c r="AD105" s="3"/>
      <c r="AE105" s="559">
        <f>AA105</f>
        <v>46082</v>
      </c>
      <c r="AF105" s="558">
        <f>AB105</f>
        <v>45992</v>
      </c>
      <c r="AG105" s="560" t="s">
        <v>62</v>
      </c>
      <c r="AH105" s="3"/>
      <c r="AI105" s="559">
        <f>AE105</f>
        <v>46082</v>
      </c>
      <c r="AJ105" s="558">
        <f>AF105</f>
        <v>45992</v>
      </c>
      <c r="AK105" s="560" t="s">
        <v>62</v>
      </c>
    </row>
    <row r="106" spans="1:47" ht="6.75" customHeight="1" x14ac:dyDescent="0.4">
      <c r="C106" s="562"/>
      <c r="D106" s="562"/>
      <c r="E106" s="562"/>
      <c r="G106" s="562"/>
      <c r="H106" s="562"/>
      <c r="I106" s="562"/>
      <c r="K106" s="562"/>
      <c r="L106" s="562"/>
      <c r="M106" s="562"/>
      <c r="O106" s="562"/>
      <c r="P106" s="562"/>
      <c r="Q106" s="562"/>
      <c r="S106" s="562"/>
      <c r="T106" s="562"/>
      <c r="U106" s="562"/>
      <c r="W106" s="562"/>
      <c r="X106" s="562"/>
      <c r="Y106" s="562"/>
      <c r="AA106" s="562"/>
      <c r="AB106" s="562"/>
      <c r="AC106" s="562"/>
      <c r="AE106" s="562"/>
      <c r="AF106" s="562"/>
      <c r="AG106" s="562"/>
      <c r="AI106" s="562"/>
      <c r="AJ106" s="562"/>
      <c r="AK106" s="562"/>
    </row>
    <row r="107" spans="1:47" x14ac:dyDescent="0.25">
      <c r="A107" s="563"/>
      <c r="B107" s="563"/>
      <c r="C107" s="563"/>
      <c r="D107" s="563"/>
      <c r="E107" s="563"/>
      <c r="G107" s="563"/>
      <c r="H107" s="563"/>
      <c r="I107" s="563"/>
      <c r="K107" s="563"/>
      <c r="L107" s="563"/>
      <c r="M107" s="563"/>
      <c r="O107" s="563"/>
      <c r="P107" s="563"/>
      <c r="Q107" s="563"/>
      <c r="S107" s="563"/>
      <c r="T107" s="563"/>
      <c r="U107" s="563"/>
      <c r="W107" s="563"/>
      <c r="X107" s="563"/>
      <c r="Y107" s="563"/>
      <c r="AA107" s="563"/>
      <c r="AB107" s="563"/>
      <c r="AC107" s="563"/>
      <c r="AE107" s="563"/>
      <c r="AF107" s="563"/>
      <c r="AG107" s="563"/>
      <c r="AI107" s="563"/>
      <c r="AJ107" s="563"/>
      <c r="AK107" s="563"/>
    </row>
    <row r="108" spans="1:47" ht="23.5" x14ac:dyDescent="0.55000000000000004">
      <c r="A108" s="6" t="s">
        <v>10</v>
      </c>
      <c r="B108" s="7"/>
      <c r="C108" s="9">
        <f>IF(C85=0,0,C62/C85)</f>
        <v>0.25340385151645467</v>
      </c>
      <c r="D108" s="9">
        <f>IF(D85=0,0,D62/D85)</f>
        <v>0.2360196445029385</v>
      </c>
      <c r="E108" s="30">
        <f>(C108-D108)*100</f>
        <v>1.7384207013516173</v>
      </c>
      <c r="F108" s="304"/>
      <c r="G108" s="9">
        <f>IF(G85=0,0,G62/G85)</f>
        <v>2.230223406425233E-2</v>
      </c>
      <c r="H108" s="9">
        <f>IF(H85=0,0,H62/H85)</f>
        <v>2.1314765617216833E-2</v>
      </c>
      <c r="I108" s="30">
        <f>(G108-H108)*100</f>
        <v>9.8746844703549719E-2</v>
      </c>
      <c r="J108" s="304"/>
      <c r="K108" s="9">
        <f>IF(K85=0,0,K62/K85)</f>
        <v>5.7122960068528891E-2</v>
      </c>
      <c r="L108" s="9">
        <f>IF(L85=0,0,L62/L85)</f>
        <v>5.4052766506534976E-2</v>
      </c>
      <c r="M108" s="30">
        <f>(K108-L108)*100</f>
        <v>0.30701935619939158</v>
      </c>
      <c r="N108" s="304"/>
      <c r="O108" s="9">
        <f>IF(O85=0,0,O62/O85)</f>
        <v>3.6758626103212504E-2</v>
      </c>
      <c r="P108" s="9">
        <f>IF(P85=0,0,P62/P85)</f>
        <v>3.3683955711282618E-2</v>
      </c>
      <c r="Q108" s="30">
        <f>(O108-P108)*100</f>
        <v>0.30746703919298857</v>
      </c>
      <c r="R108" s="304"/>
      <c r="S108" s="9">
        <f>IF(S85=0,0,S62/S85)</f>
        <v>0.2961621134041233</v>
      </c>
      <c r="T108" s="9">
        <f>IF(T85=0,0,T62/T85)</f>
        <v>0.28040047476716928</v>
      </c>
      <c r="U108" s="30">
        <f>(S108-T108)*100</f>
        <v>1.5761638636954012</v>
      </c>
      <c r="V108" s="304"/>
      <c r="W108" s="9">
        <f>IF(W85=0,0,W62/W85)</f>
        <v>0.24142869947396739</v>
      </c>
      <c r="X108" s="9">
        <f>IF(X85=0,0,X62/X85)</f>
        <v>0.24791354325907719</v>
      </c>
      <c r="Y108" s="30">
        <f>(W108-X108)*100</f>
        <v>-0.64848437851098006</v>
      </c>
      <c r="Z108" s="304"/>
      <c r="AA108" s="9">
        <f>IF(AA85=0,0,AA62/AA85)</f>
        <v>0.10157856328152418</v>
      </c>
      <c r="AB108" s="9">
        <f>IF(AB85=0,0,AB62/AB85)</f>
        <v>9.6552639209158228E-2</v>
      </c>
      <c r="AC108" s="30">
        <f>(AA108-AB108)*100</f>
        <v>0.50259240723659482</v>
      </c>
      <c r="AD108" s="304"/>
      <c r="AE108" s="9">
        <f>IF(AE85=0,0,AE62/AE85)</f>
        <v>0.34146379281195915</v>
      </c>
      <c r="AF108" s="9">
        <f>IF(AF85=0,0,AF62/AF85)</f>
        <v>0.35573538662332083</v>
      </c>
      <c r="AG108" s="30">
        <f>(AE108-AF108)*100</f>
        <v>-1.4271593811361671</v>
      </c>
      <c r="AH108" s="304"/>
      <c r="AI108" s="9">
        <f>IF(AI85=0,0,AI62/AI85)</f>
        <v>0.10414680174057203</v>
      </c>
      <c r="AJ108" s="9">
        <f>IF(AJ85=0,0,AJ62/AJ85)</f>
        <v>0.10246615743181942</v>
      </c>
      <c r="AK108" s="30">
        <f>(AI108-AJ108)*100</f>
        <v>0.16806443087526157</v>
      </c>
      <c r="AT108" s="35">
        <f>AI108-'Syn prin concurents'!U114</f>
        <v>0</v>
      </c>
      <c r="AU108" s="35">
        <f>AJ108-'Syn prin concurents'!V114</f>
        <v>2.4247464951816788E-4</v>
      </c>
    </row>
    <row r="109" spans="1:47" ht="23.5" x14ac:dyDescent="0.55000000000000004">
      <c r="A109" s="16" t="s">
        <v>2</v>
      </c>
      <c r="B109" s="37"/>
      <c r="C109" s="307">
        <f>IF(C87=0,0,C64/C87)</f>
        <v>0.17827647362755569</v>
      </c>
      <c r="D109" s="307">
        <f>IF(D87=0,0,D64/D87)</f>
        <v>0.18105456189828956</v>
      </c>
      <c r="E109" s="308">
        <f>(C109-D109)*100</f>
        <v>-0.27780882707338639</v>
      </c>
      <c r="F109" s="304"/>
      <c r="G109" s="307">
        <f>IF(G87=0,0,G64/G87)</f>
        <v>4.3833618817318891E-2</v>
      </c>
      <c r="H109" s="307">
        <f>IF(H87=0,0,H64/H87)</f>
        <v>4.5784929311755471E-2</v>
      </c>
      <c r="I109" s="308">
        <f>(G109-H109)*100</f>
        <v>-0.19513104944365797</v>
      </c>
      <c r="J109" s="304"/>
      <c r="K109" s="307">
        <f>IF(K87=0,0,K64/K87)</f>
        <v>6.6645629729645231E-2</v>
      </c>
      <c r="L109" s="307">
        <f>IF(L87=0,0,L64/L87)</f>
        <v>6.3160917986440301E-2</v>
      </c>
      <c r="M109" s="308">
        <f>(K109-L109)*100</f>
        <v>0.34847117432049296</v>
      </c>
      <c r="N109" s="304"/>
      <c r="O109" s="307">
        <f>IF(O87=0,0,O64/O87)</f>
        <v>2.5343490469628777E-2</v>
      </c>
      <c r="P109" s="307">
        <f>IF(P87=0,0,P64/P87)</f>
        <v>2.2356254485554991E-2</v>
      </c>
      <c r="Q109" s="308">
        <f>(O109-P109)*100</f>
        <v>0.29872359840737855</v>
      </c>
      <c r="R109" s="304"/>
      <c r="S109" s="307">
        <f>IF(S87=0,0,S64/S87)</f>
        <v>0.42748650349355061</v>
      </c>
      <c r="T109" s="307">
        <f>IF(T87=0,0,T64/T87)</f>
        <v>0.50788432969552433</v>
      </c>
      <c r="U109" s="308">
        <f>(S109-T109)*100</f>
        <v>-8.0397826201973714</v>
      </c>
      <c r="V109" s="304"/>
      <c r="W109" s="307">
        <f>IF(W87=0,0,W64/W87)</f>
        <v>0.26068610598657704</v>
      </c>
      <c r="X109" s="307">
        <f>IF(X87=0,0,X64/X87)</f>
        <v>0.25343087774405731</v>
      </c>
      <c r="Y109" s="308">
        <f>(W109-X109)*100</f>
        <v>0.7255228242519729</v>
      </c>
      <c r="Z109" s="304"/>
      <c r="AA109" s="307">
        <f>IF(AA87=0,0,AA64/AA87)</f>
        <v>6.7782695939101245E-2</v>
      </c>
      <c r="AB109" s="307">
        <f>IF(AB87=0,0,AB64/AB87)</f>
        <v>4.0048028062695293E-2</v>
      </c>
      <c r="AC109" s="308">
        <f>(AA109-AB109)*100</f>
        <v>2.7734667876405954</v>
      </c>
      <c r="AD109" s="304"/>
      <c r="AE109" s="307">
        <f>IF(AE87=0,0,AE64/AE87)</f>
        <v>0</v>
      </c>
      <c r="AF109" s="307">
        <f>IF(AF87=0,0,AF64/AF87)</f>
        <v>0</v>
      </c>
      <c r="AG109" s="308">
        <f>(AE109-AF109)*100</f>
        <v>0</v>
      </c>
      <c r="AH109" s="304"/>
      <c r="AI109" s="307">
        <f>IF(AI87=0,0,AI64/AI87)</f>
        <v>0.11040645611036168</v>
      </c>
      <c r="AJ109" s="307">
        <f>IF(AJ87=0,0,AJ64/AJ87)</f>
        <v>0.11161512083255559</v>
      </c>
      <c r="AK109" s="308">
        <f>(AI109-AJ109)*100</f>
        <v>-0.1208664722193914</v>
      </c>
      <c r="AT109" s="35">
        <f>AI109-'Syn prin concurents'!U115</f>
        <v>0</v>
      </c>
      <c r="AU109" s="35">
        <f>AJ109-'Syn prin concurents'!V115</f>
        <v>-1.912695239521256E-4</v>
      </c>
    </row>
    <row r="110" spans="1:47" ht="23.5" x14ac:dyDescent="0.55000000000000004">
      <c r="A110" s="6" t="s">
        <v>5</v>
      </c>
      <c r="B110" s="296"/>
      <c r="C110" s="305">
        <f>IF(C89=0,0,C66/C89)</f>
        <v>0.26653783571665757</v>
      </c>
      <c r="D110" s="305">
        <f>IF(D89=0,0,D66/D89)</f>
        <v>0.19989053213591168</v>
      </c>
      <c r="E110" s="306">
        <f>(C110-D110)*100</f>
        <v>6.6647303580745891</v>
      </c>
      <c r="F110" s="304"/>
      <c r="G110" s="305">
        <f>IF(G89=0,0,G66/G89)</f>
        <v>9.3432812180083022E-2</v>
      </c>
      <c r="H110" s="305">
        <f>IF(H89=0,0,H66/H89)</f>
        <v>7.1632576875333531E-2</v>
      </c>
      <c r="I110" s="306">
        <f>(G110-H110)*100</f>
        <v>2.1800235304749491</v>
      </c>
      <c r="J110" s="304"/>
      <c r="K110" s="305">
        <f>IF(K89=0,0,K66/K89)</f>
        <v>6.8455187095753559E-2</v>
      </c>
      <c r="L110" s="305">
        <f>IF(L89=0,0,L66/L89)</f>
        <v>5.1085778013937669E-2</v>
      </c>
      <c r="M110" s="306">
        <f>(K110-L110)*100</f>
        <v>1.736940908181589</v>
      </c>
      <c r="N110" s="304"/>
      <c r="O110" s="305">
        <f>IF(O89=0,0,O66/O89)</f>
        <v>7.7737540981105482E-2</v>
      </c>
      <c r="P110" s="305">
        <f>IF(P89=0,0,P66/P89)</f>
        <v>4.1297259667039961E-2</v>
      </c>
      <c r="Q110" s="306">
        <f>(O110-P110)*100</f>
        <v>3.6440281314065524</v>
      </c>
      <c r="R110" s="304"/>
      <c r="S110" s="305">
        <f>IF(S89=0,0,S66/S89)</f>
        <v>0.12536009494892339</v>
      </c>
      <c r="T110" s="305">
        <f>IF(T89=0,0,T66/T89)</f>
        <v>0.11958232644137094</v>
      </c>
      <c r="U110" s="306">
        <f>(S110-T110)*100</f>
        <v>0.57777685075524476</v>
      </c>
      <c r="V110" s="304"/>
      <c r="W110" s="305">
        <f>IF(W89=0,0,W66/W89)</f>
        <v>0.34448774789675307</v>
      </c>
      <c r="X110" s="305">
        <f>IF(X89=0,0,X66/X89)</f>
        <v>0.2697399506154447</v>
      </c>
      <c r="Y110" s="306">
        <f>(W110-X110)*100</f>
        <v>7.4747797281308372</v>
      </c>
      <c r="Z110" s="304"/>
      <c r="AA110" s="305">
        <f>IF(AA89=0,0,AA66/AA89)</f>
        <v>0</v>
      </c>
      <c r="AB110" s="305">
        <f>IF(AB89=0,0,AB66/AB89)</f>
        <v>0</v>
      </c>
      <c r="AC110" s="306">
        <f>(AA110-AB110)*100</f>
        <v>0</v>
      </c>
      <c r="AD110" s="304"/>
      <c r="AE110" s="305">
        <f>IF(AE89=0,0,AE66/AE89)</f>
        <v>0</v>
      </c>
      <c r="AF110" s="305">
        <f>IF(AF89=0,0,AF66/AF89)</f>
        <v>0</v>
      </c>
      <c r="AG110" s="306">
        <f>(AE110-AF110)*100</f>
        <v>0</v>
      </c>
      <c r="AH110" s="304"/>
      <c r="AI110" s="305">
        <f>IF(AI89=0,0,AI66/AI89)</f>
        <v>0.16140025304263397</v>
      </c>
      <c r="AJ110" s="305">
        <f>IF(AJ89=0,0,AJ66/AJ89)</f>
        <v>0.12192892821945853</v>
      </c>
      <c r="AK110" s="306">
        <f>(AI110-AJ110)*100</f>
        <v>3.9471324823175449</v>
      </c>
      <c r="AL110" s="29"/>
      <c r="AM110" s="29"/>
      <c r="AN110" s="29"/>
      <c r="AO110" s="29"/>
      <c r="AP110" s="29"/>
      <c r="AQ110" s="29"/>
      <c r="AR110" s="29"/>
      <c r="AS110" s="29"/>
      <c r="AT110" s="35">
        <f>AI110-'Syn prin concurents'!U116</f>
        <v>0</v>
      </c>
      <c r="AU110" s="35">
        <f>AJ110-'Syn prin concurents'!V116</f>
        <v>0</v>
      </c>
    </row>
    <row r="111" spans="1:47" ht="23.5" x14ac:dyDescent="0.55000000000000004">
      <c r="A111" s="6" t="s">
        <v>6</v>
      </c>
      <c r="B111" s="7"/>
      <c r="C111" s="9">
        <f>IF(C91=0,0,C68/C91)</f>
        <v>0.325259026739535</v>
      </c>
      <c r="D111" s="9">
        <f>IF(D91=0,0,D68/D91)</f>
        <v>0.32468538015954512</v>
      </c>
      <c r="E111" s="30">
        <f>(C111-D111)*100</f>
        <v>5.7364657998987267E-2</v>
      </c>
      <c r="F111" s="304"/>
      <c r="G111" s="9">
        <f>IF(G91=0,0,G68/G91)</f>
        <v>8.3036967146112819E-2</v>
      </c>
      <c r="H111" s="9">
        <f>IF(H91=0,0,H68/H91)</f>
        <v>8.5813680980650495E-2</v>
      </c>
      <c r="I111" s="30">
        <f>(G111-H111)*100</f>
        <v>-0.27767138345376752</v>
      </c>
      <c r="J111" s="304"/>
      <c r="K111" s="9">
        <f>IF(K91=0,0,K68/K91)</f>
        <v>0.12925823921820342</v>
      </c>
      <c r="L111" s="9">
        <f>IF(L91=0,0,L68/L91)</f>
        <v>0.13322760774334677</v>
      </c>
      <c r="M111" s="30">
        <f>(K111-L111)*100</f>
        <v>-0.39693685251433464</v>
      </c>
      <c r="N111" s="304"/>
      <c r="O111" s="9">
        <f>IF(O91=0,0,O68/O91)</f>
        <v>5.6310973747371283E-2</v>
      </c>
      <c r="P111" s="9">
        <f>IF(P91=0,0,P68/P91)</f>
        <v>5.7128152311518424E-2</v>
      </c>
      <c r="Q111" s="30">
        <f>(O111-P111)*100</f>
        <v>-8.1717856414714046E-2</v>
      </c>
      <c r="R111" s="304"/>
      <c r="S111" s="9">
        <f>IF(S91=0,0,S68/S91)</f>
        <v>0.25437513607171075</v>
      </c>
      <c r="T111" s="9">
        <f>IF(T91=0,0,T68/T91)</f>
        <v>0.24675765563963362</v>
      </c>
      <c r="U111" s="30">
        <f>(S111-T111)*100</f>
        <v>0.76174804320771339</v>
      </c>
      <c r="V111" s="304"/>
      <c r="W111" s="9">
        <f>IF(W91=0,0,W68/W91)</f>
        <v>0.37838303211977908</v>
      </c>
      <c r="X111" s="9">
        <f>IF(X91=0,0,X68/X91)</f>
        <v>0.39373672725181852</v>
      </c>
      <c r="Y111" s="30">
        <f>(W111-X111)*100</f>
        <v>-1.5353695132039435</v>
      </c>
      <c r="Z111" s="304"/>
      <c r="AA111" s="9">
        <f>IF(AA91=0,0,AA68/AA91)</f>
        <v>0.76253138584148827</v>
      </c>
      <c r="AB111" s="9">
        <f>IF(AB91=0,0,AB68/AB91)</f>
        <v>0</v>
      </c>
      <c r="AC111" s="30">
        <f>(AA111-AB111)*100</f>
        <v>76.253138584148829</v>
      </c>
      <c r="AD111" s="304"/>
      <c r="AE111" s="9">
        <f>IF(AE91=0,0,AE68/AE91)</f>
        <v>0</v>
      </c>
      <c r="AF111" s="9">
        <f>IF(AF91=0,0,AF68/AF91)</f>
        <v>0</v>
      </c>
      <c r="AG111" s="30">
        <f>(AE111-AF111)*100</f>
        <v>0</v>
      </c>
      <c r="AH111" s="304"/>
      <c r="AI111" s="9">
        <f>IF(AI91=0,0,AI68/AI91)</f>
        <v>0.15198609477548489</v>
      </c>
      <c r="AJ111" s="9">
        <f>IF(AJ91=0,0,AJ68/AJ91)</f>
        <v>0.15395253675871556</v>
      </c>
      <c r="AK111" s="30">
        <f>(AI111-AJ111)*100</f>
        <v>-0.19664419832306768</v>
      </c>
      <c r="AT111" s="35">
        <f>AI111-'Syn prin concurents'!U111</f>
        <v>0</v>
      </c>
      <c r="AU111" s="35">
        <f>AJ111-'Syn prin concurents'!V111</f>
        <v>-3.4533272726808284E-4</v>
      </c>
    </row>
    <row r="112" spans="1:47" ht="23.5" x14ac:dyDescent="0.55000000000000004">
      <c r="A112" s="6" t="s">
        <v>4</v>
      </c>
      <c r="B112" s="7"/>
      <c r="C112" s="9">
        <f>IF(C93=0,0,C70/C93)</f>
        <v>0.14651512714498496</v>
      </c>
      <c r="D112" s="9">
        <f>IF(D93=0,0,D70/D93)</f>
        <v>0.15134470983731341</v>
      </c>
      <c r="E112" s="30">
        <f>(C112-D112)*100</f>
        <v>-0.48295826923284435</v>
      </c>
      <c r="F112" s="304"/>
      <c r="G112" s="9">
        <f>IF(G93=0,0,G70/G93)</f>
        <v>6.0785561181924741E-2</v>
      </c>
      <c r="H112" s="9">
        <f>IF(H93=0,0,H70/H93)</f>
        <v>5.9485740420475545E-2</v>
      </c>
      <c r="I112" s="30">
        <f>(G112-H112)*100</f>
        <v>0.12998207614491955</v>
      </c>
      <c r="J112" s="304"/>
      <c r="K112" s="9">
        <f>IF(K93=0,0,K70/K93)</f>
        <v>0</v>
      </c>
      <c r="L112" s="9">
        <f>IF(L93=0,0,L70/L93)</f>
        <v>0</v>
      </c>
      <c r="M112" s="30">
        <f>(K112-L112)*100</f>
        <v>0</v>
      </c>
      <c r="N112" s="304"/>
      <c r="O112" s="9">
        <f>IF(O93=0,0,O70/O93)</f>
        <v>0</v>
      </c>
      <c r="P112" s="9">
        <f>IF(P93=0,0,P70/P93)</f>
        <v>0</v>
      </c>
      <c r="Q112" s="30">
        <f>(O112-P112)*100</f>
        <v>0</v>
      </c>
      <c r="R112" s="304"/>
      <c r="S112" s="9">
        <f>IF(S93=0,0,S70/S93)</f>
        <v>0</v>
      </c>
      <c r="T112" s="9">
        <f>IF(T93=0,0,T70/T93)</f>
        <v>0</v>
      </c>
      <c r="U112" s="30">
        <f>(S112-T112)*100</f>
        <v>0</v>
      </c>
      <c r="V112" s="304"/>
      <c r="W112" s="9">
        <f>IF(W93=0,0,W70/W93)</f>
        <v>0</v>
      </c>
      <c r="X112" s="9">
        <f>IF(X93=0,0,X70/X93)</f>
        <v>0</v>
      </c>
      <c r="Y112" s="30">
        <f>(W112-X112)*100</f>
        <v>0</v>
      </c>
      <c r="Z112" s="304"/>
      <c r="AA112" s="9">
        <f>IF(AA93=0,0,AA70/AA93)</f>
        <v>0</v>
      </c>
      <c r="AB112" s="9">
        <f>IF(AB93=0,0,AB70/AB93)</f>
        <v>0.99011855419920147</v>
      </c>
      <c r="AC112" s="30">
        <f>(AA112-AB112)*100</f>
        <v>-99.011855419920153</v>
      </c>
      <c r="AD112" s="304"/>
      <c r="AE112" s="9">
        <f>IF(AE93=0,0,AE70/AE93)</f>
        <v>0</v>
      </c>
      <c r="AF112" s="9">
        <f>IF(AF93=0,0,AF70/AF93)</f>
        <v>0</v>
      </c>
      <c r="AG112" s="30">
        <f>(AE112-AF112)*100</f>
        <v>0</v>
      </c>
      <c r="AH112" s="304"/>
      <c r="AI112" s="9">
        <f>IF(AI93=0,0,AI70/AI93)</f>
        <v>0.12052687979617745</v>
      </c>
      <c r="AJ112" s="9">
        <f>IF(AJ93=0,0,AJ70/AJ93)</f>
        <v>0.1238102246198428</v>
      </c>
      <c r="AK112" s="30">
        <f>(AI112-AJ112)*100</f>
        <v>-0.32833448236653517</v>
      </c>
      <c r="AT112" s="35">
        <f>AI112-'Syn prin concurents'!U113</f>
        <v>0</v>
      </c>
      <c r="AU112" s="35">
        <f>AJ112-'Syn prin concurents'!V113</f>
        <v>5.2505941389845157E-4</v>
      </c>
    </row>
    <row r="113" spans="1:47" ht="23.5" x14ac:dyDescent="0.55000000000000004">
      <c r="A113" s="6" t="s">
        <v>7</v>
      </c>
      <c r="B113" s="7"/>
      <c r="C113" s="9">
        <f>IF(C95=0,0,C72/C95)</f>
        <v>0.45706271612109334</v>
      </c>
      <c r="D113" s="9">
        <f>IF(D95=0,0,D72/D95)</f>
        <v>0.48839012903003526</v>
      </c>
      <c r="E113" s="30">
        <f t="shared" ref="E113:E115" si="0">(C113-D113)*100</f>
        <v>-3.1327412908941921</v>
      </c>
      <c r="F113" s="304"/>
      <c r="G113" s="9">
        <f>IF(G95=0,0,G72/G95)</f>
        <v>0.12884701535521256</v>
      </c>
      <c r="H113" s="9">
        <f>IF(H95=0,0,H72/H95)</f>
        <v>0.16284404161863475</v>
      </c>
      <c r="I113" s="30">
        <f t="shared" ref="I113:I115" si="1">(G113-H113)*100</f>
        <v>-3.3997026263422185</v>
      </c>
      <c r="J113" s="304"/>
      <c r="K113" s="9">
        <f>IF(K95=0,0,K72/K95)</f>
        <v>0.23410570263538902</v>
      </c>
      <c r="L113" s="9">
        <f>IF(L95=0,0,L72/L95)</f>
        <v>0.24314934751589451</v>
      </c>
      <c r="M113" s="30">
        <f t="shared" ref="M113:M115" si="2">(K113-L113)*100</f>
        <v>-0.90436448805054914</v>
      </c>
      <c r="N113" s="304"/>
      <c r="O113" s="9">
        <f>IF(O95=0,0,O72/O95)</f>
        <v>0.17843728179614762</v>
      </c>
      <c r="P113" s="9">
        <f>IF(P95=0,0,P72/P95)</f>
        <v>0.17192036403989849</v>
      </c>
      <c r="Q113" s="30">
        <f t="shared" ref="Q113:Q115" si="3">(O113-P113)*100</f>
        <v>0.65169177562491298</v>
      </c>
      <c r="R113" s="304"/>
      <c r="S113" s="9">
        <f>IF(S95=0,0,S72/S95)</f>
        <v>0.68537377714679903</v>
      </c>
      <c r="T113" s="9">
        <f>IF(T95=0,0,T72/T95)</f>
        <v>0.59401240776613096</v>
      </c>
      <c r="U113" s="30">
        <f t="shared" ref="U113:U115" si="4">(S113-T113)*100</f>
        <v>9.1361369380668087</v>
      </c>
      <c r="V113" s="304"/>
      <c r="W113" s="9">
        <f>IF(W95=0,0,W72/W95)</f>
        <v>0.46743278345796335</v>
      </c>
      <c r="X113" s="9">
        <f>IF(X95=0,0,X72/X95)</f>
        <v>0.57980775744628221</v>
      </c>
      <c r="Y113" s="30">
        <f t="shared" ref="Y113:Y115" si="5">(W113-X113)*100</f>
        <v>-11.237497398831886</v>
      </c>
      <c r="Z113" s="304"/>
      <c r="AA113" s="9">
        <f>IF(AA95=0,0,AA72/AA95)</f>
        <v>0</v>
      </c>
      <c r="AB113" s="9">
        <f>IF(AB95=0,0,AB72/AB95)</f>
        <v>0</v>
      </c>
      <c r="AC113" s="30">
        <f t="shared" ref="AC113:AC115" si="6">(AA113-AB113)*100</f>
        <v>0</v>
      </c>
      <c r="AD113" s="304"/>
      <c r="AE113" s="9">
        <f>IF(AE95=0,0,AE72/AE95)</f>
        <v>0.2261496452595475</v>
      </c>
      <c r="AF113" s="9">
        <f>IF(AF95=0,0,AF72/AF95)</f>
        <v>6.3341088990450309E-2</v>
      </c>
      <c r="AG113" s="30">
        <f t="shared" ref="AG113:AG115" si="7">(AE113-AF113)*100</f>
        <v>16.28085562690972</v>
      </c>
      <c r="AH113" s="304"/>
      <c r="AI113" s="9">
        <f>IF(AI95=0,0,AI72/AI95)</f>
        <v>0.27698310291620243</v>
      </c>
      <c r="AJ113" s="9">
        <f>IF(AJ95=0,0,AJ72/AJ95)</f>
        <v>0.32160821930746475</v>
      </c>
      <c r="AK113" s="30">
        <f t="shared" ref="AK113:AK115" si="8">(AI113-AJ113)*100</f>
        <v>-4.4625116391262321</v>
      </c>
      <c r="AT113" s="35">
        <f>AI113-'Syn prin concurents'!U110</f>
        <v>0</v>
      </c>
      <c r="AU113" s="35">
        <f>AJ113-'Syn prin concurents'!V110</f>
        <v>-5.8562817466379924E-3</v>
      </c>
    </row>
    <row r="114" spans="1:47" ht="24" thickBot="1" x14ac:dyDescent="0.6">
      <c r="A114" s="6" t="s">
        <v>11</v>
      </c>
      <c r="B114" s="7"/>
      <c r="C114" s="9">
        <f>IF(C97=0,0,C74/C97)</f>
        <v>0.53832422427394189</v>
      </c>
      <c r="D114" s="9">
        <f>IF(D97=0,0,D74/D97)</f>
        <v>0.53832422427394189</v>
      </c>
      <c r="E114" s="30">
        <f t="shared" si="0"/>
        <v>0</v>
      </c>
      <c r="F114" s="304"/>
      <c r="G114" s="9">
        <f>IF(G97=0,0,G74/G97)</f>
        <v>4.1157015923377255E-2</v>
      </c>
      <c r="H114" s="9">
        <f>IF(H97=0,0,H74/H97)</f>
        <v>4.1157015923377255E-2</v>
      </c>
      <c r="I114" s="30">
        <f t="shared" si="1"/>
        <v>0</v>
      </c>
      <c r="J114" s="304"/>
      <c r="K114" s="9">
        <f>IF(K97=0,0,K74/K97)</f>
        <v>4.1990523004333515E-2</v>
      </c>
      <c r="L114" s="9">
        <f>IF(L97=0,0,L74/L97)</f>
        <v>4.1990523004333515E-2</v>
      </c>
      <c r="M114" s="30">
        <f t="shared" si="2"/>
        <v>0</v>
      </c>
      <c r="N114" s="304"/>
      <c r="O114" s="9">
        <f>IF(O97=0,0,O74/O97)</f>
        <v>7.042053921281409E-2</v>
      </c>
      <c r="P114" s="9">
        <f>IF(P97=0,0,P74/P97)</f>
        <v>7.042053921281409E-2</v>
      </c>
      <c r="Q114" s="30">
        <f t="shared" si="3"/>
        <v>0</v>
      </c>
      <c r="R114" s="304"/>
      <c r="S114" s="9">
        <f>IF(S97=0,0,S74/S97)</f>
        <v>0.32232163196158337</v>
      </c>
      <c r="T114" s="9">
        <f>IF(T97=0,0,T74/T97)</f>
        <v>0.32232163196158337</v>
      </c>
      <c r="U114" s="30">
        <f t="shared" si="4"/>
        <v>0</v>
      </c>
      <c r="V114" s="304"/>
      <c r="W114" s="9">
        <f>IF(W97=0,0,W74/W97)</f>
        <v>0.6554981559817602</v>
      </c>
      <c r="X114" s="9">
        <f>IF(X97=0,0,X74/X97)</f>
        <v>0.6554981559817602</v>
      </c>
      <c r="Y114" s="30">
        <f t="shared" si="5"/>
        <v>0</v>
      </c>
      <c r="Z114" s="304"/>
      <c r="AA114" s="9">
        <f>IF(AA97=0,0,AA74/AA97)</f>
        <v>0</v>
      </c>
      <c r="AB114" s="9">
        <f>IF(AB97=0,0,AB74/AB97)</f>
        <v>0</v>
      </c>
      <c r="AC114" s="30">
        <f t="shared" si="6"/>
        <v>0</v>
      </c>
      <c r="AD114" s="304"/>
      <c r="AE114" s="9">
        <f>IF(AE97=0,0,AE74/AE97)</f>
        <v>1</v>
      </c>
      <c r="AF114" s="9">
        <f>IF(AF97=0,0,AF74/AF97)</f>
        <v>0.95597172250856388</v>
      </c>
      <c r="AG114" s="30">
        <f t="shared" si="7"/>
        <v>4.4028277491436114</v>
      </c>
      <c r="AH114" s="304"/>
      <c r="AI114" s="9">
        <f>IF(AI97=0,0,AI74/AI97)</f>
        <v>0.16984956157865841</v>
      </c>
      <c r="AJ114" s="9">
        <f>IF(AJ97=0,0,AJ74/AJ97)</f>
        <v>0.16984911391913851</v>
      </c>
      <c r="AK114" s="30">
        <f t="shared" si="8"/>
        <v>4.4765951989766961E-5</v>
      </c>
      <c r="AT114" s="35">
        <f>AI114-'Syn prin concurents'!U112</f>
        <v>0</v>
      </c>
      <c r="AU114" s="35">
        <f>AJ114-'Syn prin concurents'!V112</f>
        <v>-4.4765951986991404E-7</v>
      </c>
    </row>
    <row r="115" spans="1:47" ht="26.5" thickBot="1" x14ac:dyDescent="0.65">
      <c r="A115" s="23" t="s">
        <v>8</v>
      </c>
      <c r="B115" s="38"/>
      <c r="C115" s="33">
        <f>IF(C99=0,0,C76/C99)</f>
        <v>0.21661617546317025</v>
      </c>
      <c r="D115" s="33">
        <f>IF(D99=0,0,D76/D99)</f>
        <v>0.17403350026594075</v>
      </c>
      <c r="E115" s="34">
        <f t="shared" si="0"/>
        <v>4.25826751972295</v>
      </c>
      <c r="F115" s="309"/>
      <c r="G115" s="33">
        <f>IF(G99=0,0,G76/G99)</f>
        <v>5.3389001353628271E-2</v>
      </c>
      <c r="H115" s="33">
        <f>IF(H99=0,0,H76/H99)</f>
        <v>4.7216953462609346E-2</v>
      </c>
      <c r="I115" s="34">
        <f t="shared" si="1"/>
        <v>0.61720478910189258</v>
      </c>
      <c r="J115" s="309"/>
      <c r="K115" s="33">
        <f>IF(K99=0,0,K76/K99)</f>
        <v>8.0122798997041722E-2</v>
      </c>
      <c r="L115" s="33">
        <f>IF(L99=0,0,L76/L99)</f>
        <v>5.8841077085496608E-2</v>
      </c>
      <c r="M115" s="34">
        <f t="shared" si="2"/>
        <v>2.1281721911545115</v>
      </c>
      <c r="N115" s="309"/>
      <c r="O115" s="33">
        <f>IF(O99=0,0,O76/O99)</f>
        <v>5.168763593426505E-2</v>
      </c>
      <c r="P115" s="33">
        <f>IF(P99=0,0,P76/P99)</f>
        <v>7.5567326906670618E-2</v>
      </c>
      <c r="Q115" s="34">
        <f t="shared" si="3"/>
        <v>-2.3879690972405569</v>
      </c>
      <c r="R115" s="309"/>
      <c r="S115" s="33">
        <f>IF(S99=0,0,S76/S99)</f>
        <v>0.29259892994284364</v>
      </c>
      <c r="T115" s="33">
        <f>IF(T99=0,0,T76/T99)</f>
        <v>0.34501253205038623</v>
      </c>
      <c r="U115" s="34">
        <f t="shared" si="4"/>
        <v>-5.2413602107542587</v>
      </c>
      <c r="V115" s="309"/>
      <c r="W115" s="33">
        <f>IF(W99=0,0,W76/W99)</f>
        <v>0.30402812185348427</v>
      </c>
      <c r="X115" s="33">
        <f>IF(X99=0,0,X76/X99)</f>
        <v>0.30614383465579686</v>
      </c>
      <c r="Y115" s="34">
        <f t="shared" si="5"/>
        <v>-0.21157128023125971</v>
      </c>
      <c r="Z115" s="309"/>
      <c r="AA115" s="33">
        <f>IF(AA99=0,0,AA76/AA99)</f>
        <v>0.10764167180309382</v>
      </c>
      <c r="AB115" s="33">
        <f>IF(AB99=0,0,AB76/AB99)</f>
        <v>0.1043726040091936</v>
      </c>
      <c r="AC115" s="34">
        <f t="shared" si="6"/>
        <v>0.32690677939002238</v>
      </c>
      <c r="AD115" s="309"/>
      <c r="AE115" s="33">
        <f>IF(AE99=0,0,AE76/AE99)</f>
        <v>0.26833261615771403</v>
      </c>
      <c r="AF115" s="33">
        <f>IF(AF99=0,0,AF76/AF99)</f>
        <v>0.24718300810625965</v>
      </c>
      <c r="AG115" s="34">
        <f t="shared" si="7"/>
        <v>2.1149608051454383</v>
      </c>
      <c r="AH115" s="309"/>
      <c r="AI115" s="33">
        <f>IF(AI99=0,0,AI76/AI99)</f>
        <v>0.13185744034530222</v>
      </c>
      <c r="AJ115" s="33">
        <f>IF(AJ99=0,0,AJ76/AJ99)</f>
        <v>0.12262391807487628</v>
      </c>
      <c r="AK115" s="34">
        <f t="shared" si="8"/>
        <v>0.92335222704259401</v>
      </c>
      <c r="AT115" s="35">
        <f>AI115-'Syn prin concurents'!U117</f>
        <v>0</v>
      </c>
      <c r="AU115" s="35">
        <f>AJ115-'Syn prin concurents'!V117</f>
        <v>-4.3715572193070845E-3</v>
      </c>
    </row>
    <row r="116" spans="1:47" ht="14" x14ac:dyDescent="0.25">
      <c r="A116" s="221"/>
    </row>
    <row r="127" spans="1:47" x14ac:dyDescent="0.25">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row>
    <row r="128" spans="1:47" x14ac:dyDescent="0.25">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row>
    <row r="129" spans="3:37" x14ac:dyDescent="0.25">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row>
    <row r="130" spans="3:37" x14ac:dyDescent="0.25">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row>
    <row r="131" spans="3:37" x14ac:dyDescent="0.25">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row>
    <row r="132" spans="3:37" x14ac:dyDescent="0.25">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row>
    <row r="133" spans="3:37" x14ac:dyDescent="0.25">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row>
    <row r="134" spans="3:37" x14ac:dyDescent="0.25">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row>
    <row r="135" spans="3:37" x14ac:dyDescent="0.25">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row>
    <row r="136" spans="3:37" x14ac:dyDescent="0.25">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row>
    <row r="137" spans="3:37" x14ac:dyDescent="0.25">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row>
    <row r="138" spans="3:37" x14ac:dyDescent="0.25">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row>
    <row r="139" spans="3:37" x14ac:dyDescent="0.25">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row>
    <row r="140" spans="3:37" x14ac:dyDescent="0.25">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row>
    <row r="141" spans="3:37" x14ac:dyDescent="0.25">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row>
    <row r="142" spans="3:37" x14ac:dyDescent="0.25">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row>
    <row r="143" spans="3:37" x14ac:dyDescent="0.25">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row>
    <row r="144" spans="3:37" x14ac:dyDescent="0.25">
      <c r="C144" s="26"/>
    </row>
    <row r="145" spans="3:3" x14ac:dyDescent="0.25">
      <c r="C145" s="26"/>
    </row>
    <row r="146" spans="3:3" x14ac:dyDescent="0.25">
      <c r="C146" s="26"/>
    </row>
    <row r="147" spans="3:3" x14ac:dyDescent="0.25">
      <c r="C147" s="26"/>
    </row>
    <row r="148" spans="3:3" x14ac:dyDescent="0.25">
      <c r="C148" s="26"/>
    </row>
    <row r="149" spans="3:3" x14ac:dyDescent="0.25">
      <c r="C149" s="26"/>
    </row>
    <row r="150" spans="3:3" x14ac:dyDescent="0.25">
      <c r="C150" s="26"/>
    </row>
    <row r="151" spans="3:3" x14ac:dyDescent="0.25">
      <c r="C151" s="26"/>
    </row>
    <row r="152" spans="3:3" x14ac:dyDescent="0.25">
      <c r="C152" s="26"/>
    </row>
  </sheetData>
  <mergeCells count="50">
    <mergeCell ref="A101:AK101"/>
    <mergeCell ref="C103:E103"/>
    <mergeCell ref="G103:I103"/>
    <mergeCell ref="K103:M103"/>
    <mergeCell ref="O103:Q103"/>
    <mergeCell ref="S103:U103"/>
    <mergeCell ref="W103:Y103"/>
    <mergeCell ref="AA103:AC103"/>
    <mergeCell ref="AE103:AG103"/>
    <mergeCell ref="AI103:AK103"/>
    <mergeCell ref="A78:AK78"/>
    <mergeCell ref="C80:E80"/>
    <mergeCell ref="G80:I80"/>
    <mergeCell ref="K80:M80"/>
    <mergeCell ref="O80:Q80"/>
    <mergeCell ref="S80:U80"/>
    <mergeCell ref="W80:Y80"/>
    <mergeCell ref="AA80:AC80"/>
    <mergeCell ref="AE80:AG80"/>
    <mergeCell ref="AI80:AK80"/>
    <mergeCell ref="A55:AK55"/>
    <mergeCell ref="C57:E57"/>
    <mergeCell ref="G57:I57"/>
    <mergeCell ref="K57:M57"/>
    <mergeCell ref="O57:Q57"/>
    <mergeCell ref="S57:U57"/>
    <mergeCell ref="W57:Y57"/>
    <mergeCell ref="AA57:AC57"/>
    <mergeCell ref="AE57:AG57"/>
    <mergeCell ref="AI57:AK57"/>
    <mergeCell ref="A32:AK32"/>
    <mergeCell ref="C34:E34"/>
    <mergeCell ref="G34:I34"/>
    <mergeCell ref="K34:M34"/>
    <mergeCell ref="O34:Q34"/>
    <mergeCell ref="S34:U34"/>
    <mergeCell ref="W34:Y34"/>
    <mergeCell ref="AA34:AC34"/>
    <mergeCell ref="AE34:AG34"/>
    <mergeCell ref="AI34:AK34"/>
    <mergeCell ref="A9:AK9"/>
    <mergeCell ref="C11:E11"/>
    <mergeCell ref="G11:I11"/>
    <mergeCell ref="K11:M11"/>
    <mergeCell ref="O11:Q11"/>
    <mergeCell ref="S11:U11"/>
    <mergeCell ref="W11:Y11"/>
    <mergeCell ref="AA11:AC11"/>
    <mergeCell ref="AE11:AG11"/>
    <mergeCell ref="AI11:AK11"/>
  </mergeCells>
  <printOptions horizontalCentered="1"/>
  <pageMargins left="0" right="0" top="0" bottom="0" header="0" footer="0"/>
  <pageSetup paperSize="9" scale="36" fitToHeight="3" orientation="landscape" r:id="rId1"/>
  <rowBreaks count="1" manualBreakCount="1">
    <brk id="77" max="36" man="1"/>
  </rowBreaks>
  <ignoredErrors>
    <ignoredError sqref="E53:F53 I53:J53 M53:N53 Q53:R53 U53:V53 Y53:Z53 AC53:AD53 AG53:AK53 C50 E49:F49 C52 E51:F51 I49:J49 I51:J51 M49:N49 M51:N51 Q49:R49 Q51:R51 U49:V49 U51:V51 Y49:Z49 Y51:Z51 AC49:AD49 AC51:AD51 AG49:AK49 AG51:AK51 AC50:AD50 AC52:AD52 AG50:AK50 AG52:AK52 I50:K50 I52:K52 M50:O50 M52:O52 Q50:S50 Q52:S52 U50:W50 U52:W52 Y50:Z50 Y52:Z52 E50:G50 E52:G52"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rgb="FFFF0000"/>
    <pageSetUpPr fitToPage="1"/>
  </sheetPr>
  <dimension ref="B2:AS37"/>
  <sheetViews>
    <sheetView showGridLines="0" view="pageBreakPreview" zoomScale="60" zoomScaleNormal="60" workbookViewId="0">
      <pane xSplit="2" topLeftCell="G1" activePane="topRight" state="frozen"/>
      <selection activeCell="O41" sqref="O41"/>
      <selection pane="topRight" activeCell="O41" sqref="O41"/>
    </sheetView>
  </sheetViews>
  <sheetFormatPr baseColWidth="10" defaultColWidth="11.453125" defaultRowHeight="12.5" x14ac:dyDescent="0.25"/>
  <cols>
    <col min="1" max="1" width="2.453125" style="56" customWidth="1"/>
    <col min="2" max="2" width="35.7265625" style="56" customWidth="1"/>
    <col min="3" max="3" width="3" style="56" customWidth="1"/>
    <col min="4" max="4" width="1.453125" style="56" customWidth="1"/>
    <col min="5" max="8" width="27.7265625" style="56" customWidth="1"/>
    <col min="9" max="9" width="1.7265625" style="56" customWidth="1"/>
    <col min="10" max="13" width="27.7265625" style="56" customWidth="1"/>
    <col min="14" max="14" width="1.26953125" style="56" customWidth="1"/>
    <col min="15" max="18" width="27.7265625" style="56" hidden="1" customWidth="1"/>
    <col min="19" max="19" width="1.7265625" style="56" hidden="1" customWidth="1"/>
    <col min="20" max="23" width="27.7265625" style="56" hidden="1" customWidth="1"/>
    <col min="24" max="24" width="1.7265625" style="56" hidden="1" customWidth="1"/>
    <col min="25" max="28" width="27.7265625" style="56" customWidth="1"/>
    <col min="29" max="29" width="2.54296875" style="56" customWidth="1"/>
    <col min="30" max="32" width="13.7265625" style="56" customWidth="1"/>
    <col min="33" max="33" width="12.7265625" style="56" bestFit="1" customWidth="1"/>
    <col min="34" max="34" width="12.7265625" style="56" customWidth="1"/>
    <col min="35" max="35" width="16.54296875" style="56" customWidth="1"/>
    <col min="36" max="38" width="11.453125" style="56" customWidth="1"/>
    <col min="39" max="39" width="20.453125" style="56" customWidth="1"/>
    <col min="40" max="41" width="15.26953125" style="56" customWidth="1"/>
    <col min="42" max="264" width="11.453125" style="56"/>
    <col min="265" max="265" width="35.7265625" style="56" customWidth="1"/>
    <col min="266" max="266" width="3" style="56" customWidth="1"/>
    <col min="267" max="267" width="1.453125" style="56" customWidth="1"/>
    <col min="268" max="270" width="18.7265625" style="56" customWidth="1"/>
    <col min="271" max="271" width="1.7265625" style="56" customWidth="1"/>
    <col min="272" max="274" width="18.7265625" style="56" customWidth="1"/>
    <col min="275" max="275" width="1.26953125" style="56" customWidth="1"/>
    <col min="276" max="282" width="11.453125" style="56" customWidth="1"/>
    <col min="283" max="283" width="1.7265625" style="56" customWidth="1"/>
    <col min="284" max="286" width="18.7265625" style="56" customWidth="1"/>
    <col min="287" max="287" width="12.54296875" style="56" bestFit="1" customWidth="1"/>
    <col min="288" max="520" width="11.453125" style="56"/>
    <col min="521" max="521" width="35.7265625" style="56" customWidth="1"/>
    <col min="522" max="522" width="3" style="56" customWidth="1"/>
    <col min="523" max="523" width="1.453125" style="56" customWidth="1"/>
    <col min="524" max="526" width="18.7265625" style="56" customWidth="1"/>
    <col min="527" max="527" width="1.7265625" style="56" customWidth="1"/>
    <col min="528" max="530" width="18.7265625" style="56" customWidth="1"/>
    <col min="531" max="531" width="1.26953125" style="56" customWidth="1"/>
    <col min="532" max="538" width="11.453125" style="56" customWidth="1"/>
    <col min="539" max="539" width="1.7265625" style="56" customWidth="1"/>
    <col min="540" max="542" width="18.7265625" style="56" customWidth="1"/>
    <col min="543" max="543" width="12.54296875" style="56" bestFit="1" customWidth="1"/>
    <col min="544" max="776" width="11.453125" style="56"/>
    <col min="777" max="777" width="35.7265625" style="56" customWidth="1"/>
    <col min="778" max="778" width="3" style="56" customWidth="1"/>
    <col min="779" max="779" width="1.453125" style="56" customWidth="1"/>
    <col min="780" max="782" width="18.7265625" style="56" customWidth="1"/>
    <col min="783" max="783" width="1.7265625" style="56" customWidth="1"/>
    <col min="784" max="786" width="18.7265625" style="56" customWidth="1"/>
    <col min="787" max="787" width="1.26953125" style="56" customWidth="1"/>
    <col min="788" max="794" width="11.453125" style="56" customWidth="1"/>
    <col min="795" max="795" width="1.7265625" style="56" customWidth="1"/>
    <col min="796" max="798" width="18.7265625" style="56" customWidth="1"/>
    <col min="799" max="799" width="12.54296875" style="56" bestFit="1" customWidth="1"/>
    <col min="800" max="1032" width="11.453125" style="56"/>
    <col min="1033" max="1033" width="35.7265625" style="56" customWidth="1"/>
    <col min="1034" max="1034" width="3" style="56" customWidth="1"/>
    <col min="1035" max="1035" width="1.453125" style="56" customWidth="1"/>
    <col min="1036" max="1038" width="18.7265625" style="56" customWidth="1"/>
    <col min="1039" max="1039" width="1.7265625" style="56" customWidth="1"/>
    <col min="1040" max="1042" width="18.7265625" style="56" customWidth="1"/>
    <col min="1043" max="1043" width="1.26953125" style="56" customWidth="1"/>
    <col min="1044" max="1050" width="11.453125" style="56" customWidth="1"/>
    <col min="1051" max="1051" width="1.7265625" style="56" customWidth="1"/>
    <col min="1052" max="1054" width="18.7265625" style="56" customWidth="1"/>
    <col min="1055" max="1055" width="12.54296875" style="56" bestFit="1" customWidth="1"/>
    <col min="1056" max="1288" width="11.453125" style="56"/>
    <col min="1289" max="1289" width="35.7265625" style="56" customWidth="1"/>
    <col min="1290" max="1290" width="3" style="56" customWidth="1"/>
    <col min="1291" max="1291" width="1.453125" style="56" customWidth="1"/>
    <col min="1292" max="1294" width="18.7265625" style="56" customWidth="1"/>
    <col min="1295" max="1295" width="1.7265625" style="56" customWidth="1"/>
    <col min="1296" max="1298" width="18.7265625" style="56" customWidth="1"/>
    <col min="1299" max="1299" width="1.26953125" style="56" customWidth="1"/>
    <col min="1300" max="1306" width="11.453125" style="56" customWidth="1"/>
    <col min="1307" max="1307" width="1.7265625" style="56" customWidth="1"/>
    <col min="1308" max="1310" width="18.7265625" style="56" customWidth="1"/>
    <col min="1311" max="1311" width="12.54296875" style="56" bestFit="1" customWidth="1"/>
    <col min="1312" max="1544" width="11.453125" style="56"/>
    <col min="1545" max="1545" width="35.7265625" style="56" customWidth="1"/>
    <col min="1546" max="1546" width="3" style="56" customWidth="1"/>
    <col min="1547" max="1547" width="1.453125" style="56" customWidth="1"/>
    <col min="1548" max="1550" width="18.7265625" style="56" customWidth="1"/>
    <col min="1551" max="1551" width="1.7265625" style="56" customWidth="1"/>
    <col min="1552" max="1554" width="18.7265625" style="56" customWidth="1"/>
    <col min="1555" max="1555" width="1.26953125" style="56" customWidth="1"/>
    <col min="1556" max="1562" width="11.453125" style="56" customWidth="1"/>
    <col min="1563" max="1563" width="1.7265625" style="56" customWidth="1"/>
    <col min="1564" max="1566" width="18.7265625" style="56" customWidth="1"/>
    <col min="1567" max="1567" width="12.54296875" style="56" bestFit="1" customWidth="1"/>
    <col min="1568" max="1800" width="11.453125" style="56"/>
    <col min="1801" max="1801" width="35.7265625" style="56" customWidth="1"/>
    <col min="1802" max="1802" width="3" style="56" customWidth="1"/>
    <col min="1803" max="1803" width="1.453125" style="56" customWidth="1"/>
    <col min="1804" max="1806" width="18.7265625" style="56" customWidth="1"/>
    <col min="1807" max="1807" width="1.7265625" style="56" customWidth="1"/>
    <col min="1808" max="1810" width="18.7265625" style="56" customWidth="1"/>
    <col min="1811" max="1811" width="1.26953125" style="56" customWidth="1"/>
    <col min="1812" max="1818" width="11.453125" style="56" customWidth="1"/>
    <col min="1819" max="1819" width="1.7265625" style="56" customWidth="1"/>
    <col min="1820" max="1822" width="18.7265625" style="56" customWidth="1"/>
    <col min="1823" max="1823" width="12.54296875" style="56" bestFit="1" customWidth="1"/>
    <col min="1824" max="2056" width="11.453125" style="56"/>
    <col min="2057" max="2057" width="35.7265625" style="56" customWidth="1"/>
    <col min="2058" max="2058" width="3" style="56" customWidth="1"/>
    <col min="2059" max="2059" width="1.453125" style="56" customWidth="1"/>
    <col min="2060" max="2062" width="18.7265625" style="56" customWidth="1"/>
    <col min="2063" max="2063" width="1.7265625" style="56" customWidth="1"/>
    <col min="2064" max="2066" width="18.7265625" style="56" customWidth="1"/>
    <col min="2067" max="2067" width="1.26953125" style="56" customWidth="1"/>
    <col min="2068" max="2074" width="11.453125" style="56" customWidth="1"/>
    <col min="2075" max="2075" width="1.7265625" style="56" customWidth="1"/>
    <col min="2076" max="2078" width="18.7265625" style="56" customWidth="1"/>
    <col min="2079" max="2079" width="12.54296875" style="56" bestFit="1" customWidth="1"/>
    <col min="2080" max="2312" width="11.453125" style="56"/>
    <col min="2313" max="2313" width="35.7265625" style="56" customWidth="1"/>
    <col min="2314" max="2314" width="3" style="56" customWidth="1"/>
    <col min="2315" max="2315" width="1.453125" style="56" customWidth="1"/>
    <col min="2316" max="2318" width="18.7265625" style="56" customWidth="1"/>
    <col min="2319" max="2319" width="1.7265625" style="56" customWidth="1"/>
    <col min="2320" max="2322" width="18.7265625" style="56" customWidth="1"/>
    <col min="2323" max="2323" width="1.26953125" style="56" customWidth="1"/>
    <col min="2324" max="2330" width="11.453125" style="56" customWidth="1"/>
    <col min="2331" max="2331" width="1.7265625" style="56" customWidth="1"/>
    <col min="2332" max="2334" width="18.7265625" style="56" customWidth="1"/>
    <col min="2335" max="2335" width="12.54296875" style="56" bestFit="1" customWidth="1"/>
    <col min="2336" max="2568" width="11.453125" style="56"/>
    <col min="2569" max="2569" width="35.7265625" style="56" customWidth="1"/>
    <col min="2570" max="2570" width="3" style="56" customWidth="1"/>
    <col min="2571" max="2571" width="1.453125" style="56" customWidth="1"/>
    <col min="2572" max="2574" width="18.7265625" style="56" customWidth="1"/>
    <col min="2575" max="2575" width="1.7265625" style="56" customWidth="1"/>
    <col min="2576" max="2578" width="18.7265625" style="56" customWidth="1"/>
    <col min="2579" max="2579" width="1.26953125" style="56" customWidth="1"/>
    <col min="2580" max="2586" width="11.453125" style="56" customWidth="1"/>
    <col min="2587" max="2587" width="1.7265625" style="56" customWidth="1"/>
    <col min="2588" max="2590" width="18.7265625" style="56" customWidth="1"/>
    <col min="2591" max="2591" width="12.54296875" style="56" bestFit="1" customWidth="1"/>
    <col min="2592" max="2824" width="11.453125" style="56"/>
    <col min="2825" max="2825" width="35.7265625" style="56" customWidth="1"/>
    <col min="2826" max="2826" width="3" style="56" customWidth="1"/>
    <col min="2827" max="2827" width="1.453125" style="56" customWidth="1"/>
    <col min="2828" max="2830" width="18.7265625" style="56" customWidth="1"/>
    <col min="2831" max="2831" width="1.7265625" style="56" customWidth="1"/>
    <col min="2832" max="2834" width="18.7265625" style="56" customWidth="1"/>
    <col min="2835" max="2835" width="1.26953125" style="56" customWidth="1"/>
    <col min="2836" max="2842" width="11.453125" style="56" customWidth="1"/>
    <col min="2843" max="2843" width="1.7265625" style="56" customWidth="1"/>
    <col min="2844" max="2846" width="18.7265625" style="56" customWidth="1"/>
    <col min="2847" max="2847" width="12.54296875" style="56" bestFit="1" customWidth="1"/>
    <col min="2848" max="3080" width="11.453125" style="56"/>
    <col min="3081" max="3081" width="35.7265625" style="56" customWidth="1"/>
    <col min="3082" max="3082" width="3" style="56" customWidth="1"/>
    <col min="3083" max="3083" width="1.453125" style="56" customWidth="1"/>
    <col min="3084" max="3086" width="18.7265625" style="56" customWidth="1"/>
    <col min="3087" max="3087" width="1.7265625" style="56" customWidth="1"/>
    <col min="3088" max="3090" width="18.7265625" style="56" customWidth="1"/>
    <col min="3091" max="3091" width="1.26953125" style="56" customWidth="1"/>
    <col min="3092" max="3098" width="11.453125" style="56" customWidth="1"/>
    <col min="3099" max="3099" width="1.7265625" style="56" customWidth="1"/>
    <col min="3100" max="3102" width="18.7265625" style="56" customWidth="1"/>
    <col min="3103" max="3103" width="12.54296875" style="56" bestFit="1" customWidth="1"/>
    <col min="3104" max="3336" width="11.453125" style="56"/>
    <col min="3337" max="3337" width="35.7265625" style="56" customWidth="1"/>
    <col min="3338" max="3338" width="3" style="56" customWidth="1"/>
    <col min="3339" max="3339" width="1.453125" style="56" customWidth="1"/>
    <col min="3340" max="3342" width="18.7265625" style="56" customWidth="1"/>
    <col min="3343" max="3343" width="1.7265625" style="56" customWidth="1"/>
    <col min="3344" max="3346" width="18.7265625" style="56" customWidth="1"/>
    <col min="3347" max="3347" width="1.26953125" style="56" customWidth="1"/>
    <col min="3348" max="3354" width="11.453125" style="56" customWidth="1"/>
    <col min="3355" max="3355" width="1.7265625" style="56" customWidth="1"/>
    <col min="3356" max="3358" width="18.7265625" style="56" customWidth="1"/>
    <col min="3359" max="3359" width="12.54296875" style="56" bestFit="1" customWidth="1"/>
    <col min="3360" max="3592" width="11.453125" style="56"/>
    <col min="3593" max="3593" width="35.7265625" style="56" customWidth="1"/>
    <col min="3594" max="3594" width="3" style="56" customWidth="1"/>
    <col min="3595" max="3595" width="1.453125" style="56" customWidth="1"/>
    <col min="3596" max="3598" width="18.7265625" style="56" customWidth="1"/>
    <col min="3599" max="3599" width="1.7265625" style="56" customWidth="1"/>
    <col min="3600" max="3602" width="18.7265625" style="56" customWidth="1"/>
    <col min="3603" max="3603" width="1.26953125" style="56" customWidth="1"/>
    <col min="3604" max="3610" width="11.453125" style="56" customWidth="1"/>
    <col min="3611" max="3611" width="1.7265625" style="56" customWidth="1"/>
    <col min="3612" max="3614" width="18.7265625" style="56" customWidth="1"/>
    <col min="3615" max="3615" width="12.54296875" style="56" bestFit="1" customWidth="1"/>
    <col min="3616" max="3848" width="11.453125" style="56"/>
    <col min="3849" max="3849" width="35.7265625" style="56" customWidth="1"/>
    <col min="3850" max="3850" width="3" style="56" customWidth="1"/>
    <col min="3851" max="3851" width="1.453125" style="56" customWidth="1"/>
    <col min="3852" max="3854" width="18.7265625" style="56" customWidth="1"/>
    <col min="3855" max="3855" width="1.7265625" style="56" customWidth="1"/>
    <col min="3856" max="3858" width="18.7265625" style="56" customWidth="1"/>
    <col min="3859" max="3859" width="1.26953125" style="56" customWidth="1"/>
    <col min="3860" max="3866" width="11.453125" style="56" customWidth="1"/>
    <col min="3867" max="3867" width="1.7265625" style="56" customWidth="1"/>
    <col min="3868" max="3870" width="18.7265625" style="56" customWidth="1"/>
    <col min="3871" max="3871" width="12.54296875" style="56" bestFit="1" customWidth="1"/>
    <col min="3872" max="4104" width="11.453125" style="56"/>
    <col min="4105" max="4105" width="35.7265625" style="56" customWidth="1"/>
    <col min="4106" max="4106" width="3" style="56" customWidth="1"/>
    <col min="4107" max="4107" width="1.453125" style="56" customWidth="1"/>
    <col min="4108" max="4110" width="18.7265625" style="56" customWidth="1"/>
    <col min="4111" max="4111" width="1.7265625" style="56" customWidth="1"/>
    <col min="4112" max="4114" width="18.7265625" style="56" customWidth="1"/>
    <col min="4115" max="4115" width="1.26953125" style="56" customWidth="1"/>
    <col min="4116" max="4122" width="11.453125" style="56" customWidth="1"/>
    <col min="4123" max="4123" width="1.7265625" style="56" customWidth="1"/>
    <col min="4124" max="4126" width="18.7265625" style="56" customWidth="1"/>
    <col min="4127" max="4127" width="12.54296875" style="56" bestFit="1" customWidth="1"/>
    <col min="4128" max="4360" width="11.453125" style="56"/>
    <col min="4361" max="4361" width="35.7265625" style="56" customWidth="1"/>
    <col min="4362" max="4362" width="3" style="56" customWidth="1"/>
    <col min="4363" max="4363" width="1.453125" style="56" customWidth="1"/>
    <col min="4364" max="4366" width="18.7265625" style="56" customWidth="1"/>
    <col min="4367" max="4367" width="1.7265625" style="56" customWidth="1"/>
    <col min="4368" max="4370" width="18.7265625" style="56" customWidth="1"/>
    <col min="4371" max="4371" width="1.26953125" style="56" customWidth="1"/>
    <col min="4372" max="4378" width="11.453125" style="56" customWidth="1"/>
    <col min="4379" max="4379" width="1.7265625" style="56" customWidth="1"/>
    <col min="4380" max="4382" width="18.7265625" style="56" customWidth="1"/>
    <col min="4383" max="4383" width="12.54296875" style="56" bestFit="1" customWidth="1"/>
    <col min="4384" max="4616" width="11.453125" style="56"/>
    <col min="4617" max="4617" width="35.7265625" style="56" customWidth="1"/>
    <col min="4618" max="4618" width="3" style="56" customWidth="1"/>
    <col min="4619" max="4619" width="1.453125" style="56" customWidth="1"/>
    <col min="4620" max="4622" width="18.7265625" style="56" customWidth="1"/>
    <col min="4623" max="4623" width="1.7265625" style="56" customWidth="1"/>
    <col min="4624" max="4626" width="18.7265625" style="56" customWidth="1"/>
    <col min="4627" max="4627" width="1.26953125" style="56" customWidth="1"/>
    <col min="4628" max="4634" width="11.453125" style="56" customWidth="1"/>
    <col min="4635" max="4635" width="1.7265625" style="56" customWidth="1"/>
    <col min="4636" max="4638" width="18.7265625" style="56" customWidth="1"/>
    <col min="4639" max="4639" width="12.54296875" style="56" bestFit="1" customWidth="1"/>
    <col min="4640" max="4872" width="11.453125" style="56"/>
    <col min="4873" max="4873" width="35.7265625" style="56" customWidth="1"/>
    <col min="4874" max="4874" width="3" style="56" customWidth="1"/>
    <col min="4875" max="4875" width="1.453125" style="56" customWidth="1"/>
    <col min="4876" max="4878" width="18.7265625" style="56" customWidth="1"/>
    <col min="4879" max="4879" width="1.7265625" style="56" customWidth="1"/>
    <col min="4880" max="4882" width="18.7265625" style="56" customWidth="1"/>
    <col min="4883" max="4883" width="1.26953125" style="56" customWidth="1"/>
    <col min="4884" max="4890" width="11.453125" style="56" customWidth="1"/>
    <col min="4891" max="4891" width="1.7265625" style="56" customWidth="1"/>
    <col min="4892" max="4894" width="18.7265625" style="56" customWidth="1"/>
    <col min="4895" max="4895" width="12.54296875" style="56" bestFit="1" customWidth="1"/>
    <col min="4896" max="5128" width="11.453125" style="56"/>
    <col min="5129" max="5129" width="35.7265625" style="56" customWidth="1"/>
    <col min="5130" max="5130" width="3" style="56" customWidth="1"/>
    <col min="5131" max="5131" width="1.453125" style="56" customWidth="1"/>
    <col min="5132" max="5134" width="18.7265625" style="56" customWidth="1"/>
    <col min="5135" max="5135" width="1.7265625" style="56" customWidth="1"/>
    <col min="5136" max="5138" width="18.7265625" style="56" customWidth="1"/>
    <col min="5139" max="5139" width="1.26953125" style="56" customWidth="1"/>
    <col min="5140" max="5146" width="11.453125" style="56" customWidth="1"/>
    <col min="5147" max="5147" width="1.7265625" style="56" customWidth="1"/>
    <col min="5148" max="5150" width="18.7265625" style="56" customWidth="1"/>
    <col min="5151" max="5151" width="12.54296875" style="56" bestFit="1" customWidth="1"/>
    <col min="5152" max="5384" width="11.453125" style="56"/>
    <col min="5385" max="5385" width="35.7265625" style="56" customWidth="1"/>
    <col min="5386" max="5386" width="3" style="56" customWidth="1"/>
    <col min="5387" max="5387" width="1.453125" style="56" customWidth="1"/>
    <col min="5388" max="5390" width="18.7265625" style="56" customWidth="1"/>
    <col min="5391" max="5391" width="1.7265625" style="56" customWidth="1"/>
    <col min="5392" max="5394" width="18.7265625" style="56" customWidth="1"/>
    <col min="5395" max="5395" width="1.26953125" style="56" customWidth="1"/>
    <col min="5396" max="5402" width="11.453125" style="56" customWidth="1"/>
    <col min="5403" max="5403" width="1.7265625" style="56" customWidth="1"/>
    <col min="5404" max="5406" width="18.7265625" style="56" customWidth="1"/>
    <col min="5407" max="5407" width="12.54296875" style="56" bestFit="1" customWidth="1"/>
    <col min="5408" max="5640" width="11.453125" style="56"/>
    <col min="5641" max="5641" width="35.7265625" style="56" customWidth="1"/>
    <col min="5642" max="5642" width="3" style="56" customWidth="1"/>
    <col min="5643" max="5643" width="1.453125" style="56" customWidth="1"/>
    <col min="5644" max="5646" width="18.7265625" style="56" customWidth="1"/>
    <col min="5647" max="5647" width="1.7265625" style="56" customWidth="1"/>
    <col min="5648" max="5650" width="18.7265625" style="56" customWidth="1"/>
    <col min="5651" max="5651" width="1.26953125" style="56" customWidth="1"/>
    <col min="5652" max="5658" width="11.453125" style="56" customWidth="1"/>
    <col min="5659" max="5659" width="1.7265625" style="56" customWidth="1"/>
    <col min="5660" max="5662" width="18.7265625" style="56" customWidth="1"/>
    <col min="5663" max="5663" width="12.54296875" style="56" bestFit="1" customWidth="1"/>
    <col min="5664" max="5896" width="11.453125" style="56"/>
    <col min="5897" max="5897" width="35.7265625" style="56" customWidth="1"/>
    <col min="5898" max="5898" width="3" style="56" customWidth="1"/>
    <col min="5899" max="5899" width="1.453125" style="56" customWidth="1"/>
    <col min="5900" max="5902" width="18.7265625" style="56" customWidth="1"/>
    <col min="5903" max="5903" width="1.7265625" style="56" customWidth="1"/>
    <col min="5904" max="5906" width="18.7265625" style="56" customWidth="1"/>
    <col min="5907" max="5907" width="1.26953125" style="56" customWidth="1"/>
    <col min="5908" max="5914" width="11.453125" style="56" customWidth="1"/>
    <col min="5915" max="5915" width="1.7265625" style="56" customWidth="1"/>
    <col min="5916" max="5918" width="18.7265625" style="56" customWidth="1"/>
    <col min="5919" max="5919" width="12.54296875" style="56" bestFit="1" customWidth="1"/>
    <col min="5920" max="6152" width="11.453125" style="56"/>
    <col min="6153" max="6153" width="35.7265625" style="56" customWidth="1"/>
    <col min="6154" max="6154" width="3" style="56" customWidth="1"/>
    <col min="6155" max="6155" width="1.453125" style="56" customWidth="1"/>
    <col min="6156" max="6158" width="18.7265625" style="56" customWidth="1"/>
    <col min="6159" max="6159" width="1.7265625" style="56" customWidth="1"/>
    <col min="6160" max="6162" width="18.7265625" style="56" customWidth="1"/>
    <col min="6163" max="6163" width="1.26953125" style="56" customWidth="1"/>
    <col min="6164" max="6170" width="11.453125" style="56" customWidth="1"/>
    <col min="6171" max="6171" width="1.7265625" style="56" customWidth="1"/>
    <col min="6172" max="6174" width="18.7265625" style="56" customWidth="1"/>
    <col min="6175" max="6175" width="12.54296875" style="56" bestFit="1" customWidth="1"/>
    <col min="6176" max="6408" width="11.453125" style="56"/>
    <col min="6409" max="6409" width="35.7265625" style="56" customWidth="1"/>
    <col min="6410" max="6410" width="3" style="56" customWidth="1"/>
    <col min="6411" max="6411" width="1.453125" style="56" customWidth="1"/>
    <col min="6412" max="6414" width="18.7265625" style="56" customWidth="1"/>
    <col min="6415" max="6415" width="1.7265625" style="56" customWidth="1"/>
    <col min="6416" max="6418" width="18.7265625" style="56" customWidth="1"/>
    <col min="6419" max="6419" width="1.26953125" style="56" customWidth="1"/>
    <col min="6420" max="6426" width="11.453125" style="56" customWidth="1"/>
    <col min="6427" max="6427" width="1.7265625" style="56" customWidth="1"/>
    <col min="6428" max="6430" width="18.7265625" style="56" customWidth="1"/>
    <col min="6431" max="6431" width="12.54296875" style="56" bestFit="1" customWidth="1"/>
    <col min="6432" max="6664" width="11.453125" style="56"/>
    <col min="6665" max="6665" width="35.7265625" style="56" customWidth="1"/>
    <col min="6666" max="6666" width="3" style="56" customWidth="1"/>
    <col min="6667" max="6667" width="1.453125" style="56" customWidth="1"/>
    <col min="6668" max="6670" width="18.7265625" style="56" customWidth="1"/>
    <col min="6671" max="6671" width="1.7265625" style="56" customWidth="1"/>
    <col min="6672" max="6674" width="18.7265625" style="56" customWidth="1"/>
    <col min="6675" max="6675" width="1.26953125" style="56" customWidth="1"/>
    <col min="6676" max="6682" width="11.453125" style="56" customWidth="1"/>
    <col min="6683" max="6683" width="1.7265625" style="56" customWidth="1"/>
    <col min="6684" max="6686" width="18.7265625" style="56" customWidth="1"/>
    <col min="6687" max="6687" width="12.54296875" style="56" bestFit="1" customWidth="1"/>
    <col min="6688" max="6920" width="11.453125" style="56"/>
    <col min="6921" max="6921" width="35.7265625" style="56" customWidth="1"/>
    <col min="6922" max="6922" width="3" style="56" customWidth="1"/>
    <col min="6923" max="6923" width="1.453125" style="56" customWidth="1"/>
    <col min="6924" max="6926" width="18.7265625" style="56" customWidth="1"/>
    <col min="6927" max="6927" width="1.7265625" style="56" customWidth="1"/>
    <col min="6928" max="6930" width="18.7265625" style="56" customWidth="1"/>
    <col min="6931" max="6931" width="1.26953125" style="56" customWidth="1"/>
    <col min="6932" max="6938" width="11.453125" style="56" customWidth="1"/>
    <col min="6939" max="6939" width="1.7265625" style="56" customWidth="1"/>
    <col min="6940" max="6942" width="18.7265625" style="56" customWidth="1"/>
    <col min="6943" max="6943" width="12.54296875" style="56" bestFit="1" customWidth="1"/>
    <col min="6944" max="7176" width="11.453125" style="56"/>
    <col min="7177" max="7177" width="35.7265625" style="56" customWidth="1"/>
    <col min="7178" max="7178" width="3" style="56" customWidth="1"/>
    <col min="7179" max="7179" width="1.453125" style="56" customWidth="1"/>
    <col min="7180" max="7182" width="18.7265625" style="56" customWidth="1"/>
    <col min="7183" max="7183" width="1.7265625" style="56" customWidth="1"/>
    <col min="7184" max="7186" width="18.7265625" style="56" customWidth="1"/>
    <col min="7187" max="7187" width="1.26953125" style="56" customWidth="1"/>
    <col min="7188" max="7194" width="11.453125" style="56" customWidth="1"/>
    <col min="7195" max="7195" width="1.7265625" style="56" customWidth="1"/>
    <col min="7196" max="7198" width="18.7265625" style="56" customWidth="1"/>
    <col min="7199" max="7199" width="12.54296875" style="56" bestFit="1" customWidth="1"/>
    <col min="7200" max="7432" width="11.453125" style="56"/>
    <col min="7433" max="7433" width="35.7265625" style="56" customWidth="1"/>
    <col min="7434" max="7434" width="3" style="56" customWidth="1"/>
    <col min="7435" max="7435" width="1.453125" style="56" customWidth="1"/>
    <col min="7436" max="7438" width="18.7265625" style="56" customWidth="1"/>
    <col min="7439" max="7439" width="1.7265625" style="56" customWidth="1"/>
    <col min="7440" max="7442" width="18.7265625" style="56" customWidth="1"/>
    <col min="7443" max="7443" width="1.26953125" style="56" customWidth="1"/>
    <col min="7444" max="7450" width="11.453125" style="56" customWidth="1"/>
    <col min="7451" max="7451" width="1.7265625" style="56" customWidth="1"/>
    <col min="7452" max="7454" width="18.7265625" style="56" customWidth="1"/>
    <col min="7455" max="7455" width="12.54296875" style="56" bestFit="1" customWidth="1"/>
    <col min="7456" max="7688" width="11.453125" style="56"/>
    <col min="7689" max="7689" width="35.7265625" style="56" customWidth="1"/>
    <col min="7690" max="7690" width="3" style="56" customWidth="1"/>
    <col min="7691" max="7691" width="1.453125" style="56" customWidth="1"/>
    <col min="7692" max="7694" width="18.7265625" style="56" customWidth="1"/>
    <col min="7695" max="7695" width="1.7265625" style="56" customWidth="1"/>
    <col min="7696" max="7698" width="18.7265625" style="56" customWidth="1"/>
    <col min="7699" max="7699" width="1.26953125" style="56" customWidth="1"/>
    <col min="7700" max="7706" width="11.453125" style="56" customWidth="1"/>
    <col min="7707" max="7707" width="1.7265625" style="56" customWidth="1"/>
    <col min="7708" max="7710" width="18.7265625" style="56" customWidth="1"/>
    <col min="7711" max="7711" width="12.54296875" style="56" bestFit="1" customWidth="1"/>
    <col min="7712" max="7944" width="11.453125" style="56"/>
    <col min="7945" max="7945" width="35.7265625" style="56" customWidth="1"/>
    <col min="7946" max="7946" width="3" style="56" customWidth="1"/>
    <col min="7947" max="7947" width="1.453125" style="56" customWidth="1"/>
    <col min="7948" max="7950" width="18.7265625" style="56" customWidth="1"/>
    <col min="7951" max="7951" width="1.7265625" style="56" customWidth="1"/>
    <col min="7952" max="7954" width="18.7265625" style="56" customWidth="1"/>
    <col min="7955" max="7955" width="1.26953125" style="56" customWidth="1"/>
    <col min="7956" max="7962" width="11.453125" style="56" customWidth="1"/>
    <col min="7963" max="7963" width="1.7265625" style="56" customWidth="1"/>
    <col min="7964" max="7966" width="18.7265625" style="56" customWidth="1"/>
    <col min="7967" max="7967" width="12.54296875" style="56" bestFit="1" customWidth="1"/>
    <col min="7968" max="8200" width="11.453125" style="56"/>
    <col min="8201" max="8201" width="35.7265625" style="56" customWidth="1"/>
    <col min="8202" max="8202" width="3" style="56" customWidth="1"/>
    <col min="8203" max="8203" width="1.453125" style="56" customWidth="1"/>
    <col min="8204" max="8206" width="18.7265625" style="56" customWidth="1"/>
    <col min="8207" max="8207" width="1.7265625" style="56" customWidth="1"/>
    <col min="8208" max="8210" width="18.7265625" style="56" customWidth="1"/>
    <col min="8211" max="8211" width="1.26953125" style="56" customWidth="1"/>
    <col min="8212" max="8218" width="11.453125" style="56" customWidth="1"/>
    <col min="8219" max="8219" width="1.7265625" style="56" customWidth="1"/>
    <col min="8220" max="8222" width="18.7265625" style="56" customWidth="1"/>
    <col min="8223" max="8223" width="12.54296875" style="56" bestFit="1" customWidth="1"/>
    <col min="8224" max="8456" width="11.453125" style="56"/>
    <col min="8457" max="8457" width="35.7265625" style="56" customWidth="1"/>
    <col min="8458" max="8458" width="3" style="56" customWidth="1"/>
    <col min="8459" max="8459" width="1.453125" style="56" customWidth="1"/>
    <col min="8460" max="8462" width="18.7265625" style="56" customWidth="1"/>
    <col min="8463" max="8463" width="1.7265625" style="56" customWidth="1"/>
    <col min="8464" max="8466" width="18.7265625" style="56" customWidth="1"/>
    <col min="8467" max="8467" width="1.26953125" style="56" customWidth="1"/>
    <col min="8468" max="8474" width="11.453125" style="56" customWidth="1"/>
    <col min="8475" max="8475" width="1.7265625" style="56" customWidth="1"/>
    <col min="8476" max="8478" width="18.7265625" style="56" customWidth="1"/>
    <col min="8479" max="8479" width="12.54296875" style="56" bestFit="1" customWidth="1"/>
    <col min="8480" max="8712" width="11.453125" style="56"/>
    <col min="8713" max="8713" width="35.7265625" style="56" customWidth="1"/>
    <col min="8714" max="8714" width="3" style="56" customWidth="1"/>
    <col min="8715" max="8715" width="1.453125" style="56" customWidth="1"/>
    <col min="8716" max="8718" width="18.7265625" style="56" customWidth="1"/>
    <col min="8719" max="8719" width="1.7265625" style="56" customWidth="1"/>
    <col min="8720" max="8722" width="18.7265625" style="56" customWidth="1"/>
    <col min="8723" max="8723" width="1.26953125" style="56" customWidth="1"/>
    <col min="8724" max="8730" width="11.453125" style="56" customWidth="1"/>
    <col min="8731" max="8731" width="1.7265625" style="56" customWidth="1"/>
    <col min="8732" max="8734" width="18.7265625" style="56" customWidth="1"/>
    <col min="8735" max="8735" width="12.54296875" style="56" bestFit="1" customWidth="1"/>
    <col min="8736" max="8968" width="11.453125" style="56"/>
    <col min="8969" max="8969" width="35.7265625" style="56" customWidth="1"/>
    <col min="8970" max="8970" width="3" style="56" customWidth="1"/>
    <col min="8971" max="8971" width="1.453125" style="56" customWidth="1"/>
    <col min="8972" max="8974" width="18.7265625" style="56" customWidth="1"/>
    <col min="8975" max="8975" width="1.7265625" style="56" customWidth="1"/>
    <col min="8976" max="8978" width="18.7265625" style="56" customWidth="1"/>
    <col min="8979" max="8979" width="1.26953125" style="56" customWidth="1"/>
    <col min="8980" max="8986" width="11.453125" style="56" customWidth="1"/>
    <col min="8987" max="8987" width="1.7265625" style="56" customWidth="1"/>
    <col min="8988" max="8990" width="18.7265625" style="56" customWidth="1"/>
    <col min="8991" max="8991" width="12.54296875" style="56" bestFit="1" customWidth="1"/>
    <col min="8992" max="9224" width="11.453125" style="56"/>
    <col min="9225" max="9225" width="35.7265625" style="56" customWidth="1"/>
    <col min="9226" max="9226" width="3" style="56" customWidth="1"/>
    <col min="9227" max="9227" width="1.453125" style="56" customWidth="1"/>
    <col min="9228" max="9230" width="18.7265625" style="56" customWidth="1"/>
    <col min="9231" max="9231" width="1.7265625" style="56" customWidth="1"/>
    <col min="9232" max="9234" width="18.7265625" style="56" customWidth="1"/>
    <col min="9235" max="9235" width="1.26953125" style="56" customWidth="1"/>
    <col min="9236" max="9242" width="11.453125" style="56" customWidth="1"/>
    <col min="9243" max="9243" width="1.7265625" style="56" customWidth="1"/>
    <col min="9244" max="9246" width="18.7265625" style="56" customWidth="1"/>
    <col min="9247" max="9247" width="12.54296875" style="56" bestFit="1" customWidth="1"/>
    <col min="9248" max="9480" width="11.453125" style="56"/>
    <col min="9481" max="9481" width="35.7265625" style="56" customWidth="1"/>
    <col min="9482" max="9482" width="3" style="56" customWidth="1"/>
    <col min="9483" max="9483" width="1.453125" style="56" customWidth="1"/>
    <col min="9484" max="9486" width="18.7265625" style="56" customWidth="1"/>
    <col min="9487" max="9487" width="1.7265625" style="56" customWidth="1"/>
    <col min="9488" max="9490" width="18.7265625" style="56" customWidth="1"/>
    <col min="9491" max="9491" width="1.26953125" style="56" customWidth="1"/>
    <col min="9492" max="9498" width="11.453125" style="56" customWidth="1"/>
    <col min="9499" max="9499" width="1.7265625" style="56" customWidth="1"/>
    <col min="9500" max="9502" width="18.7265625" style="56" customWidth="1"/>
    <col min="9503" max="9503" width="12.54296875" style="56" bestFit="1" customWidth="1"/>
    <col min="9504" max="9736" width="11.453125" style="56"/>
    <col min="9737" max="9737" width="35.7265625" style="56" customWidth="1"/>
    <col min="9738" max="9738" width="3" style="56" customWidth="1"/>
    <col min="9739" max="9739" width="1.453125" style="56" customWidth="1"/>
    <col min="9740" max="9742" width="18.7265625" style="56" customWidth="1"/>
    <col min="9743" max="9743" width="1.7265625" style="56" customWidth="1"/>
    <col min="9744" max="9746" width="18.7265625" style="56" customWidth="1"/>
    <col min="9747" max="9747" width="1.26953125" style="56" customWidth="1"/>
    <col min="9748" max="9754" width="11.453125" style="56" customWidth="1"/>
    <col min="9755" max="9755" width="1.7265625" style="56" customWidth="1"/>
    <col min="9756" max="9758" width="18.7265625" style="56" customWidth="1"/>
    <col min="9759" max="9759" width="12.54296875" style="56" bestFit="1" customWidth="1"/>
    <col min="9760" max="9992" width="11.453125" style="56"/>
    <col min="9993" max="9993" width="35.7265625" style="56" customWidth="1"/>
    <col min="9994" max="9994" width="3" style="56" customWidth="1"/>
    <col min="9995" max="9995" width="1.453125" style="56" customWidth="1"/>
    <col min="9996" max="9998" width="18.7265625" style="56" customWidth="1"/>
    <col min="9999" max="9999" width="1.7265625" style="56" customWidth="1"/>
    <col min="10000" max="10002" width="18.7265625" style="56" customWidth="1"/>
    <col min="10003" max="10003" width="1.26953125" style="56" customWidth="1"/>
    <col min="10004" max="10010" width="11.453125" style="56" customWidth="1"/>
    <col min="10011" max="10011" width="1.7265625" style="56" customWidth="1"/>
    <col min="10012" max="10014" width="18.7265625" style="56" customWidth="1"/>
    <col min="10015" max="10015" width="12.54296875" style="56" bestFit="1" customWidth="1"/>
    <col min="10016" max="10248" width="11.453125" style="56"/>
    <col min="10249" max="10249" width="35.7265625" style="56" customWidth="1"/>
    <col min="10250" max="10250" width="3" style="56" customWidth="1"/>
    <col min="10251" max="10251" width="1.453125" style="56" customWidth="1"/>
    <col min="10252" max="10254" width="18.7265625" style="56" customWidth="1"/>
    <col min="10255" max="10255" width="1.7265625" style="56" customWidth="1"/>
    <col min="10256" max="10258" width="18.7265625" style="56" customWidth="1"/>
    <col min="10259" max="10259" width="1.26953125" style="56" customWidth="1"/>
    <col min="10260" max="10266" width="11.453125" style="56" customWidth="1"/>
    <col min="10267" max="10267" width="1.7265625" style="56" customWidth="1"/>
    <col min="10268" max="10270" width="18.7265625" style="56" customWidth="1"/>
    <col min="10271" max="10271" width="12.54296875" style="56" bestFit="1" customWidth="1"/>
    <col min="10272" max="10504" width="11.453125" style="56"/>
    <col min="10505" max="10505" width="35.7265625" style="56" customWidth="1"/>
    <col min="10506" max="10506" width="3" style="56" customWidth="1"/>
    <col min="10507" max="10507" width="1.453125" style="56" customWidth="1"/>
    <col min="10508" max="10510" width="18.7265625" style="56" customWidth="1"/>
    <col min="10511" max="10511" width="1.7265625" style="56" customWidth="1"/>
    <col min="10512" max="10514" width="18.7265625" style="56" customWidth="1"/>
    <col min="10515" max="10515" width="1.26953125" style="56" customWidth="1"/>
    <col min="10516" max="10522" width="11.453125" style="56" customWidth="1"/>
    <col min="10523" max="10523" width="1.7265625" style="56" customWidth="1"/>
    <col min="10524" max="10526" width="18.7265625" style="56" customWidth="1"/>
    <col min="10527" max="10527" width="12.54296875" style="56" bestFit="1" customWidth="1"/>
    <col min="10528" max="10760" width="11.453125" style="56"/>
    <col min="10761" max="10761" width="35.7265625" style="56" customWidth="1"/>
    <col min="10762" max="10762" width="3" style="56" customWidth="1"/>
    <col min="10763" max="10763" width="1.453125" style="56" customWidth="1"/>
    <col min="10764" max="10766" width="18.7265625" style="56" customWidth="1"/>
    <col min="10767" max="10767" width="1.7265625" style="56" customWidth="1"/>
    <col min="10768" max="10770" width="18.7265625" style="56" customWidth="1"/>
    <col min="10771" max="10771" width="1.26953125" style="56" customWidth="1"/>
    <col min="10772" max="10778" width="11.453125" style="56" customWidth="1"/>
    <col min="10779" max="10779" width="1.7265625" style="56" customWidth="1"/>
    <col min="10780" max="10782" width="18.7265625" style="56" customWidth="1"/>
    <col min="10783" max="10783" width="12.54296875" style="56" bestFit="1" customWidth="1"/>
    <col min="10784" max="11016" width="11.453125" style="56"/>
    <col min="11017" max="11017" width="35.7265625" style="56" customWidth="1"/>
    <col min="11018" max="11018" width="3" style="56" customWidth="1"/>
    <col min="11019" max="11019" width="1.453125" style="56" customWidth="1"/>
    <col min="11020" max="11022" width="18.7265625" style="56" customWidth="1"/>
    <col min="11023" max="11023" width="1.7265625" style="56" customWidth="1"/>
    <col min="11024" max="11026" width="18.7265625" style="56" customWidth="1"/>
    <col min="11027" max="11027" width="1.26953125" style="56" customWidth="1"/>
    <col min="11028" max="11034" width="11.453125" style="56" customWidth="1"/>
    <col min="11035" max="11035" width="1.7265625" style="56" customWidth="1"/>
    <col min="11036" max="11038" width="18.7265625" style="56" customWidth="1"/>
    <col min="11039" max="11039" width="12.54296875" style="56" bestFit="1" customWidth="1"/>
    <col min="11040" max="11272" width="11.453125" style="56"/>
    <col min="11273" max="11273" width="35.7265625" style="56" customWidth="1"/>
    <col min="11274" max="11274" width="3" style="56" customWidth="1"/>
    <col min="11275" max="11275" width="1.453125" style="56" customWidth="1"/>
    <col min="11276" max="11278" width="18.7265625" style="56" customWidth="1"/>
    <col min="11279" max="11279" width="1.7265625" style="56" customWidth="1"/>
    <col min="11280" max="11282" width="18.7265625" style="56" customWidth="1"/>
    <col min="11283" max="11283" width="1.26953125" style="56" customWidth="1"/>
    <col min="11284" max="11290" width="11.453125" style="56" customWidth="1"/>
    <col min="11291" max="11291" width="1.7265625" style="56" customWidth="1"/>
    <col min="11292" max="11294" width="18.7265625" style="56" customWidth="1"/>
    <col min="11295" max="11295" width="12.54296875" style="56" bestFit="1" customWidth="1"/>
    <col min="11296" max="11528" width="11.453125" style="56"/>
    <col min="11529" max="11529" width="35.7265625" style="56" customWidth="1"/>
    <col min="11530" max="11530" width="3" style="56" customWidth="1"/>
    <col min="11531" max="11531" width="1.453125" style="56" customWidth="1"/>
    <col min="11532" max="11534" width="18.7265625" style="56" customWidth="1"/>
    <col min="11535" max="11535" width="1.7265625" style="56" customWidth="1"/>
    <col min="11536" max="11538" width="18.7265625" style="56" customWidth="1"/>
    <col min="11539" max="11539" width="1.26953125" style="56" customWidth="1"/>
    <col min="11540" max="11546" width="11.453125" style="56" customWidth="1"/>
    <col min="11547" max="11547" width="1.7265625" style="56" customWidth="1"/>
    <col min="11548" max="11550" width="18.7265625" style="56" customWidth="1"/>
    <col min="11551" max="11551" width="12.54296875" style="56" bestFit="1" customWidth="1"/>
    <col min="11552" max="11784" width="11.453125" style="56"/>
    <col min="11785" max="11785" width="35.7265625" style="56" customWidth="1"/>
    <col min="11786" max="11786" width="3" style="56" customWidth="1"/>
    <col min="11787" max="11787" width="1.453125" style="56" customWidth="1"/>
    <col min="11788" max="11790" width="18.7265625" style="56" customWidth="1"/>
    <col min="11791" max="11791" width="1.7265625" style="56" customWidth="1"/>
    <col min="11792" max="11794" width="18.7265625" style="56" customWidth="1"/>
    <col min="11795" max="11795" width="1.26953125" style="56" customWidth="1"/>
    <col min="11796" max="11802" width="11.453125" style="56" customWidth="1"/>
    <col min="11803" max="11803" width="1.7265625" style="56" customWidth="1"/>
    <col min="11804" max="11806" width="18.7265625" style="56" customWidth="1"/>
    <col min="11807" max="11807" width="12.54296875" style="56" bestFit="1" customWidth="1"/>
    <col min="11808" max="12040" width="11.453125" style="56"/>
    <col min="12041" max="12041" width="35.7265625" style="56" customWidth="1"/>
    <col min="12042" max="12042" width="3" style="56" customWidth="1"/>
    <col min="12043" max="12043" width="1.453125" style="56" customWidth="1"/>
    <col min="12044" max="12046" width="18.7265625" style="56" customWidth="1"/>
    <col min="12047" max="12047" width="1.7265625" style="56" customWidth="1"/>
    <col min="12048" max="12050" width="18.7265625" style="56" customWidth="1"/>
    <col min="12051" max="12051" width="1.26953125" style="56" customWidth="1"/>
    <col min="12052" max="12058" width="11.453125" style="56" customWidth="1"/>
    <col min="12059" max="12059" width="1.7265625" style="56" customWidth="1"/>
    <col min="12060" max="12062" width="18.7265625" style="56" customWidth="1"/>
    <col min="12063" max="12063" width="12.54296875" style="56" bestFit="1" customWidth="1"/>
    <col min="12064" max="12296" width="11.453125" style="56"/>
    <col min="12297" max="12297" width="35.7265625" style="56" customWidth="1"/>
    <col min="12298" max="12298" width="3" style="56" customWidth="1"/>
    <col min="12299" max="12299" width="1.453125" style="56" customWidth="1"/>
    <col min="12300" max="12302" width="18.7265625" style="56" customWidth="1"/>
    <col min="12303" max="12303" width="1.7265625" style="56" customWidth="1"/>
    <col min="12304" max="12306" width="18.7265625" style="56" customWidth="1"/>
    <col min="12307" max="12307" width="1.26953125" style="56" customWidth="1"/>
    <col min="12308" max="12314" width="11.453125" style="56" customWidth="1"/>
    <col min="12315" max="12315" width="1.7265625" style="56" customWidth="1"/>
    <col min="12316" max="12318" width="18.7265625" style="56" customWidth="1"/>
    <col min="12319" max="12319" width="12.54296875" style="56" bestFit="1" customWidth="1"/>
    <col min="12320" max="12552" width="11.453125" style="56"/>
    <col min="12553" max="12553" width="35.7265625" style="56" customWidth="1"/>
    <col min="12554" max="12554" width="3" style="56" customWidth="1"/>
    <col min="12555" max="12555" width="1.453125" style="56" customWidth="1"/>
    <col min="12556" max="12558" width="18.7265625" style="56" customWidth="1"/>
    <col min="12559" max="12559" width="1.7265625" style="56" customWidth="1"/>
    <col min="12560" max="12562" width="18.7265625" style="56" customWidth="1"/>
    <col min="12563" max="12563" width="1.26953125" style="56" customWidth="1"/>
    <col min="12564" max="12570" width="11.453125" style="56" customWidth="1"/>
    <col min="12571" max="12571" width="1.7265625" style="56" customWidth="1"/>
    <col min="12572" max="12574" width="18.7265625" style="56" customWidth="1"/>
    <col min="12575" max="12575" width="12.54296875" style="56" bestFit="1" customWidth="1"/>
    <col min="12576" max="12808" width="11.453125" style="56"/>
    <col min="12809" max="12809" width="35.7265625" style="56" customWidth="1"/>
    <col min="12810" max="12810" width="3" style="56" customWidth="1"/>
    <col min="12811" max="12811" width="1.453125" style="56" customWidth="1"/>
    <col min="12812" max="12814" width="18.7265625" style="56" customWidth="1"/>
    <col min="12815" max="12815" width="1.7265625" style="56" customWidth="1"/>
    <col min="12816" max="12818" width="18.7265625" style="56" customWidth="1"/>
    <col min="12819" max="12819" width="1.26953125" style="56" customWidth="1"/>
    <col min="12820" max="12826" width="11.453125" style="56" customWidth="1"/>
    <col min="12827" max="12827" width="1.7265625" style="56" customWidth="1"/>
    <col min="12828" max="12830" width="18.7265625" style="56" customWidth="1"/>
    <col min="12831" max="12831" width="12.54296875" style="56" bestFit="1" customWidth="1"/>
    <col min="12832" max="13064" width="11.453125" style="56"/>
    <col min="13065" max="13065" width="35.7265625" style="56" customWidth="1"/>
    <col min="13066" max="13066" width="3" style="56" customWidth="1"/>
    <col min="13067" max="13067" width="1.453125" style="56" customWidth="1"/>
    <col min="13068" max="13070" width="18.7265625" style="56" customWidth="1"/>
    <col min="13071" max="13071" width="1.7265625" style="56" customWidth="1"/>
    <col min="13072" max="13074" width="18.7265625" style="56" customWidth="1"/>
    <col min="13075" max="13075" width="1.26953125" style="56" customWidth="1"/>
    <col min="13076" max="13082" width="11.453125" style="56" customWidth="1"/>
    <col min="13083" max="13083" width="1.7265625" style="56" customWidth="1"/>
    <col min="13084" max="13086" width="18.7265625" style="56" customWidth="1"/>
    <col min="13087" max="13087" width="12.54296875" style="56" bestFit="1" customWidth="1"/>
    <col min="13088" max="13320" width="11.453125" style="56"/>
    <col min="13321" max="13321" width="35.7265625" style="56" customWidth="1"/>
    <col min="13322" max="13322" width="3" style="56" customWidth="1"/>
    <col min="13323" max="13323" width="1.453125" style="56" customWidth="1"/>
    <col min="13324" max="13326" width="18.7265625" style="56" customWidth="1"/>
    <col min="13327" max="13327" width="1.7265625" style="56" customWidth="1"/>
    <col min="13328" max="13330" width="18.7265625" style="56" customWidth="1"/>
    <col min="13331" max="13331" width="1.26953125" style="56" customWidth="1"/>
    <col min="13332" max="13338" width="11.453125" style="56" customWidth="1"/>
    <col min="13339" max="13339" width="1.7265625" style="56" customWidth="1"/>
    <col min="13340" max="13342" width="18.7265625" style="56" customWidth="1"/>
    <col min="13343" max="13343" width="12.54296875" style="56" bestFit="1" customWidth="1"/>
    <col min="13344" max="13576" width="11.453125" style="56"/>
    <col min="13577" max="13577" width="35.7265625" style="56" customWidth="1"/>
    <col min="13578" max="13578" width="3" style="56" customWidth="1"/>
    <col min="13579" max="13579" width="1.453125" style="56" customWidth="1"/>
    <col min="13580" max="13582" width="18.7265625" style="56" customWidth="1"/>
    <col min="13583" max="13583" width="1.7265625" style="56" customWidth="1"/>
    <col min="13584" max="13586" width="18.7265625" style="56" customWidth="1"/>
    <col min="13587" max="13587" width="1.26953125" style="56" customWidth="1"/>
    <col min="13588" max="13594" width="11.453125" style="56" customWidth="1"/>
    <col min="13595" max="13595" width="1.7265625" style="56" customWidth="1"/>
    <col min="13596" max="13598" width="18.7265625" style="56" customWidth="1"/>
    <col min="13599" max="13599" width="12.54296875" style="56" bestFit="1" customWidth="1"/>
    <col min="13600" max="13832" width="11.453125" style="56"/>
    <col min="13833" max="13833" width="35.7265625" style="56" customWidth="1"/>
    <col min="13834" max="13834" width="3" style="56" customWidth="1"/>
    <col min="13835" max="13835" width="1.453125" style="56" customWidth="1"/>
    <col min="13836" max="13838" width="18.7265625" style="56" customWidth="1"/>
    <col min="13839" max="13839" width="1.7265625" style="56" customWidth="1"/>
    <col min="13840" max="13842" width="18.7265625" style="56" customWidth="1"/>
    <col min="13843" max="13843" width="1.26953125" style="56" customWidth="1"/>
    <col min="13844" max="13850" width="11.453125" style="56" customWidth="1"/>
    <col min="13851" max="13851" width="1.7265625" style="56" customWidth="1"/>
    <col min="13852" max="13854" width="18.7265625" style="56" customWidth="1"/>
    <col min="13855" max="13855" width="12.54296875" style="56" bestFit="1" customWidth="1"/>
    <col min="13856" max="14088" width="11.453125" style="56"/>
    <col min="14089" max="14089" width="35.7265625" style="56" customWidth="1"/>
    <col min="14090" max="14090" width="3" style="56" customWidth="1"/>
    <col min="14091" max="14091" width="1.453125" style="56" customWidth="1"/>
    <col min="14092" max="14094" width="18.7265625" style="56" customWidth="1"/>
    <col min="14095" max="14095" width="1.7265625" style="56" customWidth="1"/>
    <col min="14096" max="14098" width="18.7265625" style="56" customWidth="1"/>
    <col min="14099" max="14099" width="1.26953125" style="56" customWidth="1"/>
    <col min="14100" max="14106" width="11.453125" style="56" customWidth="1"/>
    <col min="14107" max="14107" width="1.7265625" style="56" customWidth="1"/>
    <col min="14108" max="14110" width="18.7265625" style="56" customWidth="1"/>
    <col min="14111" max="14111" width="12.54296875" style="56" bestFit="1" customWidth="1"/>
    <col min="14112" max="14344" width="11.453125" style="56"/>
    <col min="14345" max="14345" width="35.7265625" style="56" customWidth="1"/>
    <col min="14346" max="14346" width="3" style="56" customWidth="1"/>
    <col min="14347" max="14347" width="1.453125" style="56" customWidth="1"/>
    <col min="14348" max="14350" width="18.7265625" style="56" customWidth="1"/>
    <col min="14351" max="14351" width="1.7265625" style="56" customWidth="1"/>
    <col min="14352" max="14354" width="18.7265625" style="56" customWidth="1"/>
    <col min="14355" max="14355" width="1.26953125" style="56" customWidth="1"/>
    <col min="14356" max="14362" width="11.453125" style="56" customWidth="1"/>
    <col min="14363" max="14363" width="1.7265625" style="56" customWidth="1"/>
    <col min="14364" max="14366" width="18.7265625" style="56" customWidth="1"/>
    <col min="14367" max="14367" width="12.54296875" style="56" bestFit="1" customWidth="1"/>
    <col min="14368" max="14600" width="11.453125" style="56"/>
    <col min="14601" max="14601" width="35.7265625" style="56" customWidth="1"/>
    <col min="14602" max="14602" width="3" style="56" customWidth="1"/>
    <col min="14603" max="14603" width="1.453125" style="56" customWidth="1"/>
    <col min="14604" max="14606" width="18.7265625" style="56" customWidth="1"/>
    <col min="14607" max="14607" width="1.7265625" style="56" customWidth="1"/>
    <col min="14608" max="14610" width="18.7265625" style="56" customWidth="1"/>
    <col min="14611" max="14611" width="1.26953125" style="56" customWidth="1"/>
    <col min="14612" max="14618" width="11.453125" style="56" customWidth="1"/>
    <col min="14619" max="14619" width="1.7265625" style="56" customWidth="1"/>
    <col min="14620" max="14622" width="18.7265625" style="56" customWidth="1"/>
    <col min="14623" max="14623" width="12.54296875" style="56" bestFit="1" customWidth="1"/>
    <col min="14624" max="14856" width="11.453125" style="56"/>
    <col min="14857" max="14857" width="35.7265625" style="56" customWidth="1"/>
    <col min="14858" max="14858" width="3" style="56" customWidth="1"/>
    <col min="14859" max="14859" width="1.453125" style="56" customWidth="1"/>
    <col min="14860" max="14862" width="18.7265625" style="56" customWidth="1"/>
    <col min="14863" max="14863" width="1.7265625" style="56" customWidth="1"/>
    <col min="14864" max="14866" width="18.7265625" style="56" customWidth="1"/>
    <col min="14867" max="14867" width="1.26953125" style="56" customWidth="1"/>
    <col min="14868" max="14874" width="11.453125" style="56" customWidth="1"/>
    <col min="14875" max="14875" width="1.7265625" style="56" customWidth="1"/>
    <col min="14876" max="14878" width="18.7265625" style="56" customWidth="1"/>
    <col min="14879" max="14879" width="12.54296875" style="56" bestFit="1" customWidth="1"/>
    <col min="14880" max="15112" width="11.453125" style="56"/>
    <col min="15113" max="15113" width="35.7265625" style="56" customWidth="1"/>
    <col min="15114" max="15114" width="3" style="56" customWidth="1"/>
    <col min="15115" max="15115" width="1.453125" style="56" customWidth="1"/>
    <col min="15116" max="15118" width="18.7265625" style="56" customWidth="1"/>
    <col min="15119" max="15119" width="1.7265625" style="56" customWidth="1"/>
    <col min="15120" max="15122" width="18.7265625" style="56" customWidth="1"/>
    <col min="15123" max="15123" width="1.26953125" style="56" customWidth="1"/>
    <col min="15124" max="15130" width="11.453125" style="56" customWidth="1"/>
    <col min="15131" max="15131" width="1.7265625" style="56" customWidth="1"/>
    <col min="15132" max="15134" width="18.7265625" style="56" customWidth="1"/>
    <col min="15135" max="15135" width="12.54296875" style="56" bestFit="1" customWidth="1"/>
    <col min="15136" max="15368" width="11.453125" style="56"/>
    <col min="15369" max="15369" width="35.7265625" style="56" customWidth="1"/>
    <col min="15370" max="15370" width="3" style="56" customWidth="1"/>
    <col min="15371" max="15371" width="1.453125" style="56" customWidth="1"/>
    <col min="15372" max="15374" width="18.7265625" style="56" customWidth="1"/>
    <col min="15375" max="15375" width="1.7265625" style="56" customWidth="1"/>
    <col min="15376" max="15378" width="18.7265625" style="56" customWidth="1"/>
    <col min="15379" max="15379" width="1.26953125" style="56" customWidth="1"/>
    <col min="15380" max="15386" width="11.453125" style="56" customWidth="1"/>
    <col min="15387" max="15387" width="1.7265625" style="56" customWidth="1"/>
    <col min="15388" max="15390" width="18.7265625" style="56" customWidth="1"/>
    <col min="15391" max="15391" width="12.54296875" style="56" bestFit="1" customWidth="1"/>
    <col min="15392" max="15624" width="11.453125" style="56"/>
    <col min="15625" max="15625" width="35.7265625" style="56" customWidth="1"/>
    <col min="15626" max="15626" width="3" style="56" customWidth="1"/>
    <col min="15627" max="15627" width="1.453125" style="56" customWidth="1"/>
    <col min="15628" max="15630" width="18.7265625" style="56" customWidth="1"/>
    <col min="15631" max="15631" width="1.7265625" style="56" customWidth="1"/>
    <col min="15632" max="15634" width="18.7265625" style="56" customWidth="1"/>
    <col min="15635" max="15635" width="1.26953125" style="56" customWidth="1"/>
    <col min="15636" max="15642" width="11.453125" style="56" customWidth="1"/>
    <col min="15643" max="15643" width="1.7265625" style="56" customWidth="1"/>
    <col min="15644" max="15646" width="18.7265625" style="56" customWidth="1"/>
    <col min="15647" max="15647" width="12.54296875" style="56" bestFit="1" customWidth="1"/>
    <col min="15648" max="15880" width="11.453125" style="56"/>
    <col min="15881" max="15881" width="35.7265625" style="56" customWidth="1"/>
    <col min="15882" max="15882" width="3" style="56" customWidth="1"/>
    <col min="15883" max="15883" width="1.453125" style="56" customWidth="1"/>
    <col min="15884" max="15886" width="18.7265625" style="56" customWidth="1"/>
    <col min="15887" max="15887" width="1.7265625" style="56" customWidth="1"/>
    <col min="15888" max="15890" width="18.7265625" style="56" customWidth="1"/>
    <col min="15891" max="15891" width="1.26953125" style="56" customWidth="1"/>
    <col min="15892" max="15898" width="11.453125" style="56" customWidth="1"/>
    <col min="15899" max="15899" width="1.7265625" style="56" customWidth="1"/>
    <col min="15900" max="15902" width="18.7265625" style="56" customWidth="1"/>
    <col min="15903" max="15903" width="12.54296875" style="56" bestFit="1" customWidth="1"/>
    <col min="15904" max="16136" width="11.453125" style="56"/>
    <col min="16137" max="16137" width="35.7265625" style="56" customWidth="1"/>
    <col min="16138" max="16138" width="3" style="56" customWidth="1"/>
    <col min="16139" max="16139" width="1.453125" style="56" customWidth="1"/>
    <col min="16140" max="16142" width="18.7265625" style="56" customWidth="1"/>
    <col min="16143" max="16143" width="1.7265625" style="56" customWidth="1"/>
    <col min="16144" max="16146" width="18.7265625" style="56" customWidth="1"/>
    <col min="16147" max="16147" width="1.26953125" style="56" customWidth="1"/>
    <col min="16148" max="16154" width="11.453125" style="56" customWidth="1"/>
    <col min="16155" max="16155" width="1.7265625" style="56" customWidth="1"/>
    <col min="16156" max="16158" width="18.7265625" style="56" customWidth="1"/>
    <col min="16159" max="16159" width="12.54296875" style="56" bestFit="1" customWidth="1"/>
    <col min="16160" max="16384" width="11.453125" style="56"/>
  </cols>
  <sheetData>
    <row r="2" spans="2:45" ht="45.5" x14ac:dyDescent="0.25">
      <c r="B2" s="363" t="s">
        <v>82</v>
      </c>
      <c r="C2" s="1"/>
      <c r="D2" s="1"/>
      <c r="E2" s="1"/>
      <c r="F2" s="1"/>
      <c r="G2" s="1"/>
      <c r="H2" s="1"/>
      <c r="I2" s="1"/>
      <c r="J2" s="1"/>
      <c r="K2" s="1"/>
      <c r="L2" s="1"/>
      <c r="M2" s="1"/>
      <c r="N2" s="1"/>
      <c r="O2" s="1"/>
      <c r="P2" s="1"/>
      <c r="Q2" s="1"/>
      <c r="R2" s="1"/>
      <c r="S2" s="1"/>
      <c r="T2" s="1"/>
      <c r="U2" s="1"/>
      <c r="V2" s="1"/>
      <c r="W2" s="1"/>
      <c r="X2" s="1"/>
      <c r="Y2" s="1"/>
      <c r="Z2" s="1"/>
      <c r="AA2" s="1"/>
      <c r="AB2" s="1"/>
    </row>
    <row r="9" spans="2:45" ht="27.5" x14ac:dyDescent="0.25">
      <c r="B9" s="757" t="s">
        <v>0</v>
      </c>
      <c r="C9" s="757"/>
      <c r="D9" s="757"/>
      <c r="E9" s="757"/>
      <c r="F9" s="757"/>
      <c r="G9" s="757"/>
      <c r="H9" s="757"/>
      <c r="I9" s="757"/>
      <c r="J9" s="757"/>
      <c r="K9" s="757"/>
      <c r="L9" s="757"/>
      <c r="M9" s="757"/>
      <c r="N9" s="757"/>
      <c r="O9" s="757"/>
      <c r="P9" s="757"/>
      <c r="Q9" s="757"/>
      <c r="R9" s="757"/>
      <c r="S9" s="757"/>
      <c r="T9" s="757"/>
      <c r="U9" s="757"/>
      <c r="V9" s="757"/>
      <c r="W9" s="757"/>
      <c r="X9" s="757"/>
      <c r="Y9" s="757"/>
      <c r="Z9" s="757"/>
      <c r="AA9" s="397"/>
      <c r="AB9" s="397"/>
    </row>
    <row r="11" spans="2:45" ht="25" x14ac:dyDescent="0.25">
      <c r="B11" s="238"/>
      <c r="C11" s="238"/>
      <c r="D11" s="238"/>
      <c r="E11" s="758" t="s">
        <v>57</v>
      </c>
      <c r="F11" s="758"/>
      <c r="G11" s="758"/>
      <c r="H11" s="758"/>
      <c r="I11" s="239"/>
      <c r="J11" s="758" t="s">
        <v>58</v>
      </c>
      <c r="K11" s="758"/>
      <c r="L11" s="758"/>
      <c r="M11" s="758"/>
      <c r="N11" s="239"/>
      <c r="O11" s="758" t="s">
        <v>59</v>
      </c>
      <c r="P11" s="758"/>
      <c r="Q11" s="758"/>
      <c r="R11" s="758"/>
      <c r="S11" s="239"/>
      <c r="T11" s="758" t="s">
        <v>60</v>
      </c>
      <c r="U11" s="758"/>
      <c r="V11" s="758"/>
      <c r="W11" s="758"/>
      <c r="X11" s="239"/>
      <c r="Y11" s="758" t="s">
        <v>61</v>
      </c>
      <c r="Z11" s="758"/>
      <c r="AA11" s="758"/>
      <c r="AB11" s="758"/>
    </row>
    <row r="12" spans="2:45" ht="6.75" customHeight="1" x14ac:dyDescent="0.25">
      <c r="B12" s="238"/>
      <c r="C12" s="238"/>
      <c r="D12" s="238"/>
      <c r="E12" s="553"/>
      <c r="F12" s="553"/>
      <c r="G12" s="398"/>
      <c r="H12" s="398"/>
      <c r="I12" s="238"/>
      <c r="J12" s="553"/>
      <c r="K12" s="553"/>
      <c r="L12" s="398"/>
      <c r="M12" s="398"/>
      <c r="N12" s="238"/>
      <c r="O12" s="553"/>
      <c r="P12" s="553"/>
      <c r="Q12" s="398"/>
      <c r="R12" s="398"/>
      <c r="S12" s="238"/>
      <c r="T12" s="553"/>
      <c r="U12" s="553"/>
      <c r="V12" s="398"/>
      <c r="W12" s="398"/>
      <c r="X12" s="238"/>
      <c r="Y12" s="553"/>
      <c r="Z12" s="553"/>
      <c r="AA12" s="398"/>
      <c r="AB12" s="398"/>
    </row>
    <row r="13" spans="2:45" ht="24.75" customHeight="1" x14ac:dyDescent="0.25">
      <c r="B13" s="240"/>
      <c r="C13" s="241"/>
      <c r="D13" s="242"/>
      <c r="E13" s="554" t="s">
        <v>54</v>
      </c>
      <c r="F13" s="555" t="s">
        <v>55</v>
      </c>
      <c r="G13" s="555" t="s">
        <v>52</v>
      </c>
      <c r="H13" s="564" t="s">
        <v>53</v>
      </c>
      <c r="I13" s="239"/>
      <c r="J13" s="554" t="s">
        <v>54</v>
      </c>
      <c r="K13" s="555" t="s">
        <v>55</v>
      </c>
      <c r="L13" s="555" t="s">
        <v>52</v>
      </c>
      <c r="M13" s="564" t="s">
        <v>53</v>
      </c>
      <c r="N13" s="239"/>
      <c r="O13" s="554" t="s">
        <v>54</v>
      </c>
      <c r="P13" s="555" t="s">
        <v>55</v>
      </c>
      <c r="Q13" s="555" t="s">
        <v>52</v>
      </c>
      <c r="R13" s="564" t="s">
        <v>53</v>
      </c>
      <c r="S13" s="239"/>
      <c r="T13" s="554" t="s">
        <v>54</v>
      </c>
      <c r="U13" s="555" t="s">
        <v>55</v>
      </c>
      <c r="V13" s="555" t="s">
        <v>52</v>
      </c>
      <c r="W13" s="564" t="s">
        <v>53</v>
      </c>
      <c r="X13" s="402"/>
      <c r="Y13" s="554" t="s">
        <v>54</v>
      </c>
      <c r="Z13" s="555" t="s">
        <v>55</v>
      </c>
      <c r="AA13" s="555" t="s">
        <v>52</v>
      </c>
      <c r="AB13" s="564" t="s">
        <v>53</v>
      </c>
      <c r="AC13" s="403"/>
      <c r="AI13" s="349"/>
      <c r="AJ13" s="349"/>
      <c r="AK13" s="349"/>
    </row>
    <row r="14" spans="2:45" ht="6.75" customHeight="1" x14ac:dyDescent="0.25">
      <c r="B14" s="238"/>
      <c r="C14" s="238"/>
      <c r="D14" s="238"/>
      <c r="E14" s="553"/>
      <c r="F14" s="553"/>
      <c r="G14" s="553"/>
      <c r="H14" s="553"/>
      <c r="I14" s="238"/>
      <c r="J14" s="553"/>
      <c r="K14" s="553"/>
      <c r="L14" s="553"/>
      <c r="M14" s="553"/>
      <c r="N14" s="238"/>
      <c r="O14" s="553"/>
      <c r="P14" s="553"/>
      <c r="Q14" s="553"/>
      <c r="R14" s="553"/>
      <c r="S14" s="238"/>
      <c r="T14" s="553"/>
      <c r="U14" s="553"/>
      <c r="V14" s="553"/>
      <c r="W14" s="553"/>
      <c r="X14" s="238"/>
      <c r="Y14" s="553"/>
      <c r="Z14" s="553"/>
      <c r="AA14" s="553"/>
      <c r="AB14" s="553"/>
      <c r="AI14" s="349"/>
      <c r="AJ14" s="349"/>
      <c r="AK14" s="349"/>
      <c r="AO14" s="349"/>
      <c r="AP14" s="349"/>
      <c r="AQ14" s="349"/>
    </row>
    <row r="15" spans="2:45" ht="6" customHeight="1" x14ac:dyDescent="0.25">
      <c r="B15" s="557"/>
      <c r="C15" s="557"/>
      <c r="D15" s="557"/>
      <c r="E15" s="557"/>
      <c r="F15" s="557"/>
      <c r="G15" s="557"/>
      <c r="H15" s="557"/>
      <c r="I15" s="238"/>
      <c r="J15" s="557"/>
      <c r="K15" s="557"/>
      <c r="L15" s="557"/>
      <c r="M15" s="557"/>
      <c r="N15" s="238"/>
      <c r="O15" s="557"/>
      <c r="P15" s="557"/>
      <c r="Q15" s="557"/>
      <c r="R15" s="557"/>
      <c r="S15" s="238"/>
      <c r="T15" s="557"/>
      <c r="U15" s="557"/>
      <c r="V15" s="557"/>
      <c r="W15" s="557"/>
      <c r="X15" s="238"/>
      <c r="Y15" s="557"/>
      <c r="Z15" s="557"/>
      <c r="AA15" s="557"/>
      <c r="AB15" s="557"/>
    </row>
    <row r="16" spans="2:45" ht="23.5" x14ac:dyDescent="0.25">
      <c r="B16" s="243" t="s">
        <v>10</v>
      </c>
      <c r="C16" s="278"/>
      <c r="D16" s="278"/>
      <c r="E16" s="279">
        <f>'[1]Syn prin concurents'!E18</f>
        <v>826975.06347000017</v>
      </c>
      <c r="F16" s="279">
        <f>'[6]Syn prin concurents par trim'!$F16</f>
        <v>1014273.70753</v>
      </c>
      <c r="G16" s="279">
        <f>'[7]Syn prin concurents par trim'!G16</f>
        <v>997576.37399999984</v>
      </c>
      <c r="H16" s="279">
        <f>'Syn prin concurents'!E18-G16-F16-E16</f>
        <v>-1428452.49</v>
      </c>
      <c r="I16" s="247"/>
      <c r="J16" s="279">
        <f>'[1]Syn prin concurents'!I18</f>
        <v>638934.88188999996</v>
      </c>
      <c r="K16" s="279">
        <f>'[6]Syn prin concurents par trim'!K16</f>
        <v>775244.44811000011</v>
      </c>
      <c r="L16" s="279">
        <f>'[7]Syn prin concurents par trim'!L16</f>
        <v>740352.67200000014</v>
      </c>
      <c r="M16" s="279">
        <f>'Syn prin concurents'!I18-L16-K16-J16</f>
        <v>-1492146.2290000003</v>
      </c>
      <c r="N16" s="247"/>
      <c r="O16" s="279">
        <f>'[1]Syn prin concurents'!M18</f>
        <v>162679.28106000001</v>
      </c>
      <c r="P16" s="279">
        <f>'[6]Syn prin concurents par trim'!P16</f>
        <v>149244.38494000002</v>
      </c>
      <c r="Q16" s="279">
        <f>'[7]Syn prin concurents par trim'!Q16</f>
        <v>137756.19499999995</v>
      </c>
      <c r="R16" s="279">
        <f>'Syn prin concurents'!M18-Q16-P16-O16</f>
        <v>-190384.52199999997</v>
      </c>
      <c r="S16" s="247"/>
      <c r="T16" s="279">
        <f>'[1]Syn prin concurents'!Q18</f>
        <v>6406.1676100000004</v>
      </c>
      <c r="U16" s="279">
        <f>'[6]Syn prin concurents par trim'!U16</f>
        <v>6365.6763899999987</v>
      </c>
      <c r="V16" s="279">
        <f>'[7]Syn prin concurents par trim'!V16</f>
        <v>4516.7924800000001</v>
      </c>
      <c r="W16" s="279">
        <f>'Syn prin concurents'!Q18-V16-U16-T16</f>
        <v>-12509.590479999999</v>
      </c>
      <c r="X16" s="247"/>
      <c r="Y16" s="279">
        <f>T16+O16+J16+E16</f>
        <v>1634995.3940300001</v>
      </c>
      <c r="Z16" s="279">
        <f>U16+P16+K16+F16</f>
        <v>1945128.2169700002</v>
      </c>
      <c r="AA16" s="279">
        <f>V16+Q16+L16+G16</f>
        <v>1880202.03348</v>
      </c>
      <c r="AB16" s="279">
        <f>W16+R16+M16+H16</f>
        <v>-3123492.8314800002</v>
      </c>
      <c r="AC16" s="57"/>
      <c r="AD16" s="35">
        <f>E16+F16+G16+H16-'Syn prin concurents'!E18</f>
        <v>0</v>
      </c>
      <c r="AE16" s="35">
        <f>J16+K16+L16+M16-'Syn prin concurents'!I18</f>
        <v>0</v>
      </c>
      <c r="AF16" s="35">
        <f>O16+P16+Q16+R16-'Syn prin concurents'!M18</f>
        <v>0</v>
      </c>
      <c r="AG16" s="35">
        <f>T16+U16+V16+W16-'Syn prin concurents'!Q18</f>
        <v>0</v>
      </c>
      <c r="AH16" s="35">
        <f>Y16+Z16+AA16+AB16-'Syn prin concurents'!U18</f>
        <v>0</v>
      </c>
      <c r="AI16" s="390"/>
      <c r="AJ16" s="390"/>
      <c r="AK16" s="390"/>
      <c r="AL16" s="314"/>
      <c r="AM16" s="350"/>
      <c r="AN16" s="350"/>
      <c r="AO16" s="350"/>
      <c r="AP16" s="314"/>
      <c r="AQ16" s="314"/>
      <c r="AS16" s="325"/>
    </row>
    <row r="17" spans="2:45" ht="23" x14ac:dyDescent="0.25">
      <c r="B17" s="248" t="s">
        <v>67</v>
      </c>
      <c r="C17" s="281"/>
      <c r="D17" s="281"/>
      <c r="E17" s="282">
        <f>E16/E$30</f>
        <v>0.19606742694774262</v>
      </c>
      <c r="F17" s="282">
        <f>F16/F$30</f>
        <v>0.20709662608011767</v>
      </c>
      <c r="G17" s="282">
        <f>G16/G$30</f>
        <v>0.23918707872542488</v>
      </c>
      <c r="H17" s="282">
        <f>H16/H$30</f>
        <v>0.22576343191472451</v>
      </c>
      <c r="I17" s="252"/>
      <c r="J17" s="282">
        <f>J16/J$30</f>
        <v>0.34600571676726755</v>
      </c>
      <c r="K17" s="282">
        <f>K16/K$30</f>
        <v>0.38636306791393971</v>
      </c>
      <c r="L17" s="282">
        <f>L16/L$30</f>
        <v>0.36644785736123453</v>
      </c>
      <c r="M17" s="282">
        <f>M16/M$30</f>
        <v>0.36541233008863827</v>
      </c>
      <c r="N17" s="252"/>
      <c r="O17" s="282">
        <f>O16/O$30</f>
        <v>0.98630263135932494</v>
      </c>
      <c r="P17" s="282">
        <f>P16/P$30</f>
        <v>0.9915472772553181</v>
      </c>
      <c r="Q17" s="282">
        <f>Q16/Q$30</f>
        <v>0.99177018949914131</v>
      </c>
      <c r="R17" s="282">
        <f>R16/R$30</f>
        <v>0.98265640358544948</v>
      </c>
      <c r="S17" s="252"/>
      <c r="T17" s="282">
        <f>T16/T$30</f>
        <v>0.51736512451682393</v>
      </c>
      <c r="U17" s="282">
        <f>U16/U$30</f>
        <v>2.6115252921175034</v>
      </c>
      <c r="V17" s="282">
        <f>V16/V$30</f>
        <v>2.2062884179927824</v>
      </c>
      <c r="W17" s="282">
        <f>W16/W$30</f>
        <v>1.1534897702988558</v>
      </c>
      <c r="X17" s="252"/>
      <c r="Y17" s="282">
        <f>Y16/Y$30</f>
        <v>0.26194576768025818</v>
      </c>
      <c r="Z17" s="282">
        <f>Z16/Z$30</f>
        <v>0.27562873054137144</v>
      </c>
      <c r="AA17" s="282">
        <f>AA16/AA$30</f>
        <v>0.29693694347995742</v>
      </c>
      <c r="AB17" s="282">
        <f>AB16/AB$30</f>
        <v>0.29424558910474424</v>
      </c>
      <c r="AD17" s="391"/>
      <c r="AE17" s="391"/>
      <c r="AF17" s="391"/>
      <c r="AG17" s="391"/>
      <c r="AH17" s="391"/>
      <c r="AI17" s="390"/>
      <c r="AJ17" s="390"/>
      <c r="AK17" s="390"/>
      <c r="AN17" s="57"/>
    </row>
    <row r="18" spans="2:45" ht="23.5" x14ac:dyDescent="0.25">
      <c r="B18" s="223" t="s">
        <v>2</v>
      </c>
      <c r="C18" s="224"/>
      <c r="D18" s="224"/>
      <c r="E18" s="225">
        <f>'[1]Syn prin concurents'!E16</f>
        <v>1394379.611353334</v>
      </c>
      <c r="F18" s="225">
        <f>'[6]Syn prin concurents par trim'!$F18</f>
        <v>1288206.3933066661</v>
      </c>
      <c r="G18" s="225">
        <f>'[7]Syn prin concurents par trim'!G18</f>
        <v>1208298.083523334</v>
      </c>
      <c r="H18" s="225">
        <f>'Syn prin concurents'!E16-G18-F18-E18</f>
        <v>-1019954.9636699921</v>
      </c>
      <c r="I18" s="247"/>
      <c r="J18" s="225">
        <f>'[1]Syn prin concurents'!I16</f>
        <v>307507.00661000004</v>
      </c>
      <c r="K18" s="225">
        <f>'[6]Syn prin concurents par trim'!$K18</f>
        <v>282195.05194000003</v>
      </c>
      <c r="L18" s="225">
        <f>'[7]Syn prin concurents par trim'!L18</f>
        <v>293267.66671000014</v>
      </c>
      <c r="M18" s="225">
        <f>'Syn prin concurents'!I16-L18-K18-J18</f>
        <v>-455024.92124000023</v>
      </c>
      <c r="N18" s="247"/>
      <c r="O18" s="225">
        <f>'[1]Syn prin concurents'!M16</f>
        <v>2147.3235</v>
      </c>
      <c r="P18" s="225">
        <f>'[6]Syn prin concurents par trim'!P18</f>
        <v>1094.0545999999999</v>
      </c>
      <c r="Q18" s="225">
        <f>'[7]Syn prin concurents par trim'!Q18</f>
        <v>520.48300000000017</v>
      </c>
      <c r="R18" s="225">
        <f>'Syn prin concurents'!M16-Q18-P18-O18</f>
        <v>-2618.7588000000005</v>
      </c>
      <c r="S18" s="247"/>
      <c r="T18" s="225">
        <f>'[1]Syn prin concurents'!Q16</f>
        <v>0</v>
      </c>
      <c r="U18" s="225">
        <f>'Syn prin concurents'!Q16-T18</f>
        <v>0</v>
      </c>
      <c r="V18" s="225">
        <f>'[7]Syn prin concurents par trim'!V18</f>
        <v>0</v>
      </c>
      <c r="W18" s="225">
        <f>'Syn prin concurents'!Q16-V18-U18-T18</f>
        <v>0</v>
      </c>
      <c r="X18" s="247"/>
      <c r="Y18" s="225">
        <f>T18+O18+J18+E18</f>
        <v>1704033.941463334</v>
      </c>
      <c r="Z18" s="225">
        <f>U18+P18+K18+F18</f>
        <v>1571495.4998466661</v>
      </c>
      <c r="AA18" s="225">
        <f>V18+Q18+L18+G18</f>
        <v>1502086.233233334</v>
      </c>
      <c r="AB18" s="225">
        <f>W18+R18+M18+H18</f>
        <v>-1477598.6437099923</v>
      </c>
      <c r="AC18" s="57"/>
      <c r="AD18" s="35">
        <f>E18+F18+G18+H18-'Syn prin concurents'!E16</f>
        <v>0</v>
      </c>
      <c r="AE18" s="35">
        <f>J18+K18+L18+M18-'Syn prin concurents'!I16</f>
        <v>0</v>
      </c>
      <c r="AF18" s="35">
        <f>O18+P18+Q18+R18-'Syn prin concurents'!M16</f>
        <v>0</v>
      </c>
      <c r="AG18" s="35">
        <f>T18+U18+V18+W18-'Syn prin concurents'!Q16</f>
        <v>0</v>
      </c>
      <c r="AH18" s="35">
        <f>Y18+Z18+AA18+AB18-'Syn prin concurents'!U16</f>
        <v>0</v>
      </c>
      <c r="AI18" s="313"/>
      <c r="AJ18" s="313"/>
      <c r="AK18" s="313"/>
      <c r="AL18" s="314"/>
      <c r="AM18" s="350"/>
      <c r="AN18" s="350"/>
      <c r="AO18" s="350"/>
      <c r="AP18" s="314"/>
      <c r="AQ18" s="314"/>
      <c r="AS18" s="325"/>
    </row>
    <row r="19" spans="2:45" ht="23" x14ac:dyDescent="0.25">
      <c r="B19" s="227" t="s">
        <v>67</v>
      </c>
      <c r="C19" s="228"/>
      <c r="D19" s="228"/>
      <c r="E19" s="229">
        <f>E18/E$30</f>
        <v>0.33059330887110761</v>
      </c>
      <c r="F19" s="229">
        <f>F18/F$30</f>
        <v>0.26302880156316855</v>
      </c>
      <c r="G19" s="229">
        <f>G18/G$30</f>
        <v>0.28971144100840118</v>
      </c>
      <c r="H19" s="229">
        <f>H18/H$30</f>
        <v>0.16120139424209731</v>
      </c>
      <c r="I19" s="252"/>
      <c r="J19" s="229">
        <f>J18/J$30</f>
        <v>0.16652586241389117</v>
      </c>
      <c r="K19" s="229">
        <f>K18/K$30</f>
        <v>0.1406391832711347</v>
      </c>
      <c r="L19" s="229">
        <f>L18/L$30</f>
        <v>0.14515691259530997</v>
      </c>
      <c r="M19" s="229">
        <f>M18/M$30</f>
        <v>0.11143124814927745</v>
      </c>
      <c r="N19" s="252"/>
      <c r="O19" s="229">
        <f>O18/O$30</f>
        <v>1.3018933970138331E-2</v>
      </c>
      <c r="P19" s="229">
        <f>P18/P$30</f>
        <v>7.2686611307673362E-3</v>
      </c>
      <c r="Q19" s="229">
        <f>Q18/Q$30</f>
        <v>3.7471964403566894E-3</v>
      </c>
      <c r="R19" s="229">
        <f>R18/R$30</f>
        <v>1.3516540510923197E-2</v>
      </c>
      <c r="S19" s="252"/>
      <c r="T19" s="229">
        <f>T18/T$30</f>
        <v>0</v>
      </c>
      <c r="U19" s="229">
        <f>U18/U$30</f>
        <v>0</v>
      </c>
      <c r="V19" s="229">
        <f>V18/V$30</f>
        <v>0</v>
      </c>
      <c r="W19" s="229">
        <f>W18/W$30</f>
        <v>0</v>
      </c>
      <c r="X19" s="252"/>
      <c r="Y19" s="229">
        <f>Y18/Y$30</f>
        <v>0.27300656661155032</v>
      </c>
      <c r="Z19" s="229">
        <f>Z18/Z$30</f>
        <v>0.22268419423216618</v>
      </c>
      <c r="AA19" s="229">
        <f>AA18/AA$30</f>
        <v>0.23722179159337298</v>
      </c>
      <c r="AB19" s="229">
        <f>AB18/AB$30</f>
        <v>0.13919573593924595</v>
      </c>
      <c r="AD19" s="391"/>
      <c r="AE19" s="391"/>
      <c r="AF19" s="391"/>
      <c r="AG19" s="391"/>
      <c r="AH19" s="391"/>
      <c r="AI19" s="313"/>
      <c r="AJ19" s="313"/>
      <c r="AK19" s="313"/>
      <c r="AN19" s="57"/>
    </row>
    <row r="20" spans="2:45" ht="23.5" x14ac:dyDescent="0.25">
      <c r="B20" s="243" t="s">
        <v>5</v>
      </c>
      <c r="C20" s="278"/>
      <c r="D20" s="278"/>
      <c r="E20" s="279">
        <f>'[1]Syn prin concurents'!E20</f>
        <v>768372.06414999999</v>
      </c>
      <c r="F20" s="279">
        <f>'[6]Syn prin concurents par trim'!$F20</f>
        <v>1264426.1538499999</v>
      </c>
      <c r="G20" s="279">
        <f>'[7]Syn prin concurents par trim'!G20</f>
        <v>843832.47100000037</v>
      </c>
      <c r="H20" s="279">
        <f>'Syn prin concurents'!E20-G20-F20-E20</f>
        <v>-2095564.9090000002</v>
      </c>
      <c r="I20" s="247"/>
      <c r="J20" s="279">
        <f>'[1]Syn prin concurents'!I20</f>
        <v>278389.54372000002</v>
      </c>
      <c r="K20" s="279">
        <f>'[6]Syn prin concurents par trim'!$K20</f>
        <v>318411.50928000006</v>
      </c>
      <c r="L20" s="279">
        <f>'[7]Syn prin concurents par trim'!L20</f>
        <v>339086.11599999986</v>
      </c>
      <c r="M20" s="279">
        <f>'Syn prin concurents'!I20-L20-K20-J20</f>
        <v>-723229.67799999984</v>
      </c>
      <c r="N20" s="247"/>
      <c r="O20" s="279">
        <f>'[1]Syn prin concurents'!M20</f>
        <v>0</v>
      </c>
      <c r="P20" s="279">
        <f>'[6]Syn prin concurents par trim'!P20</f>
        <v>0</v>
      </c>
      <c r="Q20" s="279">
        <f>'[7]Syn prin concurents par trim'!Q20</f>
        <v>0</v>
      </c>
      <c r="R20" s="279">
        <f>'Syn prin concurents'!M20-Q20-P20-O20</f>
        <v>0</v>
      </c>
      <c r="S20" s="247"/>
      <c r="T20" s="279">
        <f>'[1]Syn prin concurents'!Q20</f>
        <v>0</v>
      </c>
      <c r="U20" s="279">
        <f>'Syn prin concurents'!Q20-T20</f>
        <v>0</v>
      </c>
      <c r="V20" s="279">
        <f>'[7]Syn prin concurents par trim'!V20</f>
        <v>0</v>
      </c>
      <c r="W20" s="279">
        <f>'Syn prin concurents'!Q20-V20-U20-T20</f>
        <v>0</v>
      </c>
      <c r="X20" s="247"/>
      <c r="Y20" s="279">
        <f>T20+O20+J20+E20</f>
        <v>1046761.6078699999</v>
      </c>
      <c r="Z20" s="279">
        <f>U20+P20+K20+F20</f>
        <v>1582837.66313</v>
      </c>
      <c r="AA20" s="279">
        <f>V20+Q20+L20+G20</f>
        <v>1182918.5870000003</v>
      </c>
      <c r="AB20" s="279">
        <f>W20+R20+M20+H20</f>
        <v>-2818794.5870000003</v>
      </c>
      <c r="AC20" s="57"/>
      <c r="AD20" s="35">
        <f>E20+F20+G20+H20-'Syn prin concurents'!E20</f>
        <v>0</v>
      </c>
      <c r="AE20" s="35">
        <f>J20+K20+L20+M20-'Syn prin concurents'!I20</f>
        <v>0</v>
      </c>
      <c r="AF20" s="35">
        <f>O20+P20+Q20+R20-'Syn prin concurents'!M20</f>
        <v>0</v>
      </c>
      <c r="AG20" s="35">
        <f>T20+U20+V20+W20-'Syn prin concurents'!Q20</f>
        <v>0</v>
      </c>
      <c r="AH20" s="35">
        <f>Y20+Z20+AA20+AB20-'Syn prin concurents'!U20</f>
        <v>0</v>
      </c>
      <c r="AI20" s="313"/>
      <c r="AJ20" s="313"/>
      <c r="AK20" s="313"/>
      <c r="AL20" s="314"/>
      <c r="AM20" s="350"/>
      <c r="AN20" s="350"/>
      <c r="AO20" s="350"/>
      <c r="AP20" s="314"/>
      <c r="AQ20" s="314"/>
      <c r="AS20" s="325"/>
    </row>
    <row r="21" spans="2:45" ht="23" x14ac:dyDescent="0.25">
      <c r="B21" s="248" t="s">
        <v>67</v>
      </c>
      <c r="C21" s="281"/>
      <c r="D21" s="281"/>
      <c r="E21" s="282">
        <f>E20/E$30</f>
        <v>0.18217324827700987</v>
      </c>
      <c r="F21" s="282">
        <f>F20/F$30</f>
        <v>0.2581733002105347</v>
      </c>
      <c r="G21" s="282">
        <f>G20/G$30</f>
        <v>0.20232418181963374</v>
      </c>
      <c r="H21" s="282">
        <f>H20/H$30</f>
        <v>0.33119892258783307</v>
      </c>
      <c r="I21" s="252"/>
      <c r="J21" s="282">
        <f>J20/J$30</f>
        <v>0.15075773188406782</v>
      </c>
      <c r="K21" s="282">
        <f>K20/K$30</f>
        <v>0.15868858897919247</v>
      </c>
      <c r="L21" s="282">
        <f>L20/L$30</f>
        <v>0.16783539165661707</v>
      </c>
      <c r="M21" s="282">
        <f>M20/M$30</f>
        <v>0.1771120260809475</v>
      </c>
      <c r="N21" s="252"/>
      <c r="O21" s="282">
        <f>O20/O$30</f>
        <v>0</v>
      </c>
      <c r="P21" s="282">
        <f>P20/P$30</f>
        <v>0</v>
      </c>
      <c r="Q21" s="282">
        <f>Q20/Q$30</f>
        <v>0</v>
      </c>
      <c r="R21" s="282">
        <f>R20/R$30</f>
        <v>0</v>
      </c>
      <c r="S21" s="252"/>
      <c r="T21" s="282">
        <f>T20/T$30</f>
        <v>0</v>
      </c>
      <c r="U21" s="282">
        <f>U20/U$30</f>
        <v>0</v>
      </c>
      <c r="V21" s="282">
        <f>V20/V$30</f>
        <v>0</v>
      </c>
      <c r="W21" s="282">
        <f>W20/W$30</f>
        <v>0</v>
      </c>
      <c r="X21" s="252"/>
      <c r="Y21" s="282">
        <f>Y20/Y$30</f>
        <v>0.16770369748619449</v>
      </c>
      <c r="Z21" s="282">
        <f>Z20/Z$30</f>
        <v>0.22429140245633564</v>
      </c>
      <c r="AA21" s="282">
        <f>AA20/AA$30</f>
        <v>0.18681621621230232</v>
      </c>
      <c r="AB21" s="282">
        <f>AB20/AB$30</f>
        <v>0.26554178881341545</v>
      </c>
      <c r="AD21" s="391"/>
      <c r="AE21" s="391"/>
      <c r="AF21" s="391"/>
      <c r="AG21" s="391"/>
      <c r="AH21" s="391"/>
      <c r="AI21" s="313"/>
      <c r="AJ21" s="313"/>
      <c r="AK21" s="313"/>
      <c r="AN21" s="57"/>
    </row>
    <row r="22" spans="2:45" ht="23.5" x14ac:dyDescent="0.25">
      <c r="B22" s="243" t="s">
        <v>6</v>
      </c>
      <c r="C22" s="244"/>
      <c r="D22" s="244"/>
      <c r="E22" s="245">
        <f>'[1]Syn prin concurents'!E22</f>
        <v>368706.85749000002</v>
      </c>
      <c r="F22" s="279">
        <f>'[6]Syn prin concurents par trim'!$F22</f>
        <v>374165.15850999992</v>
      </c>
      <c r="G22" s="245">
        <f>'[7]Syn prin concurents par trim'!G22</f>
        <v>319322.7759999999</v>
      </c>
      <c r="H22" s="245">
        <f>'Syn prin concurents'!E22-G22-F22-E22</f>
        <v>-406863.58599999984</v>
      </c>
      <c r="I22" s="247"/>
      <c r="J22" s="245">
        <f>'[1]Syn prin concurents'!I22</f>
        <v>336925.96260000003</v>
      </c>
      <c r="K22" s="245">
        <f>'[6]Syn prin concurents par trim'!$K22</f>
        <v>373055.23839999997</v>
      </c>
      <c r="L22" s="245">
        <f>'[7]Syn prin concurents par trim'!L22</f>
        <v>388462.16899999994</v>
      </c>
      <c r="M22" s="245">
        <f>'Syn prin concurents'!I22-L22-K22-J22</f>
        <v>-813635.15099999995</v>
      </c>
      <c r="N22" s="247"/>
      <c r="O22" s="245">
        <f>'[1]Syn prin concurents'!M22</f>
        <v>111.9</v>
      </c>
      <c r="P22" s="245">
        <f>'[6]Syn prin concurents par trim'!P22</f>
        <v>178.22099999999998</v>
      </c>
      <c r="Q22" s="245">
        <f>'[7]Syn prin concurents par trim'!Q22</f>
        <v>622.63200000000006</v>
      </c>
      <c r="R22" s="245">
        <f>'Syn prin concurents'!M22-Q22-P22-O22</f>
        <v>-741.47199999999998</v>
      </c>
      <c r="S22" s="247"/>
      <c r="T22" s="245">
        <f>'[1]Syn prin concurents'!Q22</f>
        <v>0</v>
      </c>
      <c r="U22" s="245">
        <f>'Syn prin concurents'!Q22-T22</f>
        <v>0</v>
      </c>
      <c r="V22" s="245">
        <f>'[7]Syn prin concurents par trim'!V22</f>
        <v>0</v>
      </c>
      <c r="W22" s="245">
        <f>'Syn prin concurents'!Q22-V22-U22-T22</f>
        <v>0</v>
      </c>
      <c r="X22" s="247"/>
      <c r="Y22" s="245">
        <f>T22+O22+J22+E22</f>
        <v>705744.72009000008</v>
      </c>
      <c r="Z22" s="245">
        <f>U22+P22+K22+F22</f>
        <v>747398.61790999991</v>
      </c>
      <c r="AA22" s="245">
        <f>V22+Q22+L22+G22</f>
        <v>708407.57699999982</v>
      </c>
      <c r="AB22" s="245">
        <f>W22+R22+M22+H22</f>
        <v>-1221240.2089999998</v>
      </c>
      <c r="AC22" s="57"/>
      <c r="AD22" s="35">
        <f>E22+F22+G22+H22-'Syn prin concurents'!E22</f>
        <v>0</v>
      </c>
      <c r="AE22" s="35">
        <f>J22+K22+L22+M22-'Syn prin concurents'!I22</f>
        <v>0</v>
      </c>
      <c r="AF22" s="35">
        <f>O22+P22+Q22+R22-'Syn prin concurents'!M22</f>
        <v>0</v>
      </c>
      <c r="AG22" s="35">
        <f>T22+U22+V22+W22-'Syn prin concurents'!Q22</f>
        <v>0</v>
      </c>
      <c r="AH22" s="35">
        <f>Y22+Z22+AA22+AB22-'Syn prin concurents'!U22</f>
        <v>0</v>
      </c>
      <c r="AI22" s="313"/>
      <c r="AJ22" s="313"/>
      <c r="AK22" s="313"/>
      <c r="AL22" s="314"/>
      <c r="AM22" s="350"/>
      <c r="AN22" s="350"/>
      <c r="AO22" s="350"/>
      <c r="AP22" s="314"/>
      <c r="AQ22" s="314"/>
      <c r="AS22" s="325"/>
    </row>
    <row r="23" spans="2:45" ht="23" x14ac:dyDescent="0.25">
      <c r="B23" s="248" t="s">
        <v>67</v>
      </c>
      <c r="C23" s="249"/>
      <c r="D23" s="249"/>
      <c r="E23" s="250">
        <f>E22/E$30</f>
        <v>8.7416668336668432E-2</v>
      </c>
      <c r="F23" s="250">
        <f>F22/F$30</f>
        <v>7.639786119750272E-2</v>
      </c>
      <c r="G23" s="250">
        <f>G22/G$30</f>
        <v>7.6563443113312146E-2</v>
      </c>
      <c r="H23" s="250">
        <f>H22/H$30</f>
        <v>6.4303797388803333E-2</v>
      </c>
      <c r="I23" s="252"/>
      <c r="J23" s="250">
        <f>J22/J$30</f>
        <v>0.18245726206412516</v>
      </c>
      <c r="K23" s="250">
        <f>K22/K$30</f>
        <v>0.18592170090476901</v>
      </c>
      <c r="L23" s="250">
        <f>L22/L$30</f>
        <v>0.19227475617991385</v>
      </c>
      <c r="M23" s="250">
        <f>M22/M$30</f>
        <v>0.19925146114411482</v>
      </c>
      <c r="N23" s="252"/>
      <c r="O23" s="250">
        <f>O22/O$30</f>
        <v>6.7843467053682377E-4</v>
      </c>
      <c r="P23" s="250">
        <f>P22/P$30</f>
        <v>1.184061613914411E-3</v>
      </c>
      <c r="Q23" s="250">
        <f>Q22/Q$30</f>
        <v>4.4826140605018138E-3</v>
      </c>
      <c r="R23" s="250">
        <f>R22/R$30</f>
        <v>3.8270559036270319E-3</v>
      </c>
      <c r="S23" s="252"/>
      <c r="T23" s="250">
        <f>T22/T$30</f>
        <v>0</v>
      </c>
      <c r="U23" s="250">
        <f>U22/U$30</f>
        <v>0</v>
      </c>
      <c r="V23" s="250">
        <f>V22/V$30</f>
        <v>0</v>
      </c>
      <c r="W23" s="250">
        <f>W22/W$30</f>
        <v>0</v>
      </c>
      <c r="X23" s="252"/>
      <c r="Y23" s="250">
        <f>Y22/Y$30</f>
        <v>0.11306872371951888</v>
      </c>
      <c r="Z23" s="250">
        <f>Z22/Z$30</f>
        <v>0.10590794502164483</v>
      </c>
      <c r="AA23" s="250">
        <f>AA22/AA$30</f>
        <v>0.11187754129969145</v>
      </c>
      <c r="AB23" s="250">
        <f>AB22/AB$30</f>
        <v>0.1150457401771395</v>
      </c>
      <c r="AD23" s="391"/>
      <c r="AE23" s="391"/>
      <c r="AF23" s="391"/>
      <c r="AG23" s="391"/>
      <c r="AH23" s="391"/>
      <c r="AI23" s="313"/>
      <c r="AJ23" s="313"/>
      <c r="AK23" s="313"/>
      <c r="AN23" s="57"/>
    </row>
    <row r="24" spans="2:45" ht="23.5" x14ac:dyDescent="0.25">
      <c r="B24" s="243" t="s">
        <v>4</v>
      </c>
      <c r="C24" s="244"/>
      <c r="D24" s="244"/>
      <c r="E24" s="245">
        <f>'[1]Syn prin concurents'!E24</f>
        <v>593032.68648000003</v>
      </c>
      <c r="F24" s="279">
        <f>'[6]Syn prin concurents par trim'!$F24</f>
        <v>675311.68952000013</v>
      </c>
      <c r="G24" s="245">
        <f>'[7]Syn prin concurents par trim'!G24</f>
        <v>566978.84900000005</v>
      </c>
      <c r="H24" s="245">
        <f>'Syn prin concurents'!E24-G24-F24-E24</f>
        <v>-956588.1610000002</v>
      </c>
      <c r="I24" s="247"/>
      <c r="J24" s="245">
        <f>'[1]Syn prin concurents'!I24</f>
        <v>0</v>
      </c>
      <c r="K24" s="245">
        <f>'[6]Syn prin concurents par trim'!$K24</f>
        <v>0</v>
      </c>
      <c r="L24" s="245">
        <f>'[7]Syn prin concurents par trim'!L24</f>
        <v>0</v>
      </c>
      <c r="M24" s="245">
        <f>'Syn prin concurents'!I24-L24-K24-J24</f>
        <v>0</v>
      </c>
      <c r="N24" s="247"/>
      <c r="O24" s="245">
        <f>'[1]Syn prin concurents'!M24</f>
        <v>0</v>
      </c>
      <c r="P24" s="245">
        <f>'[6]Syn prin concurents par trim'!P24</f>
        <v>0</v>
      </c>
      <c r="Q24" s="245">
        <f>'[7]Syn prin concurents par trim'!Q24</f>
        <v>0</v>
      </c>
      <c r="R24" s="245">
        <f>'Syn prin concurents'!M24-Q24-P24-O24</f>
        <v>0</v>
      </c>
      <c r="S24" s="247"/>
      <c r="T24" s="245">
        <f>'[1]Syn prin concurents'!Q24</f>
        <v>0</v>
      </c>
      <c r="U24" s="245">
        <f>'Syn prin concurents'!Q24-T24</f>
        <v>0</v>
      </c>
      <c r="V24" s="245">
        <f>'[7]Syn prin concurents par trim'!V24</f>
        <v>0</v>
      </c>
      <c r="W24" s="245">
        <f>'Syn prin concurents'!Q24-V24-U24-T24</f>
        <v>0</v>
      </c>
      <c r="X24" s="247"/>
      <c r="Y24" s="245">
        <f>T24+O24+J24+E24</f>
        <v>593032.68648000003</v>
      </c>
      <c r="Z24" s="245">
        <f>U24+P24+K24+F24</f>
        <v>675311.68952000013</v>
      </c>
      <c r="AA24" s="245">
        <f>V24+Q24+L24+G24</f>
        <v>566978.84900000005</v>
      </c>
      <c r="AB24" s="245">
        <f>W24+R24+M24+H24</f>
        <v>-956588.1610000002</v>
      </c>
      <c r="AC24" s="57"/>
      <c r="AD24" s="35">
        <f>E24+F24+G24+H24-'Syn prin concurents'!E24</f>
        <v>0</v>
      </c>
      <c r="AE24" s="35">
        <f>J24+K24+L24+M24-'Syn prin concurents'!I24</f>
        <v>0</v>
      </c>
      <c r="AF24" s="35">
        <f>O24+P24+Q24+R24-'Syn prin concurents'!M24</f>
        <v>0</v>
      </c>
      <c r="AG24" s="35">
        <f>T24+U24+V24+W24-'Syn prin concurents'!Q24</f>
        <v>0</v>
      </c>
      <c r="AH24" s="35">
        <f>Y24+Z24+AA24+AB24-'Syn prin concurents'!U24</f>
        <v>0</v>
      </c>
      <c r="AI24" s="313"/>
      <c r="AJ24" s="313"/>
      <c r="AK24" s="313"/>
      <c r="AL24" s="314"/>
      <c r="AM24" s="350"/>
      <c r="AN24" s="350"/>
      <c r="AO24" s="350"/>
      <c r="AP24" s="314"/>
      <c r="AQ24" s="314"/>
      <c r="AS24" s="325"/>
    </row>
    <row r="25" spans="2:45" ht="23" x14ac:dyDescent="0.25">
      <c r="B25" s="248" t="s">
        <v>67</v>
      </c>
      <c r="C25" s="249"/>
      <c r="D25" s="249"/>
      <c r="E25" s="250">
        <f>E24/E$30</f>
        <v>0.14060205448777599</v>
      </c>
      <c r="F25" s="250">
        <f>F24/F$30</f>
        <v>0.13788661917761424</v>
      </c>
      <c r="G25" s="250">
        <f>G24/G$30</f>
        <v>0.13594349077017517</v>
      </c>
      <c r="H25" s="250">
        <f>H24/H$30</f>
        <v>0.15118642563768786</v>
      </c>
      <c r="I25" s="252"/>
      <c r="J25" s="250">
        <f>J24/J$30</f>
        <v>0</v>
      </c>
      <c r="K25" s="250">
        <f>K24/K$30</f>
        <v>0</v>
      </c>
      <c r="L25" s="250">
        <f>L24/L$30</f>
        <v>0</v>
      </c>
      <c r="M25" s="250">
        <f>M24/M$30</f>
        <v>0</v>
      </c>
      <c r="N25" s="252"/>
      <c r="O25" s="250">
        <f>O24/O$30</f>
        <v>0</v>
      </c>
      <c r="P25" s="250">
        <f>P24/P$30</f>
        <v>0</v>
      </c>
      <c r="Q25" s="250">
        <f>Q24/Q$30</f>
        <v>0</v>
      </c>
      <c r="R25" s="250">
        <f>R24/R$30</f>
        <v>0</v>
      </c>
      <c r="S25" s="252"/>
      <c r="T25" s="250">
        <f>T24/T$30</f>
        <v>0</v>
      </c>
      <c r="U25" s="250">
        <f>U24/U$30</f>
        <v>0</v>
      </c>
      <c r="V25" s="250">
        <f>V24/V$30</f>
        <v>0</v>
      </c>
      <c r="W25" s="250">
        <f>W24/W$30</f>
        <v>0</v>
      </c>
      <c r="X25" s="252"/>
      <c r="Y25" s="250">
        <f>Y24/Y$30</f>
        <v>9.5010911276389276E-2</v>
      </c>
      <c r="Z25" s="250">
        <f>Z24/Z$30</f>
        <v>9.5693076722775841E-2</v>
      </c>
      <c r="AA25" s="250">
        <f>AA24/AA$30</f>
        <v>8.954195530160039E-2</v>
      </c>
      <c r="AB25" s="250">
        <f>AB24/AB$30</f>
        <v>9.011445268171131E-2</v>
      </c>
      <c r="AD25" s="391"/>
      <c r="AE25" s="391"/>
      <c r="AF25" s="391"/>
      <c r="AG25" s="391"/>
      <c r="AH25" s="391"/>
      <c r="AI25" s="313"/>
      <c r="AJ25" s="313"/>
      <c r="AK25" s="313"/>
      <c r="AN25" s="57"/>
    </row>
    <row r="26" spans="2:45" ht="23.5" x14ac:dyDescent="0.25">
      <c r="B26" s="243" t="s">
        <v>7</v>
      </c>
      <c r="C26" s="244"/>
      <c r="D26" s="244"/>
      <c r="E26" s="245">
        <f>'[1]Syn prin concurents'!E26</f>
        <v>121150.02389</v>
      </c>
      <c r="F26" s="279">
        <f>'[6]Syn prin concurents par trim'!$F26</f>
        <v>144083.32610999997</v>
      </c>
      <c r="G26" s="245">
        <f>'[7]Syn prin concurents par trim'!G26</f>
        <v>111793.54000000005</v>
      </c>
      <c r="H26" s="245">
        <f>'Syn prin concurents'!E26-G26-F26-E26</f>
        <v>-226002.45400000003</v>
      </c>
      <c r="I26" s="247"/>
      <c r="J26" s="245">
        <f>'[1]Syn prin concurents'!I26</f>
        <v>119043.47170000001</v>
      </c>
      <c r="K26" s="245">
        <f>'[6]Syn prin concurents par trim'!$K26</f>
        <v>129162.56929999999</v>
      </c>
      <c r="L26" s="245">
        <f>'[7]Syn prin concurents par trim'!L26</f>
        <v>111958.99100000002</v>
      </c>
      <c r="M26" s="245">
        <f>'Syn prin concurents'!I26-L26-K26-J26</f>
        <v>-259313.46100000001</v>
      </c>
      <c r="N26" s="247"/>
      <c r="O26" s="245">
        <f>'[1]Syn prin concurents'!M26</f>
        <v>0</v>
      </c>
      <c r="P26" s="245">
        <f>'[6]Syn prin concurents par trim'!P26</f>
        <v>0</v>
      </c>
      <c r="Q26" s="245">
        <f>'[7]Syn prin concurents par trim'!Q26</f>
        <v>0</v>
      </c>
      <c r="R26" s="245">
        <f>'Syn prin concurents'!M26-Q26-P26-O26</f>
        <v>0</v>
      </c>
      <c r="S26" s="247"/>
      <c r="T26" s="245">
        <f>'[1]Syn prin concurents'!Q26</f>
        <v>5976.1274199999998</v>
      </c>
      <c r="U26" s="245">
        <f>'Syn prin concurents'!Q26-T26</f>
        <v>-4733.1054199999999</v>
      </c>
      <c r="V26" s="245">
        <f>'[7]Syn prin concurents par trim'!V26</f>
        <v>-2469.5567499999997</v>
      </c>
      <c r="W26" s="245">
        <f>'Syn prin concurents'!Q26-V26-U26-T26</f>
        <v>2469.5567500000006</v>
      </c>
      <c r="X26" s="247"/>
      <c r="Y26" s="245">
        <f>T26+O26+J26+E26</f>
        <v>246169.62301000001</v>
      </c>
      <c r="Z26" s="245">
        <f>U26+P26+K26+F26</f>
        <v>268512.78998999996</v>
      </c>
      <c r="AA26" s="245">
        <f>V26+Q26+L26+G26</f>
        <v>221282.97425000009</v>
      </c>
      <c r="AB26" s="245">
        <f>W26+R26+M26+H26</f>
        <v>-482846.35825000005</v>
      </c>
      <c r="AC26" s="57"/>
      <c r="AD26" s="35">
        <f>E26+F26+G26+H26-'Syn prin concurents'!E26</f>
        <v>0</v>
      </c>
      <c r="AE26" s="35">
        <f>J26+K26+L26+M26-'Syn prin concurents'!I26</f>
        <v>0</v>
      </c>
      <c r="AF26" s="35">
        <f>O26+P26+Q26+R26-'Syn prin concurents'!M26</f>
        <v>0</v>
      </c>
      <c r="AG26" s="35">
        <f>T26+U26+V26+W26-'Syn prin concurents'!Q26</f>
        <v>0</v>
      </c>
      <c r="AH26" s="35">
        <f>Y26+Z26+AA26+AB26-'Syn prin concurents'!U26</f>
        <v>0</v>
      </c>
      <c r="AI26" s="313"/>
      <c r="AJ26" s="313"/>
      <c r="AK26" s="313"/>
      <c r="AL26" s="314"/>
      <c r="AM26" s="350"/>
      <c r="AN26" s="350"/>
      <c r="AO26" s="350"/>
      <c r="AP26" s="314"/>
      <c r="AQ26" s="314"/>
      <c r="AS26" s="325"/>
    </row>
    <row r="27" spans="2:45" ht="23" x14ac:dyDescent="0.25">
      <c r="B27" s="248" t="s">
        <v>67</v>
      </c>
      <c r="C27" s="249"/>
      <c r="D27" s="249"/>
      <c r="E27" s="250">
        <f>E26/E$30</f>
        <v>2.8723445854702663E-2</v>
      </c>
      <c r="F27" s="250">
        <f>F26/F$30</f>
        <v>2.9419248956426034E-2</v>
      </c>
      <c r="G27" s="250">
        <f>G26/G$30</f>
        <v>2.6804534419510976E-2</v>
      </c>
      <c r="H27" s="250">
        <f>H26/H$30</f>
        <v>3.5719136613489792E-2</v>
      </c>
      <c r="I27" s="252"/>
      <c r="J27" s="250">
        <f>J26/J$30</f>
        <v>6.4466227967052384E-2</v>
      </c>
      <c r="K27" s="250">
        <f>K26/K$30</f>
        <v>6.4371498120440546E-2</v>
      </c>
      <c r="L27" s="250">
        <f>L26/L$30</f>
        <v>5.5415660557345488E-2</v>
      </c>
      <c r="M27" s="250">
        <f>M26/M$30</f>
        <v>6.3503384699006751E-2</v>
      </c>
      <c r="N27" s="252"/>
      <c r="O27" s="250">
        <f>O26/O$30</f>
        <v>0</v>
      </c>
      <c r="P27" s="250">
        <f>P26/P$30</f>
        <v>0</v>
      </c>
      <c r="Q27" s="250">
        <f>Q26/Q$30</f>
        <v>0</v>
      </c>
      <c r="R27" s="250">
        <f>R26/R$30</f>
        <v>0</v>
      </c>
      <c r="S27" s="252"/>
      <c r="T27" s="250">
        <f>T26/T$30</f>
        <v>0.48263487548317602</v>
      </c>
      <c r="U27" s="250">
        <f>U26/U$30</f>
        <v>-1.941761371031373</v>
      </c>
      <c r="V27" s="250">
        <f>V26/V$30</f>
        <v>-1.2062884179927826</v>
      </c>
      <c r="W27" s="250">
        <f>W26/W$30</f>
        <v>-0.22771396496566126</v>
      </c>
      <c r="X27" s="252"/>
      <c r="Y27" s="250">
        <f>Y26/Y$30</f>
        <v>3.9439310419079394E-2</v>
      </c>
      <c r="Z27" s="250">
        <f>Z26/Z$30</f>
        <v>3.8048823102444881E-2</v>
      </c>
      <c r="AA27" s="250">
        <f>AA26/AA$30</f>
        <v>3.4946824249697361E-2</v>
      </c>
      <c r="AB27" s="250">
        <f>AB26/AB$30</f>
        <v>4.5486069216631515E-2</v>
      </c>
      <c r="AD27" s="391"/>
      <c r="AE27" s="391"/>
      <c r="AF27" s="391"/>
      <c r="AG27" s="391"/>
      <c r="AH27" s="391"/>
      <c r="AI27" s="313"/>
      <c r="AJ27" s="313"/>
      <c r="AK27" s="313"/>
      <c r="AN27" s="57"/>
    </row>
    <row r="28" spans="2:45" ht="23.5" x14ac:dyDescent="0.25">
      <c r="B28" s="243" t="s">
        <v>11</v>
      </c>
      <c r="C28" s="244"/>
      <c r="D28" s="244"/>
      <c r="E28" s="245">
        <f>'[1]Syn prin concurents'!E28</f>
        <v>3167.6668399999999</v>
      </c>
      <c r="F28" s="279">
        <f>'[6]Syn prin concurents par trim'!$F28</f>
        <v>3314.1201600000004</v>
      </c>
      <c r="G28" s="245">
        <f>'[7]Syn prin concurents par trim'!G28</f>
        <v>914.77399999999943</v>
      </c>
      <c r="H28" s="245">
        <f>'Syn prin concurents'!E28-G28-F28-E28</f>
        <v>-6461.2649999999994</v>
      </c>
      <c r="I28" s="247"/>
      <c r="J28" s="245">
        <f>'[1]Syn prin concurents'!I28</f>
        <v>142022.73470999999</v>
      </c>
      <c r="K28" s="245">
        <f>'[6]Syn prin concurents par trim'!$K28</f>
        <v>127683.10129000002</v>
      </c>
      <c r="L28" s="245">
        <f>'[7]Syn prin concurents par trim'!L28</f>
        <v>145471.18999999994</v>
      </c>
      <c r="M28" s="245">
        <f>'Syn prin concurents'!I28-L28-K28-J28</f>
        <v>-321868.57699999993</v>
      </c>
      <c r="N28" s="247"/>
      <c r="O28" s="245">
        <f>'[1]Syn prin concurents'!M28</f>
        <v>0</v>
      </c>
      <c r="P28" s="245">
        <f>'[6]Syn prin concurents par trim'!P28</f>
        <v>0</v>
      </c>
      <c r="Q28" s="245">
        <f>'[7]Syn prin concurents par trim'!Q28</f>
        <v>0</v>
      </c>
      <c r="R28" s="245">
        <f>'Syn prin concurents'!M28-Q28-P28-O28</f>
        <v>0</v>
      </c>
      <c r="S28" s="247"/>
      <c r="T28" s="245">
        <f>'[1]Syn prin concurents'!Q28</f>
        <v>0</v>
      </c>
      <c r="U28" s="245">
        <f>'Syn prin concurents'!Q28-T28</f>
        <v>0</v>
      </c>
      <c r="V28" s="245">
        <f>'[7]Syn prin concurents par trim'!V28</f>
        <v>0</v>
      </c>
      <c r="W28" s="245">
        <f>'Syn prin concurents'!Q28-V28-U28-T28</f>
        <v>0</v>
      </c>
      <c r="X28" s="247"/>
      <c r="Y28" s="245">
        <f>T28+O28+J28+E28</f>
        <v>145190.40154999998</v>
      </c>
      <c r="Z28" s="245">
        <f>U28+P28+K28+F28</f>
        <v>130997.22145000003</v>
      </c>
      <c r="AA28" s="245">
        <f>V28+Q28+L28+G28</f>
        <v>146385.96399999995</v>
      </c>
      <c r="AB28" s="245">
        <f>W28+R28+M28+H28</f>
        <v>-328329.84199999995</v>
      </c>
      <c r="AC28" s="57"/>
      <c r="AD28" s="35">
        <f>E28+F28+G28+H28-'Syn prin concurents'!E28</f>
        <v>0</v>
      </c>
      <c r="AE28" s="35">
        <f>J28+K28+L28+M28-'Syn prin concurents'!I28</f>
        <v>0</v>
      </c>
      <c r="AF28" s="35">
        <f>O28+P28+Q28+R28-'Syn prin concurents'!M28</f>
        <v>0</v>
      </c>
      <c r="AG28" s="35">
        <f>T28+U28+V28+W28-'Syn prin concurents'!Q28</f>
        <v>0</v>
      </c>
      <c r="AH28" s="35">
        <f>Y28+Z28+AA28+AB28-'Syn prin concurents'!U28</f>
        <v>0</v>
      </c>
      <c r="AI28" s="313"/>
      <c r="AJ28" s="313"/>
      <c r="AK28" s="313"/>
      <c r="AL28" s="314"/>
      <c r="AM28" s="350"/>
      <c r="AN28" s="350"/>
      <c r="AO28" s="350"/>
      <c r="AP28" s="314"/>
      <c r="AQ28" s="314"/>
      <c r="AS28" s="325"/>
    </row>
    <row r="29" spans="2:45" ht="23.5" thickBot="1" x14ac:dyDescent="0.3">
      <c r="B29" s="248" t="s">
        <v>67</v>
      </c>
      <c r="C29" s="249"/>
      <c r="D29" s="249"/>
      <c r="E29" s="250">
        <f>E28/E$30</f>
        <v>7.5102178310001392E-4</v>
      </c>
      <c r="F29" s="250">
        <f>F28/F$30</f>
        <v>6.7668430963424076E-4</v>
      </c>
      <c r="G29" s="250">
        <f>G28/G$30</f>
        <v>2.1933370362074326E-4</v>
      </c>
      <c r="H29" s="250">
        <f>H28/H$30</f>
        <v>1.0211871736178586E-3</v>
      </c>
      <c r="I29" s="252"/>
      <c r="J29" s="250">
        <f>J28/J$30</f>
        <v>7.6910307315231491E-2</v>
      </c>
      <c r="K29" s="250">
        <f>K28/K$30</f>
        <v>6.3634167075222903E-2</v>
      </c>
      <c r="L29" s="250">
        <f>L28/L$30</f>
        <v>7.2002989790369828E-2</v>
      </c>
      <c r="M29" s="250">
        <f>M28/M$30</f>
        <v>7.8822533889796292E-2</v>
      </c>
      <c r="N29" s="252"/>
      <c r="O29" s="250">
        <f>O28/O$30</f>
        <v>0</v>
      </c>
      <c r="P29" s="250">
        <f>P28/P$30</f>
        <v>0</v>
      </c>
      <c r="Q29" s="250">
        <f>Q28/Q$30</f>
        <v>0</v>
      </c>
      <c r="R29" s="250">
        <f>R28/R$30</f>
        <v>0</v>
      </c>
      <c r="S29" s="252"/>
      <c r="T29" s="250">
        <f>T28/T$30</f>
        <v>0</v>
      </c>
      <c r="U29" s="250">
        <f>U28/U$30</f>
        <v>0</v>
      </c>
      <c r="V29" s="250">
        <f>V28/V$30</f>
        <v>0</v>
      </c>
      <c r="W29" s="250">
        <f>W28/W$30</f>
        <v>0</v>
      </c>
      <c r="X29" s="252"/>
      <c r="Y29" s="250">
        <f>Y28/Y$30</f>
        <v>2.3261234455270795E-2</v>
      </c>
      <c r="Z29" s="250">
        <f>Z28/Z$30</f>
        <v>1.8562579853453071E-2</v>
      </c>
      <c r="AA29" s="250">
        <f>AA28/AA$30</f>
        <v>2.311847341111252E-2</v>
      </c>
      <c r="AB29" s="250">
        <f>AB28/AB$30</f>
        <v>3.092999183679291E-2</v>
      </c>
      <c r="AD29" s="391"/>
      <c r="AE29" s="391"/>
      <c r="AF29" s="391"/>
      <c r="AG29" s="391"/>
      <c r="AH29" s="391"/>
      <c r="AI29" s="313"/>
      <c r="AN29" s="57"/>
    </row>
    <row r="30" spans="2:45" ht="26.5" thickBot="1" x14ac:dyDescent="0.65">
      <c r="B30" s="231" t="s">
        <v>8</v>
      </c>
      <c r="C30" s="232"/>
      <c r="D30" s="233"/>
      <c r="E30" s="233">
        <f>'[1]Syn prin concurents'!E30</f>
        <v>4217809.5379933342</v>
      </c>
      <c r="F30" s="233">
        <f>'[6]Syn prin concurents par trim'!$F30</f>
        <v>4897586.825666666</v>
      </c>
      <c r="G30" s="233">
        <f>'[7]Syn prin concurents par trim'!G30</f>
        <v>4170695.0865233354</v>
      </c>
      <c r="H30" s="233">
        <f>+'Syn prin concurents'!E30-SUM('Syn prin concurents par trim'!E30:G30)</f>
        <v>-6327209.3176699933</v>
      </c>
      <c r="I30" s="239"/>
      <c r="J30" s="233">
        <f>'[1]Syn prin concurents'!I30</f>
        <v>1846602.0962300003</v>
      </c>
      <c r="K30" s="233">
        <f>'[6]Syn prin concurents par trim'!$K30</f>
        <v>2006517.9943199996</v>
      </c>
      <c r="L30" s="233">
        <f>'[7]Syn prin concurents par trim'!L30</f>
        <v>2020349.2997099999</v>
      </c>
      <c r="M30" s="233">
        <f>'Syn prin concurents'!I30-L30-K30-J30</f>
        <v>-4083458.8932399997</v>
      </c>
      <c r="N30" s="239"/>
      <c r="O30" s="235">
        <f>'[1]Syn prin concurents'!M30</f>
        <v>164938.50456</v>
      </c>
      <c r="P30" s="233">
        <f>'[6]Syn prin concurents par trim'!P30</f>
        <v>150516.66054000004</v>
      </c>
      <c r="Q30" s="233">
        <f>'[7]Syn prin concurents par trim'!Q30</f>
        <v>138899.30999999997</v>
      </c>
      <c r="R30" s="233">
        <f>'Syn prin concurents'!M30-Q30-P30-O30</f>
        <v>-193744.75280000002</v>
      </c>
      <c r="S30" s="239"/>
      <c r="T30" s="235">
        <f>'[1]Syn prin concurents'!Q30</f>
        <v>12382.295030000001</v>
      </c>
      <c r="U30" s="233">
        <f>'[6]Syn prin concurents par trim'!U30</f>
        <v>2437.5319699999982</v>
      </c>
      <c r="V30" s="233">
        <f>'[7]Syn prin concurents par trim'!V30</f>
        <v>2047.2357300000003</v>
      </c>
      <c r="W30" s="233">
        <f>'Syn prin concurents'!Q30-V30-U30-T30</f>
        <v>-10844.994729999999</v>
      </c>
      <c r="X30" s="239"/>
      <c r="Y30" s="233">
        <f>T30+O30+J30+E30</f>
        <v>6241732.4338133344</v>
      </c>
      <c r="Z30" s="233">
        <f>U30+P30+K30+F30</f>
        <v>7057059.0124966651</v>
      </c>
      <c r="AA30" s="233">
        <f>V30+Q30+L30+G30</f>
        <v>6331990.9319633357</v>
      </c>
      <c r="AB30" s="233">
        <f>W30+R30+M30+H30</f>
        <v>-10615257.958439993</v>
      </c>
      <c r="AC30" s="64"/>
      <c r="AD30" s="35">
        <f>E30+F30+G30+H30-'Syn prin concurents'!E30</f>
        <v>0</v>
      </c>
      <c r="AE30" s="35">
        <f>J30+K30+L30+M30-'Syn prin concurents'!I30</f>
        <v>0</v>
      </c>
      <c r="AF30" s="35">
        <f>O30+P30+Q30+R30-'Syn prin concurents'!M30</f>
        <v>0</v>
      </c>
      <c r="AG30" s="35">
        <f>T30+U30+V30+W30-'Syn prin concurents'!Q30</f>
        <v>0</v>
      </c>
      <c r="AH30" s="35">
        <f>Y30+Z30+AA30+AB30-'Syn prin concurents'!U30</f>
        <v>0</v>
      </c>
      <c r="AI30" s="313"/>
      <c r="AJ30" s="313"/>
      <c r="AK30" s="313"/>
      <c r="AL30" s="314"/>
      <c r="AM30" s="350"/>
      <c r="AN30" s="350"/>
      <c r="AO30" s="350"/>
      <c r="AP30" s="314"/>
      <c r="AQ30" s="314"/>
      <c r="AS30" s="325"/>
    </row>
    <row r="31" spans="2:45" ht="14" x14ac:dyDescent="0.25">
      <c r="B31" s="221"/>
      <c r="E31" s="57"/>
      <c r="J31" s="57"/>
      <c r="K31" s="62"/>
      <c r="L31" s="62"/>
      <c r="M31" s="62"/>
      <c r="AC31" s="64"/>
    </row>
    <row r="32" spans="2:45" x14ac:dyDescent="0.25">
      <c r="E32" s="57"/>
      <c r="J32" s="57"/>
      <c r="K32" s="62"/>
      <c r="L32" s="62"/>
      <c r="M32" s="62"/>
    </row>
    <row r="33" spans="5:29" x14ac:dyDescent="0.25">
      <c r="E33" s="63">
        <f>E17+E19+E21+E23+E25+E27+E29</f>
        <v>0.96632717455810713</v>
      </c>
      <c r="F33" s="63">
        <f t="shared" ref="F33:L33" si="0">F17+F19+F21+F23+F25+F27+F29</f>
        <v>0.97267914149499801</v>
      </c>
      <c r="G33" s="63">
        <f t="shared" si="0"/>
        <v>0.97075350356007895</v>
      </c>
      <c r="H33" s="63">
        <f t="shared" si="0"/>
        <v>0.97039429555825374</v>
      </c>
      <c r="I33" s="63">
        <f t="shared" si="0"/>
        <v>0</v>
      </c>
      <c r="J33" s="63">
        <f t="shared" si="0"/>
        <v>0.98712310841163553</v>
      </c>
      <c r="K33" s="63">
        <f t="shared" si="0"/>
        <v>0.99961820626469922</v>
      </c>
      <c r="L33" s="63">
        <f t="shared" si="0"/>
        <v>0.99913356814079068</v>
      </c>
      <c r="M33" s="63">
        <f>M17+M19+M21+M23+M25+M27+M29</f>
        <v>0.99553298405178114</v>
      </c>
      <c r="Y33" s="57"/>
      <c r="Z33" s="57"/>
      <c r="AA33" s="57"/>
      <c r="AB33" s="57"/>
    </row>
    <row r="36" spans="5:29" ht="27.75" customHeight="1" x14ac:dyDescent="0.25">
      <c r="E36" s="57">
        <f>E16+E18+E20+E22+E24+E26+E28</f>
        <v>4075783.9736733343</v>
      </c>
      <c r="F36" s="57">
        <f t="shared" ref="F36:I36" si="1">F16+F18+F20+F22+F24+F26+F28</f>
        <v>4763780.5489866668</v>
      </c>
      <c r="G36" s="57">
        <f t="shared" si="1"/>
        <v>4048716.8675233345</v>
      </c>
      <c r="H36" s="57">
        <f t="shared" si="1"/>
        <v>-6139887.8286699923</v>
      </c>
      <c r="I36" s="57">
        <f t="shared" si="1"/>
        <v>0</v>
      </c>
      <c r="Y36" s="57"/>
      <c r="Z36" s="57"/>
      <c r="AA36" s="57"/>
      <c r="AB36" s="57"/>
      <c r="AC36" s="57">
        <f t="shared" ref="AC36" si="2">AC16+AC18+AC20+AC22+AC24+AC26+AC28-AC30</f>
        <v>0</v>
      </c>
    </row>
    <row r="37" spans="5:29" ht="27.75" customHeight="1" x14ac:dyDescent="0.25"/>
  </sheetData>
  <mergeCells count="6">
    <mergeCell ref="B9:Z9"/>
    <mergeCell ref="E11:H11"/>
    <mergeCell ref="J11:M11"/>
    <mergeCell ref="O11:R11"/>
    <mergeCell ref="T11:W11"/>
    <mergeCell ref="Y11:AB11"/>
  </mergeCells>
  <phoneticPr fontId="84" type="noConversion"/>
  <printOptions horizontalCentered="1"/>
  <pageMargins left="0" right="0" top="0" bottom="0" header="0" footer="0"/>
  <pageSetup paperSize="9" scale="39" fitToHeight="2" orientation="landscape" r:id="rId1"/>
  <ignoredErrors>
    <ignoredError sqref="E21:F21 E27:F27 E29:F29 I30 N21:P21 N20 N27:P27 N26 N29:P29 N28 N30 S21:U21 S20 S27:U27 S26 S29:U29 S28 S30 X21:Z21 X20 X27:Z27 X26 X29:Z29 X28 X30:Z30 I21 I27 I29:K29"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B2:AH38"/>
  <sheetViews>
    <sheetView showGridLines="0" view="pageBreakPreview" zoomScale="60" zoomScaleNormal="60" workbookViewId="0">
      <pane xSplit="2" topLeftCell="C1" activePane="topRight" state="frozen"/>
      <selection activeCell="O4" sqref="J1:O1048576"/>
      <selection pane="topRight" activeCell="O4" sqref="J1:O1048576"/>
    </sheetView>
  </sheetViews>
  <sheetFormatPr baseColWidth="10" defaultColWidth="11.453125" defaultRowHeight="12.5" x14ac:dyDescent="0.25"/>
  <cols>
    <col min="1" max="1" width="2.453125" style="56" customWidth="1"/>
    <col min="2" max="2" width="35.7265625" style="56" customWidth="1"/>
    <col min="3" max="3" width="3" style="56" customWidth="1"/>
    <col min="4" max="4" width="1.453125" style="56" customWidth="1"/>
    <col min="5" max="6" width="18.7265625" style="56" customWidth="1"/>
    <col min="7" max="7" width="1.7265625" style="56" customWidth="1"/>
    <col min="8" max="9" width="18.7265625" style="56" customWidth="1"/>
    <col min="10" max="10" width="1.26953125" style="56" hidden="1" customWidth="1"/>
    <col min="11" max="12" width="19.26953125" style="56" hidden="1" customWidth="1"/>
    <col min="13" max="13" width="1.7265625" style="56" hidden="1" customWidth="1"/>
    <col min="14" max="14" width="17.1796875" style="56" hidden="1" customWidth="1"/>
    <col min="15" max="15" width="15.453125" style="56" hidden="1" customWidth="1"/>
    <col min="16" max="16" width="1.7265625" style="56" customWidth="1"/>
    <col min="17" max="18" width="18.7265625" style="56" customWidth="1"/>
    <col min="19" max="19" width="2.54296875" style="56" customWidth="1"/>
    <col min="20" max="20" width="23" style="56" bestFit="1" customWidth="1"/>
    <col min="21" max="22" width="23" style="56" customWidth="1"/>
    <col min="23" max="23" width="12.7265625" style="56" bestFit="1" customWidth="1"/>
    <col min="24" max="24" width="12.26953125" style="56" bestFit="1" customWidth="1"/>
    <col min="25" max="28" width="11.453125" style="56"/>
    <col min="29" max="29" width="13.26953125" style="56" bestFit="1" customWidth="1"/>
    <col min="30" max="253" width="11.453125" style="56"/>
    <col min="254" max="254" width="35.7265625" style="56" customWidth="1"/>
    <col min="255" max="255" width="3" style="56" customWidth="1"/>
    <col min="256" max="256" width="1.453125" style="56" customWidth="1"/>
    <col min="257" max="259" width="18.7265625" style="56" customWidth="1"/>
    <col min="260" max="260" width="1.7265625" style="56" customWidth="1"/>
    <col min="261" max="263" width="18.7265625" style="56" customWidth="1"/>
    <col min="264" max="264" width="1.26953125" style="56" customWidth="1"/>
    <col min="265" max="271" width="11.453125" style="56" customWidth="1"/>
    <col min="272" max="272" width="1.7265625" style="56" customWidth="1"/>
    <col min="273" max="275" width="18.7265625" style="56" customWidth="1"/>
    <col min="276" max="276" width="12.54296875" style="56" bestFit="1" customWidth="1"/>
    <col min="277" max="509" width="11.453125" style="56"/>
    <col min="510" max="510" width="35.7265625" style="56" customWidth="1"/>
    <col min="511" max="511" width="3" style="56" customWidth="1"/>
    <col min="512" max="512" width="1.453125" style="56" customWidth="1"/>
    <col min="513" max="515" width="18.7265625" style="56" customWidth="1"/>
    <col min="516" max="516" width="1.7265625" style="56" customWidth="1"/>
    <col min="517" max="519" width="18.7265625" style="56" customWidth="1"/>
    <col min="520" max="520" width="1.26953125" style="56" customWidth="1"/>
    <col min="521" max="527" width="11.453125" style="56" customWidth="1"/>
    <col min="528" max="528" width="1.7265625" style="56" customWidth="1"/>
    <col min="529" max="531" width="18.7265625" style="56" customWidth="1"/>
    <col min="532" max="532" width="12.54296875" style="56" bestFit="1" customWidth="1"/>
    <col min="533" max="765" width="11.453125" style="56"/>
    <col min="766" max="766" width="35.7265625" style="56" customWidth="1"/>
    <col min="767" max="767" width="3" style="56" customWidth="1"/>
    <col min="768" max="768" width="1.453125" style="56" customWidth="1"/>
    <col min="769" max="771" width="18.7265625" style="56" customWidth="1"/>
    <col min="772" max="772" width="1.7265625" style="56" customWidth="1"/>
    <col min="773" max="775" width="18.7265625" style="56" customWidth="1"/>
    <col min="776" max="776" width="1.26953125" style="56" customWidth="1"/>
    <col min="777" max="783" width="11.453125" style="56" customWidth="1"/>
    <col min="784" max="784" width="1.7265625" style="56" customWidth="1"/>
    <col min="785" max="787" width="18.7265625" style="56" customWidth="1"/>
    <col min="788" max="788" width="12.54296875" style="56" bestFit="1" customWidth="1"/>
    <col min="789" max="1021" width="11.453125" style="56"/>
    <col min="1022" max="1022" width="35.7265625" style="56" customWidth="1"/>
    <col min="1023" max="1023" width="3" style="56" customWidth="1"/>
    <col min="1024" max="1024" width="1.453125" style="56" customWidth="1"/>
    <col min="1025" max="1027" width="18.7265625" style="56" customWidth="1"/>
    <col min="1028" max="1028" width="1.7265625" style="56" customWidth="1"/>
    <col min="1029" max="1031" width="18.7265625" style="56" customWidth="1"/>
    <col min="1032" max="1032" width="1.26953125" style="56" customWidth="1"/>
    <col min="1033" max="1039" width="11.453125" style="56" customWidth="1"/>
    <col min="1040" max="1040" width="1.7265625" style="56" customWidth="1"/>
    <col min="1041" max="1043" width="18.7265625" style="56" customWidth="1"/>
    <col min="1044" max="1044" width="12.54296875" style="56" bestFit="1" customWidth="1"/>
    <col min="1045" max="1277" width="11.453125" style="56"/>
    <col min="1278" max="1278" width="35.7265625" style="56" customWidth="1"/>
    <col min="1279" max="1279" width="3" style="56" customWidth="1"/>
    <col min="1280" max="1280" width="1.453125" style="56" customWidth="1"/>
    <col min="1281" max="1283" width="18.7265625" style="56" customWidth="1"/>
    <col min="1284" max="1284" width="1.7265625" style="56" customWidth="1"/>
    <col min="1285" max="1287" width="18.7265625" style="56" customWidth="1"/>
    <col min="1288" max="1288" width="1.26953125" style="56" customWidth="1"/>
    <col min="1289" max="1295" width="11.453125" style="56" customWidth="1"/>
    <col min="1296" max="1296" width="1.7265625" style="56" customWidth="1"/>
    <col min="1297" max="1299" width="18.7265625" style="56" customWidth="1"/>
    <col min="1300" max="1300" width="12.54296875" style="56" bestFit="1" customWidth="1"/>
    <col min="1301" max="1533" width="11.453125" style="56"/>
    <col min="1534" max="1534" width="35.7265625" style="56" customWidth="1"/>
    <col min="1535" max="1535" width="3" style="56" customWidth="1"/>
    <col min="1536" max="1536" width="1.453125" style="56" customWidth="1"/>
    <col min="1537" max="1539" width="18.7265625" style="56" customWidth="1"/>
    <col min="1540" max="1540" width="1.7265625" style="56" customWidth="1"/>
    <col min="1541" max="1543" width="18.7265625" style="56" customWidth="1"/>
    <col min="1544" max="1544" width="1.26953125" style="56" customWidth="1"/>
    <col min="1545" max="1551" width="11.453125" style="56" customWidth="1"/>
    <col min="1552" max="1552" width="1.7265625" style="56" customWidth="1"/>
    <col min="1553" max="1555" width="18.7265625" style="56" customWidth="1"/>
    <col min="1556" max="1556" width="12.54296875" style="56" bestFit="1" customWidth="1"/>
    <col min="1557" max="1789" width="11.453125" style="56"/>
    <col min="1790" max="1790" width="35.7265625" style="56" customWidth="1"/>
    <col min="1791" max="1791" width="3" style="56" customWidth="1"/>
    <col min="1792" max="1792" width="1.453125" style="56" customWidth="1"/>
    <col min="1793" max="1795" width="18.7265625" style="56" customWidth="1"/>
    <col min="1796" max="1796" width="1.7265625" style="56" customWidth="1"/>
    <col min="1797" max="1799" width="18.7265625" style="56" customWidth="1"/>
    <col min="1800" max="1800" width="1.26953125" style="56" customWidth="1"/>
    <col min="1801" max="1807" width="11.453125" style="56" customWidth="1"/>
    <col min="1808" max="1808" width="1.7265625" style="56" customWidth="1"/>
    <col min="1809" max="1811" width="18.7265625" style="56" customWidth="1"/>
    <col min="1812" max="1812" width="12.54296875" style="56" bestFit="1" customWidth="1"/>
    <col min="1813" max="2045" width="11.453125" style="56"/>
    <col min="2046" max="2046" width="35.7265625" style="56" customWidth="1"/>
    <col min="2047" max="2047" width="3" style="56" customWidth="1"/>
    <col min="2048" max="2048" width="1.453125" style="56" customWidth="1"/>
    <col min="2049" max="2051" width="18.7265625" style="56" customWidth="1"/>
    <col min="2052" max="2052" width="1.7265625" style="56" customWidth="1"/>
    <col min="2053" max="2055" width="18.7265625" style="56" customWidth="1"/>
    <col min="2056" max="2056" width="1.26953125" style="56" customWidth="1"/>
    <col min="2057" max="2063" width="11.453125" style="56" customWidth="1"/>
    <col min="2064" max="2064" width="1.7265625" style="56" customWidth="1"/>
    <col min="2065" max="2067" width="18.7265625" style="56" customWidth="1"/>
    <col min="2068" max="2068" width="12.54296875" style="56" bestFit="1" customWidth="1"/>
    <col min="2069" max="2301" width="11.453125" style="56"/>
    <col min="2302" max="2302" width="35.7265625" style="56" customWidth="1"/>
    <col min="2303" max="2303" width="3" style="56" customWidth="1"/>
    <col min="2304" max="2304" width="1.453125" style="56" customWidth="1"/>
    <col min="2305" max="2307" width="18.7265625" style="56" customWidth="1"/>
    <col min="2308" max="2308" width="1.7265625" style="56" customWidth="1"/>
    <col min="2309" max="2311" width="18.7265625" style="56" customWidth="1"/>
    <col min="2312" max="2312" width="1.26953125" style="56" customWidth="1"/>
    <col min="2313" max="2319" width="11.453125" style="56" customWidth="1"/>
    <col min="2320" max="2320" width="1.7265625" style="56" customWidth="1"/>
    <col min="2321" max="2323" width="18.7265625" style="56" customWidth="1"/>
    <col min="2324" max="2324" width="12.54296875" style="56" bestFit="1" customWidth="1"/>
    <col min="2325" max="2557" width="11.453125" style="56"/>
    <col min="2558" max="2558" width="35.7265625" style="56" customWidth="1"/>
    <col min="2559" max="2559" width="3" style="56" customWidth="1"/>
    <col min="2560" max="2560" width="1.453125" style="56" customWidth="1"/>
    <col min="2561" max="2563" width="18.7265625" style="56" customWidth="1"/>
    <col min="2564" max="2564" width="1.7265625" style="56" customWidth="1"/>
    <col min="2565" max="2567" width="18.7265625" style="56" customWidth="1"/>
    <col min="2568" max="2568" width="1.26953125" style="56" customWidth="1"/>
    <col min="2569" max="2575" width="11.453125" style="56" customWidth="1"/>
    <col min="2576" max="2576" width="1.7265625" style="56" customWidth="1"/>
    <col min="2577" max="2579" width="18.7265625" style="56" customWidth="1"/>
    <col min="2580" max="2580" width="12.54296875" style="56" bestFit="1" customWidth="1"/>
    <col min="2581" max="2813" width="11.453125" style="56"/>
    <col min="2814" max="2814" width="35.7265625" style="56" customWidth="1"/>
    <col min="2815" max="2815" width="3" style="56" customWidth="1"/>
    <col min="2816" max="2816" width="1.453125" style="56" customWidth="1"/>
    <col min="2817" max="2819" width="18.7265625" style="56" customWidth="1"/>
    <col min="2820" max="2820" width="1.7265625" style="56" customWidth="1"/>
    <col min="2821" max="2823" width="18.7265625" style="56" customWidth="1"/>
    <col min="2824" max="2824" width="1.26953125" style="56" customWidth="1"/>
    <col min="2825" max="2831" width="11.453125" style="56" customWidth="1"/>
    <col min="2832" max="2832" width="1.7265625" style="56" customWidth="1"/>
    <col min="2833" max="2835" width="18.7265625" style="56" customWidth="1"/>
    <col min="2836" max="2836" width="12.54296875" style="56" bestFit="1" customWidth="1"/>
    <col min="2837" max="3069" width="11.453125" style="56"/>
    <col min="3070" max="3070" width="35.7265625" style="56" customWidth="1"/>
    <col min="3071" max="3071" width="3" style="56" customWidth="1"/>
    <col min="3072" max="3072" width="1.453125" style="56" customWidth="1"/>
    <col min="3073" max="3075" width="18.7265625" style="56" customWidth="1"/>
    <col min="3076" max="3076" width="1.7265625" style="56" customWidth="1"/>
    <col min="3077" max="3079" width="18.7265625" style="56" customWidth="1"/>
    <col min="3080" max="3080" width="1.26953125" style="56" customWidth="1"/>
    <col min="3081" max="3087" width="11.453125" style="56" customWidth="1"/>
    <col min="3088" max="3088" width="1.7265625" style="56" customWidth="1"/>
    <col min="3089" max="3091" width="18.7265625" style="56" customWidth="1"/>
    <col min="3092" max="3092" width="12.54296875" style="56" bestFit="1" customWidth="1"/>
    <col min="3093" max="3325" width="11.453125" style="56"/>
    <col min="3326" max="3326" width="35.7265625" style="56" customWidth="1"/>
    <col min="3327" max="3327" width="3" style="56" customWidth="1"/>
    <col min="3328" max="3328" width="1.453125" style="56" customWidth="1"/>
    <col min="3329" max="3331" width="18.7265625" style="56" customWidth="1"/>
    <col min="3332" max="3332" width="1.7265625" style="56" customWidth="1"/>
    <col min="3333" max="3335" width="18.7265625" style="56" customWidth="1"/>
    <col min="3336" max="3336" width="1.26953125" style="56" customWidth="1"/>
    <col min="3337" max="3343" width="11.453125" style="56" customWidth="1"/>
    <col min="3344" max="3344" width="1.7265625" style="56" customWidth="1"/>
    <col min="3345" max="3347" width="18.7265625" style="56" customWidth="1"/>
    <col min="3348" max="3348" width="12.54296875" style="56" bestFit="1" customWidth="1"/>
    <col min="3349" max="3581" width="11.453125" style="56"/>
    <col min="3582" max="3582" width="35.7265625" style="56" customWidth="1"/>
    <col min="3583" max="3583" width="3" style="56" customWidth="1"/>
    <col min="3584" max="3584" width="1.453125" style="56" customWidth="1"/>
    <col min="3585" max="3587" width="18.7265625" style="56" customWidth="1"/>
    <col min="3588" max="3588" width="1.7265625" style="56" customWidth="1"/>
    <col min="3589" max="3591" width="18.7265625" style="56" customWidth="1"/>
    <col min="3592" max="3592" width="1.26953125" style="56" customWidth="1"/>
    <col min="3593" max="3599" width="11.453125" style="56" customWidth="1"/>
    <col min="3600" max="3600" width="1.7265625" style="56" customWidth="1"/>
    <col min="3601" max="3603" width="18.7265625" style="56" customWidth="1"/>
    <col min="3604" max="3604" width="12.54296875" style="56" bestFit="1" customWidth="1"/>
    <col min="3605" max="3837" width="11.453125" style="56"/>
    <col min="3838" max="3838" width="35.7265625" style="56" customWidth="1"/>
    <col min="3839" max="3839" width="3" style="56" customWidth="1"/>
    <col min="3840" max="3840" width="1.453125" style="56" customWidth="1"/>
    <col min="3841" max="3843" width="18.7265625" style="56" customWidth="1"/>
    <col min="3844" max="3844" width="1.7265625" style="56" customWidth="1"/>
    <col min="3845" max="3847" width="18.7265625" style="56" customWidth="1"/>
    <col min="3848" max="3848" width="1.26953125" style="56" customWidth="1"/>
    <col min="3849" max="3855" width="11.453125" style="56" customWidth="1"/>
    <col min="3856" max="3856" width="1.7265625" style="56" customWidth="1"/>
    <col min="3857" max="3859" width="18.7265625" style="56" customWidth="1"/>
    <col min="3860" max="3860" width="12.54296875" style="56" bestFit="1" customWidth="1"/>
    <col min="3861" max="4093" width="11.453125" style="56"/>
    <col min="4094" max="4094" width="35.7265625" style="56" customWidth="1"/>
    <col min="4095" max="4095" width="3" style="56" customWidth="1"/>
    <col min="4096" max="4096" width="1.453125" style="56" customWidth="1"/>
    <col min="4097" max="4099" width="18.7265625" style="56" customWidth="1"/>
    <col min="4100" max="4100" width="1.7265625" style="56" customWidth="1"/>
    <col min="4101" max="4103" width="18.7265625" style="56" customWidth="1"/>
    <col min="4104" max="4104" width="1.26953125" style="56" customWidth="1"/>
    <col min="4105" max="4111" width="11.453125" style="56" customWidth="1"/>
    <col min="4112" max="4112" width="1.7265625" style="56" customWidth="1"/>
    <col min="4113" max="4115" width="18.7265625" style="56" customWidth="1"/>
    <col min="4116" max="4116" width="12.54296875" style="56" bestFit="1" customWidth="1"/>
    <col min="4117" max="4349" width="11.453125" style="56"/>
    <col min="4350" max="4350" width="35.7265625" style="56" customWidth="1"/>
    <col min="4351" max="4351" width="3" style="56" customWidth="1"/>
    <col min="4352" max="4352" width="1.453125" style="56" customWidth="1"/>
    <col min="4353" max="4355" width="18.7265625" style="56" customWidth="1"/>
    <col min="4356" max="4356" width="1.7265625" style="56" customWidth="1"/>
    <col min="4357" max="4359" width="18.7265625" style="56" customWidth="1"/>
    <col min="4360" max="4360" width="1.26953125" style="56" customWidth="1"/>
    <col min="4361" max="4367" width="11.453125" style="56" customWidth="1"/>
    <col min="4368" max="4368" width="1.7265625" style="56" customWidth="1"/>
    <col min="4369" max="4371" width="18.7265625" style="56" customWidth="1"/>
    <col min="4372" max="4372" width="12.54296875" style="56" bestFit="1" customWidth="1"/>
    <col min="4373" max="4605" width="11.453125" style="56"/>
    <col min="4606" max="4606" width="35.7265625" style="56" customWidth="1"/>
    <col min="4607" max="4607" width="3" style="56" customWidth="1"/>
    <col min="4608" max="4608" width="1.453125" style="56" customWidth="1"/>
    <col min="4609" max="4611" width="18.7265625" style="56" customWidth="1"/>
    <col min="4612" max="4612" width="1.7265625" style="56" customWidth="1"/>
    <col min="4613" max="4615" width="18.7265625" style="56" customWidth="1"/>
    <col min="4616" max="4616" width="1.26953125" style="56" customWidth="1"/>
    <col min="4617" max="4623" width="11.453125" style="56" customWidth="1"/>
    <col min="4624" max="4624" width="1.7265625" style="56" customWidth="1"/>
    <col min="4625" max="4627" width="18.7265625" style="56" customWidth="1"/>
    <col min="4628" max="4628" width="12.54296875" style="56" bestFit="1" customWidth="1"/>
    <col min="4629" max="4861" width="11.453125" style="56"/>
    <col min="4862" max="4862" width="35.7265625" style="56" customWidth="1"/>
    <col min="4863" max="4863" width="3" style="56" customWidth="1"/>
    <col min="4864" max="4864" width="1.453125" style="56" customWidth="1"/>
    <col min="4865" max="4867" width="18.7265625" style="56" customWidth="1"/>
    <col min="4868" max="4868" width="1.7265625" style="56" customWidth="1"/>
    <col min="4869" max="4871" width="18.7265625" style="56" customWidth="1"/>
    <col min="4872" max="4872" width="1.26953125" style="56" customWidth="1"/>
    <col min="4873" max="4879" width="11.453125" style="56" customWidth="1"/>
    <col min="4880" max="4880" width="1.7265625" style="56" customWidth="1"/>
    <col min="4881" max="4883" width="18.7265625" style="56" customWidth="1"/>
    <col min="4884" max="4884" width="12.54296875" style="56" bestFit="1" customWidth="1"/>
    <col min="4885" max="5117" width="11.453125" style="56"/>
    <col min="5118" max="5118" width="35.7265625" style="56" customWidth="1"/>
    <col min="5119" max="5119" width="3" style="56" customWidth="1"/>
    <col min="5120" max="5120" width="1.453125" style="56" customWidth="1"/>
    <col min="5121" max="5123" width="18.7265625" style="56" customWidth="1"/>
    <col min="5124" max="5124" width="1.7265625" style="56" customWidth="1"/>
    <col min="5125" max="5127" width="18.7265625" style="56" customWidth="1"/>
    <col min="5128" max="5128" width="1.26953125" style="56" customWidth="1"/>
    <col min="5129" max="5135" width="11.453125" style="56" customWidth="1"/>
    <col min="5136" max="5136" width="1.7265625" style="56" customWidth="1"/>
    <col min="5137" max="5139" width="18.7265625" style="56" customWidth="1"/>
    <col min="5140" max="5140" width="12.54296875" style="56" bestFit="1" customWidth="1"/>
    <col min="5141" max="5373" width="11.453125" style="56"/>
    <col min="5374" max="5374" width="35.7265625" style="56" customWidth="1"/>
    <col min="5375" max="5375" width="3" style="56" customWidth="1"/>
    <col min="5376" max="5376" width="1.453125" style="56" customWidth="1"/>
    <col min="5377" max="5379" width="18.7265625" style="56" customWidth="1"/>
    <col min="5380" max="5380" width="1.7265625" style="56" customWidth="1"/>
    <col min="5381" max="5383" width="18.7265625" style="56" customWidth="1"/>
    <col min="5384" max="5384" width="1.26953125" style="56" customWidth="1"/>
    <col min="5385" max="5391" width="11.453125" style="56" customWidth="1"/>
    <col min="5392" max="5392" width="1.7265625" style="56" customWidth="1"/>
    <col min="5393" max="5395" width="18.7265625" style="56" customWidth="1"/>
    <col min="5396" max="5396" width="12.54296875" style="56" bestFit="1" customWidth="1"/>
    <col min="5397" max="5629" width="11.453125" style="56"/>
    <col min="5630" max="5630" width="35.7265625" style="56" customWidth="1"/>
    <col min="5631" max="5631" width="3" style="56" customWidth="1"/>
    <col min="5632" max="5632" width="1.453125" style="56" customWidth="1"/>
    <col min="5633" max="5635" width="18.7265625" style="56" customWidth="1"/>
    <col min="5636" max="5636" width="1.7265625" style="56" customWidth="1"/>
    <col min="5637" max="5639" width="18.7265625" style="56" customWidth="1"/>
    <col min="5640" max="5640" width="1.26953125" style="56" customWidth="1"/>
    <col min="5641" max="5647" width="11.453125" style="56" customWidth="1"/>
    <col min="5648" max="5648" width="1.7265625" style="56" customWidth="1"/>
    <col min="5649" max="5651" width="18.7265625" style="56" customWidth="1"/>
    <col min="5652" max="5652" width="12.54296875" style="56" bestFit="1" customWidth="1"/>
    <col min="5653" max="5885" width="11.453125" style="56"/>
    <col min="5886" max="5886" width="35.7265625" style="56" customWidth="1"/>
    <col min="5887" max="5887" width="3" style="56" customWidth="1"/>
    <col min="5888" max="5888" width="1.453125" style="56" customWidth="1"/>
    <col min="5889" max="5891" width="18.7265625" style="56" customWidth="1"/>
    <col min="5892" max="5892" width="1.7265625" style="56" customWidth="1"/>
    <col min="5893" max="5895" width="18.7265625" style="56" customWidth="1"/>
    <col min="5896" max="5896" width="1.26953125" style="56" customWidth="1"/>
    <col min="5897" max="5903" width="11.453125" style="56" customWidth="1"/>
    <col min="5904" max="5904" width="1.7265625" style="56" customWidth="1"/>
    <col min="5905" max="5907" width="18.7265625" style="56" customWidth="1"/>
    <col min="5908" max="5908" width="12.54296875" style="56" bestFit="1" customWidth="1"/>
    <col min="5909" max="6141" width="11.453125" style="56"/>
    <col min="6142" max="6142" width="35.7265625" style="56" customWidth="1"/>
    <col min="6143" max="6143" width="3" style="56" customWidth="1"/>
    <col min="6144" max="6144" width="1.453125" style="56" customWidth="1"/>
    <col min="6145" max="6147" width="18.7265625" style="56" customWidth="1"/>
    <col min="6148" max="6148" width="1.7265625" style="56" customWidth="1"/>
    <col min="6149" max="6151" width="18.7265625" style="56" customWidth="1"/>
    <col min="6152" max="6152" width="1.26953125" style="56" customWidth="1"/>
    <col min="6153" max="6159" width="11.453125" style="56" customWidth="1"/>
    <col min="6160" max="6160" width="1.7265625" style="56" customWidth="1"/>
    <col min="6161" max="6163" width="18.7265625" style="56" customWidth="1"/>
    <col min="6164" max="6164" width="12.54296875" style="56" bestFit="1" customWidth="1"/>
    <col min="6165" max="6397" width="11.453125" style="56"/>
    <col min="6398" max="6398" width="35.7265625" style="56" customWidth="1"/>
    <col min="6399" max="6399" width="3" style="56" customWidth="1"/>
    <col min="6400" max="6400" width="1.453125" style="56" customWidth="1"/>
    <col min="6401" max="6403" width="18.7265625" style="56" customWidth="1"/>
    <col min="6404" max="6404" width="1.7265625" style="56" customWidth="1"/>
    <col min="6405" max="6407" width="18.7265625" style="56" customWidth="1"/>
    <col min="6408" max="6408" width="1.26953125" style="56" customWidth="1"/>
    <col min="6409" max="6415" width="11.453125" style="56" customWidth="1"/>
    <col min="6416" max="6416" width="1.7265625" style="56" customWidth="1"/>
    <col min="6417" max="6419" width="18.7265625" style="56" customWidth="1"/>
    <col min="6420" max="6420" width="12.54296875" style="56" bestFit="1" customWidth="1"/>
    <col min="6421" max="6653" width="11.453125" style="56"/>
    <col min="6654" max="6654" width="35.7265625" style="56" customWidth="1"/>
    <col min="6655" max="6655" width="3" style="56" customWidth="1"/>
    <col min="6656" max="6656" width="1.453125" style="56" customWidth="1"/>
    <col min="6657" max="6659" width="18.7265625" style="56" customWidth="1"/>
    <col min="6660" max="6660" width="1.7265625" style="56" customWidth="1"/>
    <col min="6661" max="6663" width="18.7265625" style="56" customWidth="1"/>
    <col min="6664" max="6664" width="1.26953125" style="56" customWidth="1"/>
    <col min="6665" max="6671" width="11.453125" style="56" customWidth="1"/>
    <col min="6672" max="6672" width="1.7265625" style="56" customWidth="1"/>
    <col min="6673" max="6675" width="18.7265625" style="56" customWidth="1"/>
    <col min="6676" max="6676" width="12.54296875" style="56" bestFit="1" customWidth="1"/>
    <col min="6677" max="6909" width="11.453125" style="56"/>
    <col min="6910" max="6910" width="35.7265625" style="56" customWidth="1"/>
    <col min="6911" max="6911" width="3" style="56" customWidth="1"/>
    <col min="6912" max="6912" width="1.453125" style="56" customWidth="1"/>
    <col min="6913" max="6915" width="18.7265625" style="56" customWidth="1"/>
    <col min="6916" max="6916" width="1.7265625" style="56" customWidth="1"/>
    <col min="6917" max="6919" width="18.7265625" style="56" customWidth="1"/>
    <col min="6920" max="6920" width="1.26953125" style="56" customWidth="1"/>
    <col min="6921" max="6927" width="11.453125" style="56" customWidth="1"/>
    <col min="6928" max="6928" width="1.7265625" style="56" customWidth="1"/>
    <col min="6929" max="6931" width="18.7265625" style="56" customWidth="1"/>
    <col min="6932" max="6932" width="12.54296875" style="56" bestFit="1" customWidth="1"/>
    <col min="6933" max="7165" width="11.453125" style="56"/>
    <col min="7166" max="7166" width="35.7265625" style="56" customWidth="1"/>
    <col min="7167" max="7167" width="3" style="56" customWidth="1"/>
    <col min="7168" max="7168" width="1.453125" style="56" customWidth="1"/>
    <col min="7169" max="7171" width="18.7265625" style="56" customWidth="1"/>
    <col min="7172" max="7172" width="1.7265625" style="56" customWidth="1"/>
    <col min="7173" max="7175" width="18.7265625" style="56" customWidth="1"/>
    <col min="7176" max="7176" width="1.26953125" style="56" customWidth="1"/>
    <col min="7177" max="7183" width="11.453125" style="56" customWidth="1"/>
    <col min="7184" max="7184" width="1.7265625" style="56" customWidth="1"/>
    <col min="7185" max="7187" width="18.7265625" style="56" customWidth="1"/>
    <col min="7188" max="7188" width="12.54296875" style="56" bestFit="1" customWidth="1"/>
    <col min="7189" max="7421" width="11.453125" style="56"/>
    <col min="7422" max="7422" width="35.7265625" style="56" customWidth="1"/>
    <col min="7423" max="7423" width="3" style="56" customWidth="1"/>
    <col min="7424" max="7424" width="1.453125" style="56" customWidth="1"/>
    <col min="7425" max="7427" width="18.7265625" style="56" customWidth="1"/>
    <col min="7428" max="7428" width="1.7265625" style="56" customWidth="1"/>
    <col min="7429" max="7431" width="18.7265625" style="56" customWidth="1"/>
    <col min="7432" max="7432" width="1.26953125" style="56" customWidth="1"/>
    <col min="7433" max="7439" width="11.453125" style="56" customWidth="1"/>
    <col min="7440" max="7440" width="1.7265625" style="56" customWidth="1"/>
    <col min="7441" max="7443" width="18.7265625" style="56" customWidth="1"/>
    <col min="7444" max="7444" width="12.54296875" style="56" bestFit="1" customWidth="1"/>
    <col min="7445" max="7677" width="11.453125" style="56"/>
    <col min="7678" max="7678" width="35.7265625" style="56" customWidth="1"/>
    <col min="7679" max="7679" width="3" style="56" customWidth="1"/>
    <col min="7680" max="7680" width="1.453125" style="56" customWidth="1"/>
    <col min="7681" max="7683" width="18.7265625" style="56" customWidth="1"/>
    <col min="7684" max="7684" width="1.7265625" style="56" customWidth="1"/>
    <col min="7685" max="7687" width="18.7265625" style="56" customWidth="1"/>
    <col min="7688" max="7688" width="1.26953125" style="56" customWidth="1"/>
    <col min="7689" max="7695" width="11.453125" style="56" customWidth="1"/>
    <col min="7696" max="7696" width="1.7265625" style="56" customWidth="1"/>
    <col min="7697" max="7699" width="18.7265625" style="56" customWidth="1"/>
    <col min="7700" max="7700" width="12.54296875" style="56" bestFit="1" customWidth="1"/>
    <col min="7701" max="7933" width="11.453125" style="56"/>
    <col min="7934" max="7934" width="35.7265625" style="56" customWidth="1"/>
    <col min="7935" max="7935" width="3" style="56" customWidth="1"/>
    <col min="7936" max="7936" width="1.453125" style="56" customWidth="1"/>
    <col min="7937" max="7939" width="18.7265625" style="56" customWidth="1"/>
    <col min="7940" max="7940" width="1.7265625" style="56" customWidth="1"/>
    <col min="7941" max="7943" width="18.7265625" style="56" customWidth="1"/>
    <col min="7944" max="7944" width="1.26953125" style="56" customWidth="1"/>
    <col min="7945" max="7951" width="11.453125" style="56" customWidth="1"/>
    <col min="7952" max="7952" width="1.7265625" style="56" customWidth="1"/>
    <col min="7953" max="7955" width="18.7265625" style="56" customWidth="1"/>
    <col min="7956" max="7956" width="12.54296875" style="56" bestFit="1" customWidth="1"/>
    <col min="7957" max="8189" width="11.453125" style="56"/>
    <col min="8190" max="8190" width="35.7265625" style="56" customWidth="1"/>
    <col min="8191" max="8191" width="3" style="56" customWidth="1"/>
    <col min="8192" max="8192" width="1.453125" style="56" customWidth="1"/>
    <col min="8193" max="8195" width="18.7265625" style="56" customWidth="1"/>
    <col min="8196" max="8196" width="1.7265625" style="56" customWidth="1"/>
    <col min="8197" max="8199" width="18.7265625" style="56" customWidth="1"/>
    <col min="8200" max="8200" width="1.26953125" style="56" customWidth="1"/>
    <col min="8201" max="8207" width="11.453125" style="56" customWidth="1"/>
    <col min="8208" max="8208" width="1.7265625" style="56" customWidth="1"/>
    <col min="8209" max="8211" width="18.7265625" style="56" customWidth="1"/>
    <col min="8212" max="8212" width="12.54296875" style="56" bestFit="1" customWidth="1"/>
    <col min="8213" max="8445" width="11.453125" style="56"/>
    <col min="8446" max="8446" width="35.7265625" style="56" customWidth="1"/>
    <col min="8447" max="8447" width="3" style="56" customWidth="1"/>
    <col min="8448" max="8448" width="1.453125" style="56" customWidth="1"/>
    <col min="8449" max="8451" width="18.7265625" style="56" customWidth="1"/>
    <col min="8452" max="8452" width="1.7265625" style="56" customWidth="1"/>
    <col min="8453" max="8455" width="18.7265625" style="56" customWidth="1"/>
    <col min="8456" max="8456" width="1.26953125" style="56" customWidth="1"/>
    <col min="8457" max="8463" width="11.453125" style="56" customWidth="1"/>
    <col min="8464" max="8464" width="1.7265625" style="56" customWidth="1"/>
    <col min="8465" max="8467" width="18.7265625" style="56" customWidth="1"/>
    <col min="8468" max="8468" width="12.54296875" style="56" bestFit="1" customWidth="1"/>
    <col min="8469" max="8701" width="11.453125" style="56"/>
    <col min="8702" max="8702" width="35.7265625" style="56" customWidth="1"/>
    <col min="8703" max="8703" width="3" style="56" customWidth="1"/>
    <col min="8704" max="8704" width="1.453125" style="56" customWidth="1"/>
    <col min="8705" max="8707" width="18.7265625" style="56" customWidth="1"/>
    <col min="8708" max="8708" width="1.7265625" style="56" customWidth="1"/>
    <col min="8709" max="8711" width="18.7265625" style="56" customWidth="1"/>
    <col min="8712" max="8712" width="1.26953125" style="56" customWidth="1"/>
    <col min="8713" max="8719" width="11.453125" style="56" customWidth="1"/>
    <col min="8720" max="8720" width="1.7265625" style="56" customWidth="1"/>
    <col min="8721" max="8723" width="18.7265625" style="56" customWidth="1"/>
    <col min="8724" max="8724" width="12.54296875" style="56" bestFit="1" customWidth="1"/>
    <col min="8725" max="8957" width="11.453125" style="56"/>
    <col min="8958" max="8958" width="35.7265625" style="56" customWidth="1"/>
    <col min="8959" max="8959" width="3" style="56" customWidth="1"/>
    <col min="8960" max="8960" width="1.453125" style="56" customWidth="1"/>
    <col min="8961" max="8963" width="18.7265625" style="56" customWidth="1"/>
    <col min="8964" max="8964" width="1.7265625" style="56" customWidth="1"/>
    <col min="8965" max="8967" width="18.7265625" style="56" customWidth="1"/>
    <col min="8968" max="8968" width="1.26953125" style="56" customWidth="1"/>
    <col min="8969" max="8975" width="11.453125" style="56" customWidth="1"/>
    <col min="8976" max="8976" width="1.7265625" style="56" customWidth="1"/>
    <col min="8977" max="8979" width="18.7265625" style="56" customWidth="1"/>
    <col min="8980" max="8980" width="12.54296875" style="56" bestFit="1" customWidth="1"/>
    <col min="8981" max="9213" width="11.453125" style="56"/>
    <col min="9214" max="9214" width="35.7265625" style="56" customWidth="1"/>
    <col min="9215" max="9215" width="3" style="56" customWidth="1"/>
    <col min="9216" max="9216" width="1.453125" style="56" customWidth="1"/>
    <col min="9217" max="9219" width="18.7265625" style="56" customWidth="1"/>
    <col min="9220" max="9220" width="1.7265625" style="56" customWidth="1"/>
    <col min="9221" max="9223" width="18.7265625" style="56" customWidth="1"/>
    <col min="9224" max="9224" width="1.26953125" style="56" customWidth="1"/>
    <col min="9225" max="9231" width="11.453125" style="56" customWidth="1"/>
    <col min="9232" max="9232" width="1.7265625" style="56" customWidth="1"/>
    <col min="9233" max="9235" width="18.7265625" style="56" customWidth="1"/>
    <col min="9236" max="9236" width="12.54296875" style="56" bestFit="1" customWidth="1"/>
    <col min="9237" max="9469" width="11.453125" style="56"/>
    <col min="9470" max="9470" width="35.7265625" style="56" customWidth="1"/>
    <col min="9471" max="9471" width="3" style="56" customWidth="1"/>
    <col min="9472" max="9472" width="1.453125" style="56" customWidth="1"/>
    <col min="9473" max="9475" width="18.7265625" style="56" customWidth="1"/>
    <col min="9476" max="9476" width="1.7265625" style="56" customWidth="1"/>
    <col min="9477" max="9479" width="18.7265625" style="56" customWidth="1"/>
    <col min="9480" max="9480" width="1.26953125" style="56" customWidth="1"/>
    <col min="9481" max="9487" width="11.453125" style="56" customWidth="1"/>
    <col min="9488" max="9488" width="1.7265625" style="56" customWidth="1"/>
    <col min="9489" max="9491" width="18.7265625" style="56" customWidth="1"/>
    <col min="9492" max="9492" width="12.54296875" style="56" bestFit="1" customWidth="1"/>
    <col min="9493" max="9725" width="11.453125" style="56"/>
    <col min="9726" max="9726" width="35.7265625" style="56" customWidth="1"/>
    <col min="9727" max="9727" width="3" style="56" customWidth="1"/>
    <col min="9728" max="9728" width="1.453125" style="56" customWidth="1"/>
    <col min="9729" max="9731" width="18.7265625" style="56" customWidth="1"/>
    <col min="9732" max="9732" width="1.7265625" style="56" customWidth="1"/>
    <col min="9733" max="9735" width="18.7265625" style="56" customWidth="1"/>
    <col min="9736" max="9736" width="1.26953125" style="56" customWidth="1"/>
    <col min="9737" max="9743" width="11.453125" style="56" customWidth="1"/>
    <col min="9744" max="9744" width="1.7265625" style="56" customWidth="1"/>
    <col min="9745" max="9747" width="18.7265625" style="56" customWidth="1"/>
    <col min="9748" max="9748" width="12.54296875" style="56" bestFit="1" customWidth="1"/>
    <col min="9749" max="9981" width="11.453125" style="56"/>
    <col min="9982" max="9982" width="35.7265625" style="56" customWidth="1"/>
    <col min="9983" max="9983" width="3" style="56" customWidth="1"/>
    <col min="9984" max="9984" width="1.453125" style="56" customWidth="1"/>
    <col min="9985" max="9987" width="18.7265625" style="56" customWidth="1"/>
    <col min="9988" max="9988" width="1.7265625" style="56" customWidth="1"/>
    <col min="9989" max="9991" width="18.7265625" style="56" customWidth="1"/>
    <col min="9992" max="9992" width="1.26953125" style="56" customWidth="1"/>
    <col min="9993" max="9999" width="11.453125" style="56" customWidth="1"/>
    <col min="10000" max="10000" width="1.7265625" style="56" customWidth="1"/>
    <col min="10001" max="10003" width="18.7265625" style="56" customWidth="1"/>
    <col min="10004" max="10004" width="12.54296875" style="56" bestFit="1" customWidth="1"/>
    <col min="10005" max="10237" width="11.453125" style="56"/>
    <col min="10238" max="10238" width="35.7265625" style="56" customWidth="1"/>
    <col min="10239" max="10239" width="3" style="56" customWidth="1"/>
    <col min="10240" max="10240" width="1.453125" style="56" customWidth="1"/>
    <col min="10241" max="10243" width="18.7265625" style="56" customWidth="1"/>
    <col min="10244" max="10244" width="1.7265625" style="56" customWidth="1"/>
    <col min="10245" max="10247" width="18.7265625" style="56" customWidth="1"/>
    <col min="10248" max="10248" width="1.26953125" style="56" customWidth="1"/>
    <col min="10249" max="10255" width="11.453125" style="56" customWidth="1"/>
    <col min="10256" max="10256" width="1.7265625" style="56" customWidth="1"/>
    <col min="10257" max="10259" width="18.7265625" style="56" customWidth="1"/>
    <col min="10260" max="10260" width="12.54296875" style="56" bestFit="1" customWidth="1"/>
    <col min="10261" max="10493" width="11.453125" style="56"/>
    <col min="10494" max="10494" width="35.7265625" style="56" customWidth="1"/>
    <col min="10495" max="10495" width="3" style="56" customWidth="1"/>
    <col min="10496" max="10496" width="1.453125" style="56" customWidth="1"/>
    <col min="10497" max="10499" width="18.7265625" style="56" customWidth="1"/>
    <col min="10500" max="10500" width="1.7265625" style="56" customWidth="1"/>
    <col min="10501" max="10503" width="18.7265625" style="56" customWidth="1"/>
    <col min="10504" max="10504" width="1.26953125" style="56" customWidth="1"/>
    <col min="10505" max="10511" width="11.453125" style="56" customWidth="1"/>
    <col min="10512" max="10512" width="1.7265625" style="56" customWidth="1"/>
    <col min="10513" max="10515" width="18.7265625" style="56" customWidth="1"/>
    <col min="10516" max="10516" width="12.54296875" style="56" bestFit="1" customWidth="1"/>
    <col min="10517" max="10749" width="11.453125" style="56"/>
    <col min="10750" max="10750" width="35.7265625" style="56" customWidth="1"/>
    <col min="10751" max="10751" width="3" style="56" customWidth="1"/>
    <col min="10752" max="10752" width="1.453125" style="56" customWidth="1"/>
    <col min="10753" max="10755" width="18.7265625" style="56" customWidth="1"/>
    <col min="10756" max="10756" width="1.7265625" style="56" customWidth="1"/>
    <col min="10757" max="10759" width="18.7265625" style="56" customWidth="1"/>
    <col min="10760" max="10760" width="1.26953125" style="56" customWidth="1"/>
    <col min="10761" max="10767" width="11.453125" style="56" customWidth="1"/>
    <col min="10768" max="10768" width="1.7265625" style="56" customWidth="1"/>
    <col min="10769" max="10771" width="18.7265625" style="56" customWidth="1"/>
    <col min="10772" max="10772" width="12.54296875" style="56" bestFit="1" customWidth="1"/>
    <col min="10773" max="11005" width="11.453125" style="56"/>
    <col min="11006" max="11006" width="35.7265625" style="56" customWidth="1"/>
    <col min="11007" max="11007" width="3" style="56" customWidth="1"/>
    <col min="11008" max="11008" width="1.453125" style="56" customWidth="1"/>
    <col min="11009" max="11011" width="18.7265625" style="56" customWidth="1"/>
    <col min="11012" max="11012" width="1.7265625" style="56" customWidth="1"/>
    <col min="11013" max="11015" width="18.7265625" style="56" customWidth="1"/>
    <col min="11016" max="11016" width="1.26953125" style="56" customWidth="1"/>
    <col min="11017" max="11023" width="11.453125" style="56" customWidth="1"/>
    <col min="11024" max="11024" width="1.7265625" style="56" customWidth="1"/>
    <col min="11025" max="11027" width="18.7265625" style="56" customWidth="1"/>
    <col min="11028" max="11028" width="12.54296875" style="56" bestFit="1" customWidth="1"/>
    <col min="11029" max="11261" width="11.453125" style="56"/>
    <col min="11262" max="11262" width="35.7265625" style="56" customWidth="1"/>
    <col min="11263" max="11263" width="3" style="56" customWidth="1"/>
    <col min="11264" max="11264" width="1.453125" style="56" customWidth="1"/>
    <col min="11265" max="11267" width="18.7265625" style="56" customWidth="1"/>
    <col min="11268" max="11268" width="1.7265625" style="56" customWidth="1"/>
    <col min="11269" max="11271" width="18.7265625" style="56" customWidth="1"/>
    <col min="11272" max="11272" width="1.26953125" style="56" customWidth="1"/>
    <col min="11273" max="11279" width="11.453125" style="56" customWidth="1"/>
    <col min="11280" max="11280" width="1.7265625" style="56" customWidth="1"/>
    <col min="11281" max="11283" width="18.7265625" style="56" customWidth="1"/>
    <col min="11284" max="11284" width="12.54296875" style="56" bestFit="1" customWidth="1"/>
    <col min="11285" max="11517" width="11.453125" style="56"/>
    <col min="11518" max="11518" width="35.7265625" style="56" customWidth="1"/>
    <col min="11519" max="11519" width="3" style="56" customWidth="1"/>
    <col min="11520" max="11520" width="1.453125" style="56" customWidth="1"/>
    <col min="11521" max="11523" width="18.7265625" style="56" customWidth="1"/>
    <col min="11524" max="11524" width="1.7265625" style="56" customWidth="1"/>
    <col min="11525" max="11527" width="18.7265625" style="56" customWidth="1"/>
    <col min="11528" max="11528" width="1.26953125" style="56" customWidth="1"/>
    <col min="11529" max="11535" width="11.453125" style="56" customWidth="1"/>
    <col min="11536" max="11536" width="1.7265625" style="56" customWidth="1"/>
    <col min="11537" max="11539" width="18.7265625" style="56" customWidth="1"/>
    <col min="11540" max="11540" width="12.54296875" style="56" bestFit="1" customWidth="1"/>
    <col min="11541" max="11773" width="11.453125" style="56"/>
    <col min="11774" max="11774" width="35.7265625" style="56" customWidth="1"/>
    <col min="11775" max="11775" width="3" style="56" customWidth="1"/>
    <col min="11776" max="11776" width="1.453125" style="56" customWidth="1"/>
    <col min="11777" max="11779" width="18.7265625" style="56" customWidth="1"/>
    <col min="11780" max="11780" width="1.7265625" style="56" customWidth="1"/>
    <col min="11781" max="11783" width="18.7265625" style="56" customWidth="1"/>
    <col min="11784" max="11784" width="1.26953125" style="56" customWidth="1"/>
    <col min="11785" max="11791" width="11.453125" style="56" customWidth="1"/>
    <col min="11792" max="11792" width="1.7265625" style="56" customWidth="1"/>
    <col min="11793" max="11795" width="18.7265625" style="56" customWidth="1"/>
    <col min="11796" max="11796" width="12.54296875" style="56" bestFit="1" customWidth="1"/>
    <col min="11797" max="12029" width="11.453125" style="56"/>
    <col min="12030" max="12030" width="35.7265625" style="56" customWidth="1"/>
    <col min="12031" max="12031" width="3" style="56" customWidth="1"/>
    <col min="12032" max="12032" width="1.453125" style="56" customWidth="1"/>
    <col min="12033" max="12035" width="18.7265625" style="56" customWidth="1"/>
    <col min="12036" max="12036" width="1.7265625" style="56" customWidth="1"/>
    <col min="12037" max="12039" width="18.7265625" style="56" customWidth="1"/>
    <col min="12040" max="12040" width="1.26953125" style="56" customWidth="1"/>
    <col min="12041" max="12047" width="11.453125" style="56" customWidth="1"/>
    <col min="12048" max="12048" width="1.7265625" style="56" customWidth="1"/>
    <col min="12049" max="12051" width="18.7265625" style="56" customWidth="1"/>
    <col min="12052" max="12052" width="12.54296875" style="56" bestFit="1" customWidth="1"/>
    <col min="12053" max="12285" width="11.453125" style="56"/>
    <col min="12286" max="12286" width="35.7265625" style="56" customWidth="1"/>
    <col min="12287" max="12287" width="3" style="56" customWidth="1"/>
    <col min="12288" max="12288" width="1.453125" style="56" customWidth="1"/>
    <col min="12289" max="12291" width="18.7265625" style="56" customWidth="1"/>
    <col min="12292" max="12292" width="1.7265625" style="56" customWidth="1"/>
    <col min="12293" max="12295" width="18.7265625" style="56" customWidth="1"/>
    <col min="12296" max="12296" width="1.26953125" style="56" customWidth="1"/>
    <col min="12297" max="12303" width="11.453125" style="56" customWidth="1"/>
    <col min="12304" max="12304" width="1.7265625" style="56" customWidth="1"/>
    <col min="12305" max="12307" width="18.7265625" style="56" customWidth="1"/>
    <col min="12308" max="12308" width="12.54296875" style="56" bestFit="1" customWidth="1"/>
    <col min="12309" max="12541" width="11.453125" style="56"/>
    <col min="12542" max="12542" width="35.7265625" style="56" customWidth="1"/>
    <col min="12543" max="12543" width="3" style="56" customWidth="1"/>
    <col min="12544" max="12544" width="1.453125" style="56" customWidth="1"/>
    <col min="12545" max="12547" width="18.7265625" style="56" customWidth="1"/>
    <col min="12548" max="12548" width="1.7265625" style="56" customWidth="1"/>
    <col min="12549" max="12551" width="18.7265625" style="56" customWidth="1"/>
    <col min="12552" max="12552" width="1.26953125" style="56" customWidth="1"/>
    <col min="12553" max="12559" width="11.453125" style="56" customWidth="1"/>
    <col min="12560" max="12560" width="1.7265625" style="56" customWidth="1"/>
    <col min="12561" max="12563" width="18.7265625" style="56" customWidth="1"/>
    <col min="12564" max="12564" width="12.54296875" style="56" bestFit="1" customWidth="1"/>
    <col min="12565" max="12797" width="11.453125" style="56"/>
    <col min="12798" max="12798" width="35.7265625" style="56" customWidth="1"/>
    <col min="12799" max="12799" width="3" style="56" customWidth="1"/>
    <col min="12800" max="12800" width="1.453125" style="56" customWidth="1"/>
    <col min="12801" max="12803" width="18.7265625" style="56" customWidth="1"/>
    <col min="12804" max="12804" width="1.7265625" style="56" customWidth="1"/>
    <col min="12805" max="12807" width="18.7265625" style="56" customWidth="1"/>
    <col min="12808" max="12808" width="1.26953125" style="56" customWidth="1"/>
    <col min="12809" max="12815" width="11.453125" style="56" customWidth="1"/>
    <col min="12816" max="12816" width="1.7265625" style="56" customWidth="1"/>
    <col min="12817" max="12819" width="18.7265625" style="56" customWidth="1"/>
    <col min="12820" max="12820" width="12.54296875" style="56" bestFit="1" customWidth="1"/>
    <col min="12821" max="13053" width="11.453125" style="56"/>
    <col min="13054" max="13054" width="35.7265625" style="56" customWidth="1"/>
    <col min="13055" max="13055" width="3" style="56" customWidth="1"/>
    <col min="13056" max="13056" width="1.453125" style="56" customWidth="1"/>
    <col min="13057" max="13059" width="18.7265625" style="56" customWidth="1"/>
    <col min="13060" max="13060" width="1.7265625" style="56" customWidth="1"/>
    <col min="13061" max="13063" width="18.7265625" style="56" customWidth="1"/>
    <col min="13064" max="13064" width="1.26953125" style="56" customWidth="1"/>
    <col min="13065" max="13071" width="11.453125" style="56" customWidth="1"/>
    <col min="13072" max="13072" width="1.7265625" style="56" customWidth="1"/>
    <col min="13073" max="13075" width="18.7265625" style="56" customWidth="1"/>
    <col min="13076" max="13076" width="12.54296875" style="56" bestFit="1" customWidth="1"/>
    <col min="13077" max="13309" width="11.453125" style="56"/>
    <col min="13310" max="13310" width="35.7265625" style="56" customWidth="1"/>
    <col min="13311" max="13311" width="3" style="56" customWidth="1"/>
    <col min="13312" max="13312" width="1.453125" style="56" customWidth="1"/>
    <col min="13313" max="13315" width="18.7265625" style="56" customWidth="1"/>
    <col min="13316" max="13316" width="1.7265625" style="56" customWidth="1"/>
    <col min="13317" max="13319" width="18.7265625" style="56" customWidth="1"/>
    <col min="13320" max="13320" width="1.26953125" style="56" customWidth="1"/>
    <col min="13321" max="13327" width="11.453125" style="56" customWidth="1"/>
    <col min="13328" max="13328" width="1.7265625" style="56" customWidth="1"/>
    <col min="13329" max="13331" width="18.7265625" style="56" customWidth="1"/>
    <col min="13332" max="13332" width="12.54296875" style="56" bestFit="1" customWidth="1"/>
    <col min="13333" max="13565" width="11.453125" style="56"/>
    <col min="13566" max="13566" width="35.7265625" style="56" customWidth="1"/>
    <col min="13567" max="13567" width="3" style="56" customWidth="1"/>
    <col min="13568" max="13568" width="1.453125" style="56" customWidth="1"/>
    <col min="13569" max="13571" width="18.7265625" style="56" customWidth="1"/>
    <col min="13572" max="13572" width="1.7265625" style="56" customWidth="1"/>
    <col min="13573" max="13575" width="18.7265625" style="56" customWidth="1"/>
    <col min="13576" max="13576" width="1.26953125" style="56" customWidth="1"/>
    <col min="13577" max="13583" width="11.453125" style="56" customWidth="1"/>
    <col min="13584" max="13584" width="1.7265625" style="56" customWidth="1"/>
    <col min="13585" max="13587" width="18.7265625" style="56" customWidth="1"/>
    <col min="13588" max="13588" width="12.54296875" style="56" bestFit="1" customWidth="1"/>
    <col min="13589" max="13821" width="11.453125" style="56"/>
    <col min="13822" max="13822" width="35.7265625" style="56" customWidth="1"/>
    <col min="13823" max="13823" width="3" style="56" customWidth="1"/>
    <col min="13824" max="13824" width="1.453125" style="56" customWidth="1"/>
    <col min="13825" max="13827" width="18.7265625" style="56" customWidth="1"/>
    <col min="13828" max="13828" width="1.7265625" style="56" customWidth="1"/>
    <col min="13829" max="13831" width="18.7265625" style="56" customWidth="1"/>
    <col min="13832" max="13832" width="1.26953125" style="56" customWidth="1"/>
    <col min="13833" max="13839" width="11.453125" style="56" customWidth="1"/>
    <col min="13840" max="13840" width="1.7265625" style="56" customWidth="1"/>
    <col min="13841" max="13843" width="18.7265625" style="56" customWidth="1"/>
    <col min="13844" max="13844" width="12.54296875" style="56" bestFit="1" customWidth="1"/>
    <col min="13845" max="14077" width="11.453125" style="56"/>
    <col min="14078" max="14078" width="35.7265625" style="56" customWidth="1"/>
    <col min="14079" max="14079" width="3" style="56" customWidth="1"/>
    <col min="14080" max="14080" width="1.453125" style="56" customWidth="1"/>
    <col min="14081" max="14083" width="18.7265625" style="56" customWidth="1"/>
    <col min="14084" max="14084" width="1.7265625" style="56" customWidth="1"/>
    <col min="14085" max="14087" width="18.7265625" style="56" customWidth="1"/>
    <col min="14088" max="14088" width="1.26953125" style="56" customWidth="1"/>
    <col min="14089" max="14095" width="11.453125" style="56" customWidth="1"/>
    <col min="14096" max="14096" width="1.7265625" style="56" customWidth="1"/>
    <col min="14097" max="14099" width="18.7265625" style="56" customWidth="1"/>
    <col min="14100" max="14100" width="12.54296875" style="56" bestFit="1" customWidth="1"/>
    <col min="14101" max="14333" width="11.453125" style="56"/>
    <col min="14334" max="14334" width="35.7265625" style="56" customWidth="1"/>
    <col min="14335" max="14335" width="3" style="56" customWidth="1"/>
    <col min="14336" max="14336" width="1.453125" style="56" customWidth="1"/>
    <col min="14337" max="14339" width="18.7265625" style="56" customWidth="1"/>
    <col min="14340" max="14340" width="1.7265625" style="56" customWidth="1"/>
    <col min="14341" max="14343" width="18.7265625" style="56" customWidth="1"/>
    <col min="14344" max="14344" width="1.26953125" style="56" customWidth="1"/>
    <col min="14345" max="14351" width="11.453125" style="56" customWidth="1"/>
    <col min="14352" max="14352" width="1.7265625" style="56" customWidth="1"/>
    <col min="14353" max="14355" width="18.7265625" style="56" customWidth="1"/>
    <col min="14356" max="14356" width="12.54296875" style="56" bestFit="1" customWidth="1"/>
    <col min="14357" max="14589" width="11.453125" style="56"/>
    <col min="14590" max="14590" width="35.7265625" style="56" customWidth="1"/>
    <col min="14591" max="14591" width="3" style="56" customWidth="1"/>
    <col min="14592" max="14592" width="1.453125" style="56" customWidth="1"/>
    <col min="14593" max="14595" width="18.7265625" style="56" customWidth="1"/>
    <col min="14596" max="14596" width="1.7265625" style="56" customWidth="1"/>
    <col min="14597" max="14599" width="18.7265625" style="56" customWidth="1"/>
    <col min="14600" max="14600" width="1.26953125" style="56" customWidth="1"/>
    <col min="14601" max="14607" width="11.453125" style="56" customWidth="1"/>
    <col min="14608" max="14608" width="1.7265625" style="56" customWidth="1"/>
    <col min="14609" max="14611" width="18.7265625" style="56" customWidth="1"/>
    <col min="14612" max="14612" width="12.54296875" style="56" bestFit="1" customWidth="1"/>
    <col min="14613" max="14845" width="11.453125" style="56"/>
    <col min="14846" max="14846" width="35.7265625" style="56" customWidth="1"/>
    <col min="14847" max="14847" width="3" style="56" customWidth="1"/>
    <col min="14848" max="14848" width="1.453125" style="56" customWidth="1"/>
    <col min="14849" max="14851" width="18.7265625" style="56" customWidth="1"/>
    <col min="14852" max="14852" width="1.7265625" style="56" customWidth="1"/>
    <col min="14853" max="14855" width="18.7265625" style="56" customWidth="1"/>
    <col min="14856" max="14856" width="1.26953125" style="56" customWidth="1"/>
    <col min="14857" max="14863" width="11.453125" style="56" customWidth="1"/>
    <col min="14864" max="14864" width="1.7265625" style="56" customWidth="1"/>
    <col min="14865" max="14867" width="18.7265625" style="56" customWidth="1"/>
    <col min="14868" max="14868" width="12.54296875" style="56" bestFit="1" customWidth="1"/>
    <col min="14869" max="15101" width="11.453125" style="56"/>
    <col min="15102" max="15102" width="35.7265625" style="56" customWidth="1"/>
    <col min="15103" max="15103" width="3" style="56" customWidth="1"/>
    <col min="15104" max="15104" width="1.453125" style="56" customWidth="1"/>
    <col min="15105" max="15107" width="18.7265625" style="56" customWidth="1"/>
    <col min="15108" max="15108" width="1.7265625" style="56" customWidth="1"/>
    <col min="15109" max="15111" width="18.7265625" style="56" customWidth="1"/>
    <col min="15112" max="15112" width="1.26953125" style="56" customWidth="1"/>
    <col min="15113" max="15119" width="11.453125" style="56" customWidth="1"/>
    <col min="15120" max="15120" width="1.7265625" style="56" customWidth="1"/>
    <col min="15121" max="15123" width="18.7265625" style="56" customWidth="1"/>
    <col min="15124" max="15124" width="12.54296875" style="56" bestFit="1" customWidth="1"/>
    <col min="15125" max="15357" width="11.453125" style="56"/>
    <col min="15358" max="15358" width="35.7265625" style="56" customWidth="1"/>
    <col min="15359" max="15359" width="3" style="56" customWidth="1"/>
    <col min="15360" max="15360" width="1.453125" style="56" customWidth="1"/>
    <col min="15361" max="15363" width="18.7265625" style="56" customWidth="1"/>
    <col min="15364" max="15364" width="1.7265625" style="56" customWidth="1"/>
    <col min="15365" max="15367" width="18.7265625" style="56" customWidth="1"/>
    <col min="15368" max="15368" width="1.26953125" style="56" customWidth="1"/>
    <col min="15369" max="15375" width="11.453125" style="56" customWidth="1"/>
    <col min="15376" max="15376" width="1.7265625" style="56" customWidth="1"/>
    <col min="15377" max="15379" width="18.7265625" style="56" customWidth="1"/>
    <col min="15380" max="15380" width="12.54296875" style="56" bestFit="1" customWidth="1"/>
    <col min="15381" max="15613" width="11.453125" style="56"/>
    <col min="15614" max="15614" width="35.7265625" style="56" customWidth="1"/>
    <col min="15615" max="15615" width="3" style="56" customWidth="1"/>
    <col min="15616" max="15616" width="1.453125" style="56" customWidth="1"/>
    <col min="15617" max="15619" width="18.7265625" style="56" customWidth="1"/>
    <col min="15620" max="15620" width="1.7265625" style="56" customWidth="1"/>
    <col min="15621" max="15623" width="18.7265625" style="56" customWidth="1"/>
    <col min="15624" max="15624" width="1.26953125" style="56" customWidth="1"/>
    <col min="15625" max="15631" width="11.453125" style="56" customWidth="1"/>
    <col min="15632" max="15632" width="1.7265625" style="56" customWidth="1"/>
    <col min="15633" max="15635" width="18.7265625" style="56" customWidth="1"/>
    <col min="15636" max="15636" width="12.54296875" style="56" bestFit="1" customWidth="1"/>
    <col min="15637" max="15869" width="11.453125" style="56"/>
    <col min="15870" max="15870" width="35.7265625" style="56" customWidth="1"/>
    <col min="15871" max="15871" width="3" style="56" customWidth="1"/>
    <col min="15872" max="15872" width="1.453125" style="56" customWidth="1"/>
    <col min="15873" max="15875" width="18.7265625" style="56" customWidth="1"/>
    <col min="15876" max="15876" width="1.7265625" style="56" customWidth="1"/>
    <col min="15877" max="15879" width="18.7265625" style="56" customWidth="1"/>
    <col min="15880" max="15880" width="1.26953125" style="56" customWidth="1"/>
    <col min="15881" max="15887" width="11.453125" style="56" customWidth="1"/>
    <col min="15888" max="15888" width="1.7265625" style="56" customWidth="1"/>
    <col min="15889" max="15891" width="18.7265625" style="56" customWidth="1"/>
    <col min="15892" max="15892" width="12.54296875" style="56" bestFit="1" customWidth="1"/>
    <col min="15893" max="16125" width="11.453125" style="56"/>
    <col min="16126" max="16126" width="35.7265625" style="56" customWidth="1"/>
    <col min="16127" max="16127" width="3" style="56" customWidth="1"/>
    <col min="16128" max="16128" width="1.453125" style="56" customWidth="1"/>
    <col min="16129" max="16131" width="18.7265625" style="56" customWidth="1"/>
    <col min="16132" max="16132" width="1.7265625" style="56" customWidth="1"/>
    <col min="16133" max="16135" width="18.7265625" style="56" customWidth="1"/>
    <col min="16136" max="16136" width="1.26953125" style="56" customWidth="1"/>
    <col min="16137" max="16143" width="11.453125" style="56" customWidth="1"/>
    <col min="16144" max="16144" width="1.7265625" style="56" customWidth="1"/>
    <col min="16145" max="16147" width="18.7265625" style="56" customWidth="1"/>
    <col min="16148" max="16148" width="12.54296875" style="56" bestFit="1" customWidth="1"/>
    <col min="16149" max="16384" width="11.453125" style="56"/>
  </cols>
  <sheetData>
    <row r="2" spans="2:34" ht="45.5" x14ac:dyDescent="0.25">
      <c r="B2" s="1" t="s">
        <v>83</v>
      </c>
      <c r="C2" s="1"/>
      <c r="D2" s="1"/>
      <c r="E2" s="1"/>
      <c r="F2" s="1"/>
      <c r="G2" s="1"/>
      <c r="H2" s="1"/>
      <c r="I2" s="1"/>
      <c r="J2" s="1"/>
      <c r="K2" s="1"/>
      <c r="L2" s="1"/>
      <c r="M2" s="1"/>
      <c r="N2" s="1"/>
      <c r="O2" s="1"/>
      <c r="P2" s="1"/>
      <c r="Q2" s="1"/>
      <c r="R2" s="1"/>
    </row>
    <row r="9" spans="2:34" ht="27.5" x14ac:dyDescent="0.25">
      <c r="B9" s="762" t="s">
        <v>0</v>
      </c>
      <c r="C9" s="762"/>
      <c r="D9" s="762"/>
      <c r="E9" s="762"/>
      <c r="F9" s="762"/>
      <c r="G9" s="762"/>
      <c r="H9" s="762"/>
      <c r="I9" s="762"/>
      <c r="J9" s="762"/>
      <c r="K9" s="762"/>
      <c r="L9" s="762"/>
      <c r="M9" s="762"/>
      <c r="N9" s="762"/>
      <c r="O9" s="762"/>
      <c r="P9" s="762"/>
      <c r="Q9" s="762"/>
      <c r="R9" s="762"/>
    </row>
    <row r="11" spans="2:34" ht="25" x14ac:dyDescent="0.25">
      <c r="B11" s="238"/>
      <c r="C11" s="238"/>
      <c r="D11" s="238"/>
      <c r="E11" s="758" t="s">
        <v>57</v>
      </c>
      <c r="F11" s="758"/>
      <c r="G11" s="239"/>
      <c r="H11" s="758" t="s">
        <v>58</v>
      </c>
      <c r="I11" s="758"/>
      <c r="J11" s="239"/>
      <c r="K11" s="758" t="s">
        <v>59</v>
      </c>
      <c r="L11" s="758"/>
      <c r="M11" s="239"/>
      <c r="N11" s="758" t="s">
        <v>60</v>
      </c>
      <c r="O11" s="758"/>
      <c r="P11" s="239"/>
      <c r="Q11" s="758" t="s">
        <v>61</v>
      </c>
      <c r="R11" s="758"/>
    </row>
    <row r="12" spans="2:34" ht="6.75" customHeight="1" x14ac:dyDescent="0.25">
      <c r="B12" s="238"/>
      <c r="C12" s="238"/>
      <c r="D12" s="238"/>
      <c r="E12" s="553"/>
      <c r="F12" s="553"/>
      <c r="G12" s="238"/>
      <c r="H12" s="553"/>
      <c r="I12" s="553"/>
      <c r="J12" s="238"/>
      <c r="K12" s="553"/>
      <c r="L12" s="553"/>
      <c r="M12" s="238"/>
      <c r="N12" s="553"/>
      <c r="O12" s="553"/>
      <c r="P12" s="238"/>
      <c r="Q12" s="553"/>
      <c r="R12" s="553"/>
    </row>
    <row r="13" spans="2:34" ht="24.75" customHeight="1" x14ac:dyDescent="0.25">
      <c r="B13" s="240"/>
      <c r="C13" s="241"/>
      <c r="D13" s="242"/>
      <c r="E13" s="565">
        <v>2019</v>
      </c>
      <c r="F13" s="566">
        <v>2020</v>
      </c>
      <c r="G13" s="239"/>
      <c r="H13" s="565">
        <v>2019</v>
      </c>
      <c r="I13" s="566">
        <v>2020</v>
      </c>
      <c r="J13" s="239"/>
      <c r="K13" s="565">
        <v>2019</v>
      </c>
      <c r="L13" s="566">
        <v>2020</v>
      </c>
      <c r="M13" s="239"/>
      <c r="N13" s="565">
        <v>2019</v>
      </c>
      <c r="O13" s="566">
        <v>2020</v>
      </c>
      <c r="P13" s="239"/>
      <c r="Q13" s="565">
        <v>2019</v>
      </c>
      <c r="R13" s="566">
        <v>2020</v>
      </c>
      <c r="AA13" s="756"/>
      <c r="AB13" s="756"/>
      <c r="AC13" s="756"/>
      <c r="AD13" s="756"/>
      <c r="AE13" s="756"/>
      <c r="AF13" s="756"/>
    </row>
    <row r="14" spans="2:34" ht="6.75" customHeight="1" x14ac:dyDescent="0.25">
      <c r="B14" s="238"/>
      <c r="C14" s="238"/>
      <c r="D14" s="238"/>
      <c r="E14" s="553"/>
      <c r="F14" s="553"/>
      <c r="G14" s="238"/>
      <c r="H14" s="553"/>
      <c r="I14" s="553"/>
      <c r="J14" s="238"/>
      <c r="K14" s="553"/>
      <c r="L14" s="553"/>
      <c r="M14" s="238"/>
      <c r="N14" s="553"/>
      <c r="O14" s="553"/>
      <c r="P14" s="238"/>
      <c r="Q14" s="553"/>
      <c r="R14" s="553"/>
      <c r="AA14" s="756"/>
      <c r="AB14" s="756"/>
      <c r="AC14" s="756"/>
    </row>
    <row r="15" spans="2:34" ht="6" customHeight="1" x14ac:dyDescent="0.25">
      <c r="B15" s="557"/>
      <c r="C15" s="557"/>
      <c r="D15" s="557"/>
      <c r="E15" s="557"/>
      <c r="F15" s="557"/>
      <c r="G15" s="238"/>
      <c r="H15" s="557"/>
      <c r="I15" s="557"/>
      <c r="J15" s="238"/>
      <c r="K15" s="557"/>
      <c r="L15" s="557"/>
      <c r="M15" s="238"/>
      <c r="N15" s="557"/>
      <c r="O15" s="557"/>
      <c r="P15" s="238"/>
      <c r="Q15" s="557"/>
      <c r="R15" s="557"/>
    </row>
    <row r="16" spans="2:34" s="315" customFormat="1" ht="23" x14ac:dyDescent="0.25">
      <c r="B16" s="243" t="s">
        <v>10</v>
      </c>
      <c r="C16" s="312"/>
      <c r="D16" s="312"/>
      <c r="E16" s="313">
        <f>'[3]Syn prin concurents par trim'!G16+'[3]Syn prin concurents par trim'!H16</f>
        <v>1418652.2222</v>
      </c>
      <c r="F16" s="313" t="e">
        <f>'Syn prin concurents par trim'!#REF!+'Syn prin concurents par trim'!#REF!</f>
        <v>#REF!</v>
      </c>
      <c r="G16" s="291"/>
      <c r="H16" s="313">
        <f>'[3]Syn prin concurents par trim'!L16+'[3]Syn prin concurents par trim'!M16</f>
        <v>1325401.4412399998</v>
      </c>
      <c r="I16" s="313" t="e">
        <f>'Syn prin concurents par trim'!#REF!+'Syn prin concurents par trim'!#REF!</f>
        <v>#REF!</v>
      </c>
      <c r="J16" s="291"/>
      <c r="K16" s="313">
        <f>'[3]Syn prin concurents par trim'!Q16+'[3]Syn prin concurents par trim'!R16</f>
        <v>258604.46919999993</v>
      </c>
      <c r="L16" s="313" t="e">
        <f>'Syn prin concurents par trim'!#REF!+'Syn prin concurents par trim'!#REF!</f>
        <v>#REF!</v>
      </c>
      <c r="M16" s="291"/>
      <c r="N16" s="313">
        <f>'[3]Syn prin concurents par trim'!V16+'[3]Syn prin concurents par trim'!W16</f>
        <v>15323.727019999998</v>
      </c>
      <c r="O16" s="313" t="e">
        <f>'Syn prin concurents par trim'!#REF!+'Syn prin concurents par trim'!#REF!</f>
        <v>#REF!</v>
      </c>
      <c r="P16" s="291"/>
      <c r="Q16" s="313">
        <f>N16+K16+H16+E16</f>
        <v>3017981.8596599996</v>
      </c>
      <c r="R16" s="313" t="e">
        <f>O16+L16+I16+F16</f>
        <v>#REF!</v>
      </c>
      <c r="S16" s="314"/>
      <c r="T16" s="351"/>
      <c r="U16" s="351"/>
      <c r="V16" s="351"/>
      <c r="AA16" s="314"/>
      <c r="AB16" s="314"/>
      <c r="AC16" s="314"/>
      <c r="AD16" s="314"/>
      <c r="AE16" s="314"/>
      <c r="AF16" s="314"/>
      <c r="AH16" s="325"/>
    </row>
    <row r="17" spans="2:34" s="320" customFormat="1" ht="23" x14ac:dyDescent="0.25">
      <c r="B17" s="248" t="s">
        <v>67</v>
      </c>
      <c r="C17" s="316"/>
      <c r="D17" s="316"/>
      <c r="E17" s="317">
        <f>E16/E$30</f>
        <v>0.20446819489249296</v>
      </c>
      <c r="F17" s="317" t="e">
        <f>F16/F$30</f>
        <v>#REF!</v>
      </c>
      <c r="G17" s="319"/>
      <c r="H17" s="317">
        <f>H16/H$30</f>
        <v>0.37055002317304714</v>
      </c>
      <c r="I17" s="317" t="e">
        <f>I16/I$30</f>
        <v>#REF!</v>
      </c>
      <c r="J17" s="319"/>
      <c r="K17" s="317">
        <f>K16/K$30</f>
        <v>0.99438413603395959</v>
      </c>
      <c r="L17" s="317" t="e">
        <f>L16/L$30</f>
        <v>#REF!</v>
      </c>
      <c r="M17" s="319"/>
      <c r="N17" s="317">
        <f>N16/N$30</f>
        <v>0.83248221837181269</v>
      </c>
      <c r="O17" s="317" t="e">
        <f>O16/O$30</f>
        <v>#REF!</v>
      </c>
      <c r="P17" s="319"/>
      <c r="Q17" s="317">
        <f>Q16/Q$30</f>
        <v>0.27960910921703225</v>
      </c>
      <c r="R17" s="317" t="e">
        <f>R16/R$30</f>
        <v>#REF!</v>
      </c>
      <c r="T17" s="351"/>
      <c r="U17" s="352"/>
      <c r="V17" s="352"/>
      <c r="AC17" s="321"/>
    </row>
    <row r="18" spans="2:34" ht="23.5" x14ac:dyDescent="0.25">
      <c r="B18" s="223" t="s">
        <v>2</v>
      </c>
      <c r="C18" s="224"/>
      <c r="D18" s="224"/>
      <c r="E18" s="225">
        <f>'[3]Syn prin concurents par trim'!G18+'[3]Syn prin concurents par trim'!H18</f>
        <v>1971219.5200933353</v>
      </c>
      <c r="F18" s="225" t="e">
        <f>'Syn prin concurents par trim'!#REF!+'Syn prin concurents par trim'!#REF!</f>
        <v>#REF!</v>
      </c>
      <c r="G18" s="247"/>
      <c r="H18" s="225">
        <f>'[3]Syn prin concurents par trim'!L18+'[3]Syn prin concurents par trim'!M18</f>
        <v>477896.65514000005</v>
      </c>
      <c r="I18" s="225" t="e">
        <f>'Syn prin concurents par trim'!#REF!+'Syn prin concurents par trim'!#REF!</f>
        <v>#REF!</v>
      </c>
      <c r="J18" s="247"/>
      <c r="K18" s="225">
        <f>'[3]Syn prin concurents par trim'!Q18+'[3]Syn prin concurents par trim'!R18</f>
        <v>1355.9864300000004</v>
      </c>
      <c r="L18" s="225" t="e">
        <f>'Syn prin concurents par trim'!#REF!+'Syn prin concurents par trim'!#REF!</f>
        <v>#REF!</v>
      </c>
      <c r="M18" s="247"/>
      <c r="N18" s="225">
        <f>'[3]Syn prin concurents par trim'!V18+'[3]Syn prin concurents par trim'!W18</f>
        <v>0</v>
      </c>
      <c r="O18" s="225" t="e">
        <f>'Syn prin concurents par trim'!#REF!+'Syn prin concurents par trim'!#REF!</f>
        <v>#REF!</v>
      </c>
      <c r="P18" s="247"/>
      <c r="Q18" s="225">
        <f>N18+K18+H18+E18</f>
        <v>2450472.1616633353</v>
      </c>
      <c r="R18" s="225" t="e">
        <f>O18+L18+I18+F18</f>
        <v>#REF!</v>
      </c>
      <c r="S18" s="57"/>
      <c r="T18" s="351"/>
      <c r="U18" s="351"/>
      <c r="V18" s="351"/>
      <c r="W18" s="57"/>
      <c r="X18" s="57"/>
      <c r="Y18" s="58"/>
      <c r="AA18" s="314"/>
      <c r="AB18" s="314"/>
      <c r="AC18" s="314"/>
      <c r="AD18" s="314"/>
      <c r="AE18" s="314"/>
      <c r="AF18" s="314"/>
      <c r="AH18" s="325"/>
    </row>
    <row r="19" spans="2:34" ht="23" x14ac:dyDescent="0.25">
      <c r="B19" s="227" t="s">
        <v>67</v>
      </c>
      <c r="C19" s="228"/>
      <c r="D19" s="228"/>
      <c r="E19" s="229">
        <f>E18/E$30</f>
        <v>0.2841088821510398</v>
      </c>
      <c r="F19" s="229" t="e">
        <f>F18/F$30</f>
        <v>#REF!</v>
      </c>
      <c r="G19" s="252"/>
      <c r="H19" s="229">
        <f>H18/H$30</f>
        <v>0.13360828736595795</v>
      </c>
      <c r="I19" s="229" t="e">
        <f>I18/I$30</f>
        <v>#REF!</v>
      </c>
      <c r="J19" s="252"/>
      <c r="K19" s="229">
        <f>K18/K$30</f>
        <v>5.2140297452729556E-3</v>
      </c>
      <c r="L19" s="229" t="e">
        <f>L18/L$30</f>
        <v>#REF!</v>
      </c>
      <c r="M19" s="252"/>
      <c r="N19" s="229">
        <f>N18/N$30</f>
        <v>0</v>
      </c>
      <c r="O19" s="229" t="e">
        <f>O18/O$30</f>
        <v>#REF!</v>
      </c>
      <c r="P19" s="252"/>
      <c r="Q19" s="229">
        <f>Q18/Q$30</f>
        <v>0.22703063508838028</v>
      </c>
      <c r="R19" s="229" t="e">
        <f>R18/R$30</f>
        <v>#REF!</v>
      </c>
      <c r="T19" s="351"/>
      <c r="U19" s="352"/>
      <c r="V19" s="352"/>
      <c r="W19" s="57"/>
      <c r="X19" s="57"/>
      <c r="Y19" s="58"/>
      <c r="AC19" s="57"/>
    </row>
    <row r="20" spans="2:34" ht="23.5" x14ac:dyDescent="0.25">
      <c r="B20" s="243" t="s">
        <v>6</v>
      </c>
      <c r="C20" s="244"/>
      <c r="D20" s="244"/>
      <c r="E20" s="245">
        <f>'[3]Syn prin concurents par trim'!G22+'[3]Syn prin concurents par trim'!H22</f>
        <v>512605.36289999989</v>
      </c>
      <c r="F20" s="245" t="e">
        <f>'Syn prin concurents par trim'!#REF!+'Syn prin concurents par trim'!#REF!</f>
        <v>#REF!</v>
      </c>
      <c r="G20" s="247"/>
      <c r="H20" s="245">
        <f>'[3]Syn prin concurents par trim'!L22+'[3]Syn prin concurents par trim'!M22</f>
        <v>617498.16075999977</v>
      </c>
      <c r="I20" s="245" t="e">
        <f>'Syn prin concurents par trim'!#REF!+'Syn prin concurents par trim'!#REF!</f>
        <v>#REF!</v>
      </c>
      <c r="J20" s="247"/>
      <c r="K20" s="245">
        <f>'[3]Syn prin concurents par trim'!Q22+'[3]Syn prin concurents par trim'!R22</f>
        <v>104.503</v>
      </c>
      <c r="L20" s="245" t="e">
        <f>'Syn prin concurents par trim'!#REF!+'Syn prin concurents par trim'!#REF!</f>
        <v>#REF!</v>
      </c>
      <c r="M20" s="247"/>
      <c r="N20" s="245">
        <f>'[3]Syn prin concurents par trim'!V22+'[3]Syn prin concurents par trim'!W22</f>
        <v>0</v>
      </c>
      <c r="O20" s="245" t="e">
        <f>'Syn prin concurents par trim'!#REF!+'Syn prin concurents par trim'!#REF!</f>
        <v>#REF!</v>
      </c>
      <c r="P20" s="247"/>
      <c r="Q20" s="245">
        <f>N20+K20+H20+E20</f>
        <v>1130208.0266599997</v>
      </c>
      <c r="R20" s="245" t="e">
        <f>O20+L20+I20+F20</f>
        <v>#REF!</v>
      </c>
      <c r="S20" s="57"/>
      <c r="T20" s="351"/>
      <c r="U20" s="351"/>
      <c r="V20" s="351"/>
      <c r="AA20" s="314"/>
      <c r="AB20" s="314"/>
      <c r="AC20" s="314"/>
      <c r="AD20" s="314"/>
      <c r="AE20" s="314"/>
      <c r="AF20" s="314"/>
      <c r="AH20" s="325"/>
    </row>
    <row r="21" spans="2:34" ht="23" x14ac:dyDescent="0.25">
      <c r="B21" s="248" t="s">
        <v>67</v>
      </c>
      <c r="C21" s="249"/>
      <c r="D21" s="249"/>
      <c r="E21" s="250">
        <f>E20/E$30</f>
        <v>7.3881034128178355E-2</v>
      </c>
      <c r="F21" s="250" t="e">
        <f>F20/F$30</f>
        <v>#REF!</v>
      </c>
      <c r="G21" s="252"/>
      <c r="H21" s="250">
        <f>H20/H$30</f>
        <v>0.17263747469963625</v>
      </c>
      <c r="I21" s="250" t="e">
        <f>I20/I$30</f>
        <v>#REF!</v>
      </c>
      <c r="J21" s="252"/>
      <c r="K21" s="250">
        <f>K20/K$30</f>
        <v>4.0183422076743022E-4</v>
      </c>
      <c r="L21" s="250" t="e">
        <f>L20/L$30</f>
        <v>#REF!</v>
      </c>
      <c r="M21" s="252"/>
      <c r="N21" s="250">
        <f>N20/N$30</f>
        <v>0</v>
      </c>
      <c r="O21" s="250" t="e">
        <f>O20/O$30</f>
        <v>#REF!</v>
      </c>
      <c r="P21" s="252"/>
      <c r="Q21" s="250">
        <f>Q20/Q$30</f>
        <v>0.10471118590485638</v>
      </c>
      <c r="R21" s="250" t="e">
        <f>R20/R$30</f>
        <v>#REF!</v>
      </c>
      <c r="T21" s="351"/>
      <c r="U21" s="352"/>
      <c r="V21" s="352"/>
      <c r="AC21" s="57"/>
    </row>
    <row r="22" spans="2:34" ht="23.5" x14ac:dyDescent="0.25">
      <c r="B22" s="243" t="s">
        <v>5</v>
      </c>
      <c r="C22" s="278"/>
      <c r="D22" s="278"/>
      <c r="E22" s="279">
        <f>'[3]Syn prin concurents par trim'!G20+'[3]Syn prin concurents par trim'!H20</f>
        <v>1679049.76902</v>
      </c>
      <c r="F22" s="279" t="e">
        <f>'Syn prin concurents par trim'!#REF!+'Syn prin concurents par trim'!#REF!</f>
        <v>#REF!</v>
      </c>
      <c r="G22" s="247"/>
      <c r="H22" s="279">
        <f>'[3]Syn prin concurents par trim'!L20+'[3]Syn prin concurents par trim'!M20</f>
        <v>594843.4817</v>
      </c>
      <c r="I22" s="279" t="e">
        <f>'Syn prin concurents par trim'!#REF!+'Syn prin concurents par trim'!#REF!</f>
        <v>#REF!</v>
      </c>
      <c r="J22" s="247"/>
      <c r="K22" s="279">
        <f>'[3]Syn prin concurents par trim'!Q20+'[3]Syn prin concurents par trim'!R20</f>
        <v>0</v>
      </c>
      <c r="L22" s="279" t="e">
        <f>'Syn prin concurents par trim'!#REF!+'Syn prin concurents par trim'!#REF!</f>
        <v>#REF!</v>
      </c>
      <c r="M22" s="247"/>
      <c r="N22" s="279">
        <f>'[3]Syn prin concurents par trim'!V20+'[3]Syn prin concurents par trim'!W20</f>
        <v>0</v>
      </c>
      <c r="O22" s="279" t="e">
        <f>'Syn prin concurents par trim'!#REF!+'Syn prin concurents par trim'!#REF!</f>
        <v>#REF!</v>
      </c>
      <c r="P22" s="247"/>
      <c r="Q22" s="279">
        <f>N22+K22+H22+E22</f>
        <v>2273893.2507199999</v>
      </c>
      <c r="R22" s="279" t="e">
        <f>O22+L22+I22+F22</f>
        <v>#REF!</v>
      </c>
      <c r="S22" s="57"/>
      <c r="T22" s="351"/>
      <c r="U22" s="351"/>
      <c r="V22" s="351"/>
      <c r="W22" s="57"/>
      <c r="X22" s="57"/>
      <c r="Y22" s="58"/>
      <c r="AA22" s="314"/>
      <c r="AB22" s="314"/>
      <c r="AC22" s="314"/>
      <c r="AD22" s="314"/>
      <c r="AE22" s="314"/>
      <c r="AF22" s="314"/>
      <c r="AH22" s="325"/>
    </row>
    <row r="23" spans="2:34" ht="23" x14ac:dyDescent="0.25">
      <c r="B23" s="248" t="s">
        <v>67</v>
      </c>
      <c r="C23" s="281"/>
      <c r="D23" s="281"/>
      <c r="E23" s="282">
        <f>E22/E$30</f>
        <v>0.2419988986968061</v>
      </c>
      <c r="F23" s="282" t="e">
        <f>F22/F$30</f>
        <v>#REF!</v>
      </c>
      <c r="G23" s="252"/>
      <c r="H23" s="282">
        <f>H22/H$30</f>
        <v>0.16630377715754888</v>
      </c>
      <c r="I23" s="282" t="e">
        <f>I22/I$30</f>
        <v>#REF!</v>
      </c>
      <c r="J23" s="252"/>
      <c r="K23" s="282">
        <f>K22/K$30</f>
        <v>0</v>
      </c>
      <c r="L23" s="282" t="e">
        <f>L22/L$30</f>
        <v>#REF!</v>
      </c>
      <c r="M23" s="252"/>
      <c r="N23" s="282">
        <f>N22/N$30</f>
        <v>0</v>
      </c>
      <c r="O23" s="282" t="e">
        <f>O22/O$30</f>
        <v>#REF!</v>
      </c>
      <c r="P23" s="252"/>
      <c r="Q23" s="282">
        <f>Q22/Q$30</f>
        <v>0.21067100329094399</v>
      </c>
      <c r="R23" s="282" t="e">
        <f>R22/R$30</f>
        <v>#REF!</v>
      </c>
      <c r="T23" s="351"/>
      <c r="U23" s="352"/>
      <c r="V23" s="352"/>
      <c r="W23" s="57"/>
      <c r="X23" s="57"/>
      <c r="Y23" s="58"/>
      <c r="AC23" s="57"/>
    </row>
    <row r="24" spans="2:34" ht="23.5" x14ac:dyDescent="0.25">
      <c r="B24" s="243" t="s">
        <v>4</v>
      </c>
      <c r="C24" s="244"/>
      <c r="D24" s="244"/>
      <c r="E24" s="245">
        <f>'[3]Syn prin concurents par trim'!G24+'[3]Syn prin concurents par trim'!H24</f>
        <v>879518.89307999983</v>
      </c>
      <c r="F24" s="245" t="e">
        <f>'Syn prin concurents par trim'!#REF!+'Syn prin concurents par trim'!#REF!</f>
        <v>#REF!</v>
      </c>
      <c r="G24" s="247"/>
      <c r="H24" s="245">
        <f>'[3]Syn prin concurents par trim'!L24+'[3]Syn prin concurents par trim'!M24</f>
        <v>0</v>
      </c>
      <c r="I24" s="245" t="e">
        <f>'Syn prin concurents par trim'!#REF!+'Syn prin concurents par trim'!#REF!</f>
        <v>#REF!</v>
      </c>
      <c r="J24" s="247"/>
      <c r="K24" s="245">
        <f>'[3]Syn prin concurents par trim'!Q24+'[3]Syn prin concurents par trim'!R24</f>
        <v>0</v>
      </c>
      <c r="L24" s="245" t="e">
        <f>'Syn prin concurents par trim'!#REF!+'Syn prin concurents par trim'!#REF!</f>
        <v>#REF!</v>
      </c>
      <c r="M24" s="247"/>
      <c r="N24" s="245">
        <f>'[3]Syn prin concurents par trim'!V24+'[3]Syn prin concurents par trim'!W24</f>
        <v>0</v>
      </c>
      <c r="O24" s="245" t="e">
        <f>'Syn prin concurents par trim'!#REF!+'Syn prin concurents par trim'!#REF!</f>
        <v>#REF!</v>
      </c>
      <c r="P24" s="247"/>
      <c r="Q24" s="245">
        <f>N24+K24+H24+E24</f>
        <v>879518.89307999983</v>
      </c>
      <c r="R24" s="245" t="e">
        <f>O24+L24+I24+F24</f>
        <v>#REF!</v>
      </c>
      <c r="S24" s="57"/>
      <c r="T24" s="351"/>
      <c r="U24" s="351"/>
      <c r="V24" s="351"/>
      <c r="AA24" s="314"/>
      <c r="AB24" s="314"/>
      <c r="AC24" s="314"/>
      <c r="AD24" s="314"/>
      <c r="AE24" s="314"/>
      <c r="AF24" s="314"/>
      <c r="AH24" s="325"/>
    </row>
    <row r="25" spans="2:34" ht="23" x14ac:dyDescent="0.25">
      <c r="B25" s="248" t="s">
        <v>67</v>
      </c>
      <c r="C25" s="249"/>
      <c r="D25" s="249"/>
      <c r="E25" s="250">
        <f>E24/E$30</f>
        <v>0.12676372519477036</v>
      </c>
      <c r="F25" s="250" t="e">
        <f>F24/F$30</f>
        <v>#REF!</v>
      </c>
      <c r="G25" s="252"/>
      <c r="H25" s="250">
        <f>H24/H$30</f>
        <v>0</v>
      </c>
      <c r="I25" s="250" t="e">
        <f>I24/I$30</f>
        <v>#REF!</v>
      </c>
      <c r="J25" s="252"/>
      <c r="K25" s="250">
        <f>K24/K$30</f>
        <v>0</v>
      </c>
      <c r="L25" s="250" t="e">
        <f>L24/L$30</f>
        <v>#REF!</v>
      </c>
      <c r="M25" s="252"/>
      <c r="N25" s="250">
        <f>N24/N$30</f>
        <v>0</v>
      </c>
      <c r="O25" s="250" t="e">
        <f>O24/O$30</f>
        <v>#REF!</v>
      </c>
      <c r="P25" s="252"/>
      <c r="Q25" s="250">
        <f>Q24/Q$30</f>
        <v>8.1485411665580418E-2</v>
      </c>
      <c r="R25" s="250" t="e">
        <f>R24/R$30</f>
        <v>#REF!</v>
      </c>
      <c r="T25" s="351"/>
      <c r="U25" s="352"/>
      <c r="V25" s="352"/>
      <c r="AC25" s="57"/>
    </row>
    <row r="26" spans="2:34" ht="23.5" x14ac:dyDescent="0.25">
      <c r="B26" s="243" t="s">
        <v>7</v>
      </c>
      <c r="C26" s="244"/>
      <c r="D26" s="244"/>
      <c r="E26" s="245">
        <f>'[3]Syn prin concurents par trim'!G26+'[3]Syn prin concurents par trim'!H26</f>
        <v>227558.17511000004</v>
      </c>
      <c r="F26" s="245" t="e">
        <f>'Syn prin concurents par trim'!#REF!+'Syn prin concurents par trim'!#REF!</f>
        <v>#REF!</v>
      </c>
      <c r="G26" s="247"/>
      <c r="H26" s="245">
        <f>'[3]Syn prin concurents par trim'!L26+'[3]Syn prin concurents par trim'!M26</f>
        <v>243390.05713999999</v>
      </c>
      <c r="I26" s="245" t="e">
        <f>'Syn prin concurents par trim'!#REF!+'Syn prin concurents par trim'!#REF!</f>
        <v>#REF!</v>
      </c>
      <c r="J26" s="247"/>
      <c r="K26" s="245">
        <f>'[3]Syn prin concurents par trim'!Q26+'[3]Syn prin concurents par trim'!R26</f>
        <v>0</v>
      </c>
      <c r="L26" s="245" t="e">
        <f>'Syn prin concurents par trim'!#REF!+'Syn prin concurents par trim'!#REF!</f>
        <v>#REF!</v>
      </c>
      <c r="M26" s="247"/>
      <c r="N26" s="245">
        <f>'[3]Syn prin concurents par trim'!V26+'[3]Syn prin concurents par trim'!W26</f>
        <v>3083.5454499999992</v>
      </c>
      <c r="O26" s="245" t="e">
        <f>'Syn prin concurents par trim'!#REF!+'Syn prin concurents par trim'!#REF!</f>
        <v>#REF!</v>
      </c>
      <c r="P26" s="247"/>
      <c r="Q26" s="245">
        <f>N26+K26+H26+E26</f>
        <v>474031.77770000004</v>
      </c>
      <c r="R26" s="245" t="e">
        <f>O26+L26+I26+F26</f>
        <v>#REF!</v>
      </c>
      <c r="S26" s="57"/>
      <c r="T26" s="351"/>
      <c r="U26" s="351"/>
      <c r="V26" s="351"/>
      <c r="AA26" s="314"/>
      <c r="AB26" s="314"/>
      <c r="AC26" s="314"/>
      <c r="AD26" s="314"/>
      <c r="AE26" s="314"/>
      <c r="AF26" s="314"/>
      <c r="AH26" s="325"/>
    </row>
    <row r="27" spans="2:34" ht="23" x14ac:dyDescent="0.25">
      <c r="B27" s="248" t="s">
        <v>67</v>
      </c>
      <c r="C27" s="249"/>
      <c r="D27" s="249"/>
      <c r="E27" s="250">
        <f>E26/E$30</f>
        <v>3.2797614926099915E-2</v>
      </c>
      <c r="F27" s="250" t="e">
        <f>F26/F$30</f>
        <v>#REF!</v>
      </c>
      <c r="G27" s="252"/>
      <c r="H27" s="250">
        <f>H26/H$30</f>
        <v>6.8045943294689118E-2</v>
      </c>
      <c r="I27" s="250" t="e">
        <f>I26/I$30</f>
        <v>#REF!</v>
      </c>
      <c r="J27" s="252"/>
      <c r="K27" s="250">
        <f>K26/K$30</f>
        <v>0</v>
      </c>
      <c r="L27" s="250" t="e">
        <f>L26/L$30</f>
        <v>#REF!</v>
      </c>
      <c r="M27" s="252"/>
      <c r="N27" s="250">
        <f>N26/N$30</f>
        <v>0.16751778162818701</v>
      </c>
      <c r="O27" s="250" t="e">
        <f>O26/O$30</f>
        <v>#REF!</v>
      </c>
      <c r="P27" s="252"/>
      <c r="Q27" s="250">
        <f>Q26/Q$30</f>
        <v>4.3917958843594701E-2</v>
      </c>
      <c r="R27" s="250" t="e">
        <f>R26/R$30</f>
        <v>#REF!</v>
      </c>
      <c r="T27" s="351"/>
      <c r="U27" s="352"/>
      <c r="V27" s="352"/>
      <c r="AC27" s="57"/>
    </row>
    <row r="28" spans="2:34" ht="23.5" x14ac:dyDescent="0.25">
      <c r="B28" s="243" t="s">
        <v>11</v>
      </c>
      <c r="C28" s="244"/>
      <c r="D28" s="244"/>
      <c r="E28" s="245">
        <f>'[3]Syn prin concurents par trim'!G28+'[3]Syn prin concurents par trim'!H28</f>
        <v>2519.4953299999997</v>
      </c>
      <c r="F28" s="245" t="e">
        <f>'Syn prin concurents par trim'!#REF!+'Syn prin concurents par trim'!#REF!</f>
        <v>#REF!</v>
      </c>
      <c r="G28" s="247"/>
      <c r="H28" s="245">
        <f>'[3]Syn prin concurents par trim'!L28+'[3]Syn prin concurents par trim'!M28</f>
        <v>287328.85948999994</v>
      </c>
      <c r="I28" s="245" t="e">
        <f>'Syn prin concurents par trim'!#REF!+'Syn prin concurents par trim'!#REF!</f>
        <v>#REF!</v>
      </c>
      <c r="J28" s="247"/>
      <c r="K28" s="245">
        <f>'[3]Syn prin concurents par trim'!Q28+'[3]Syn prin concurents par trim'!R28</f>
        <v>0</v>
      </c>
      <c r="L28" s="245" t="e">
        <f>'Syn prin concurents par trim'!#REF!+'Syn prin concurents par trim'!#REF!</f>
        <v>#REF!</v>
      </c>
      <c r="M28" s="247"/>
      <c r="N28" s="245">
        <f>'[3]Syn prin concurents par trim'!V28+'[3]Syn prin concurents par trim'!W28</f>
        <v>0</v>
      </c>
      <c r="O28" s="245" t="e">
        <f>'Syn prin concurents par trim'!#REF!+'Syn prin concurents par trim'!#REF!</f>
        <v>#REF!</v>
      </c>
      <c r="P28" s="247"/>
      <c r="Q28" s="245">
        <f>N28+K28+H28+E28</f>
        <v>289848.35481999995</v>
      </c>
      <c r="R28" s="245" t="e">
        <f>O28+L28+I28+F28</f>
        <v>#REF!</v>
      </c>
      <c r="S28" s="57"/>
      <c r="T28" s="351"/>
      <c r="U28" s="351"/>
      <c r="V28" s="351"/>
      <c r="AA28" s="314"/>
      <c r="AB28" s="314"/>
      <c r="AC28" s="314"/>
      <c r="AD28" s="314"/>
      <c r="AE28" s="314"/>
      <c r="AF28" s="314"/>
      <c r="AH28" s="325"/>
    </row>
    <row r="29" spans="2:34" ht="23.5" thickBot="1" x14ac:dyDescent="0.3">
      <c r="B29" s="248" t="s">
        <v>67</v>
      </c>
      <c r="C29" s="249"/>
      <c r="D29" s="249"/>
      <c r="E29" s="250">
        <f>E28/E$30</f>
        <v>3.6313104374959318E-4</v>
      </c>
      <c r="F29" s="250" t="e">
        <f>F28/F$30</f>
        <v>#REF!</v>
      </c>
      <c r="G29" s="252"/>
      <c r="H29" s="250">
        <f>H28/H$30</f>
        <v>8.0330164303047152E-2</v>
      </c>
      <c r="I29" s="250" t="e">
        <f>I28/I$30</f>
        <v>#REF!</v>
      </c>
      <c r="J29" s="252"/>
      <c r="K29" s="250">
        <f>K28/K$30</f>
        <v>0</v>
      </c>
      <c r="L29" s="250" t="e">
        <f>L28/L$30</f>
        <v>#REF!</v>
      </c>
      <c r="M29" s="252"/>
      <c r="N29" s="250">
        <f>N28/N$30</f>
        <v>0</v>
      </c>
      <c r="O29" s="250" t="e">
        <f>O28/O$30</f>
        <v>#REF!</v>
      </c>
      <c r="P29" s="252"/>
      <c r="Q29" s="250">
        <f>Q28/Q$30</f>
        <v>2.6853786426792103E-2</v>
      </c>
      <c r="R29" s="250" t="e">
        <f>R28/R$30</f>
        <v>#REF!</v>
      </c>
      <c r="T29" s="351"/>
      <c r="U29" s="352"/>
      <c r="V29" s="352"/>
      <c r="AC29" s="57"/>
    </row>
    <row r="30" spans="2:34" ht="26.5" thickBot="1" x14ac:dyDescent="0.65">
      <c r="B30" s="231" t="s">
        <v>8</v>
      </c>
      <c r="C30" s="232"/>
      <c r="D30" s="233"/>
      <c r="E30" s="233">
        <f>'[3]Syn prin concurents par trim'!G30+'[3]Syn prin concurents par trim'!H30</f>
        <v>6938253.7609133348</v>
      </c>
      <c r="F30" s="233" t="e">
        <f>'Syn prin concurents par trim'!#REF!+'Syn prin concurents par trim'!#REF!</f>
        <v>#REF!</v>
      </c>
      <c r="G30" s="239"/>
      <c r="H30" s="233">
        <f>'[3]Syn prin concurents par trim'!L30+'[3]Syn prin concurents par trim'!M30</f>
        <v>3576848.8958399994</v>
      </c>
      <c r="I30" s="233" t="e">
        <f>'Syn prin concurents par trim'!#REF!+'Syn prin concurents par trim'!#REF!</f>
        <v>#REF!</v>
      </c>
      <c r="J30" s="239"/>
      <c r="K30" s="235">
        <f>'[3]Syn prin concurents par trim'!Q30+'[3]Syn prin concurents par trim'!R30</f>
        <v>260064.95862999995</v>
      </c>
      <c r="L30" s="235" t="e">
        <f>'Syn prin concurents par trim'!#REF!+'Syn prin concurents par trim'!#REF!</f>
        <v>#REF!</v>
      </c>
      <c r="M30" s="239"/>
      <c r="N30" s="235">
        <f>'[3]Syn prin concurents par trim'!V30+'[3]Syn prin concurents par trim'!W30</f>
        <v>18407.272470000004</v>
      </c>
      <c r="O30" s="235" t="e">
        <f>'Syn prin concurents par trim'!#REF!+'Syn prin concurents par trim'!#REF!</f>
        <v>#REF!</v>
      </c>
      <c r="P30" s="239"/>
      <c r="Q30" s="233">
        <f>N30+K30+H30+E30</f>
        <v>10793574.887853334</v>
      </c>
      <c r="R30" s="233" t="e">
        <f>O30+L30+I30+F30</f>
        <v>#REF!</v>
      </c>
      <c r="S30" s="64"/>
      <c r="T30" s="351"/>
      <c r="U30" s="351"/>
      <c r="V30" s="351"/>
      <c r="AA30" s="314"/>
      <c r="AB30" s="314"/>
      <c r="AC30" s="314"/>
      <c r="AD30" s="314"/>
      <c r="AE30" s="314"/>
      <c r="AF30" s="314"/>
      <c r="AH30" s="325"/>
    </row>
    <row r="31" spans="2:34" ht="16.5" customHeight="1" x14ac:dyDescent="0.25">
      <c r="B31" s="221"/>
    </row>
    <row r="38" spans="5:6" x14ac:dyDescent="0.25">
      <c r="E38" s="57"/>
      <c r="F38" s="57"/>
    </row>
  </sheetData>
  <mergeCells count="8">
    <mergeCell ref="AA13:AC14"/>
    <mergeCell ref="AD13:AF13"/>
    <mergeCell ref="B9:R9"/>
    <mergeCell ref="E11:F11"/>
    <mergeCell ref="H11:I11"/>
    <mergeCell ref="K11:L11"/>
    <mergeCell ref="N11:O11"/>
    <mergeCell ref="Q11:R11"/>
  </mergeCells>
  <printOptions horizontalCentered="1"/>
  <pageMargins left="0" right="0" top="0" bottom="0" header="0" footer="0"/>
  <pageSetup paperSize="9" scale="45" fitToHeight="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dimension ref="A2:AJ152"/>
  <sheetViews>
    <sheetView showGridLines="0" view="pageBreakPreview" topLeftCell="A16" zoomScale="60" zoomScaleNormal="60" workbookViewId="0">
      <pane xSplit="1" topLeftCell="B1" activePane="topRight" state="frozen"/>
      <selection activeCell="O4" sqref="J1:O1048576"/>
      <selection pane="topRight" activeCell="O4" sqref="J1:O1048576"/>
    </sheetView>
  </sheetViews>
  <sheetFormatPr baseColWidth="10" defaultColWidth="11.453125" defaultRowHeight="12.5" x14ac:dyDescent="0.25"/>
  <cols>
    <col min="1" max="1" width="35.7265625" style="2" customWidth="1"/>
    <col min="2" max="2" width="1.453125" style="2" customWidth="1"/>
    <col min="3" max="3" width="19" style="2" bestFit="1" customWidth="1"/>
    <col min="4" max="4" width="15.54296875" style="2" bestFit="1" customWidth="1"/>
    <col min="5" max="5" width="18.453125" style="2" customWidth="1"/>
    <col min="6" max="6" width="1.26953125" style="2" customWidth="1"/>
    <col min="7" max="7" width="17.81640625" style="2" bestFit="1" customWidth="1"/>
    <col min="8" max="8" width="15.54296875" style="2" bestFit="1" customWidth="1"/>
    <col min="9" max="9" width="18.81640625" style="2" customWidth="1"/>
    <col min="10" max="10" width="1.7265625" style="2" customWidth="1"/>
    <col min="11" max="11" width="15.453125" style="2" bestFit="1" customWidth="1"/>
    <col min="12" max="12" width="19" style="2" bestFit="1" customWidth="1"/>
    <col min="13" max="13" width="18.1796875" style="2" bestFit="1" customWidth="1"/>
    <col min="14" max="14" width="1.26953125" style="2" customWidth="1"/>
    <col min="15" max="17" width="19.26953125" style="2" hidden="1" customWidth="1"/>
    <col min="18" max="18" width="1.7265625" style="2" hidden="1" customWidth="1"/>
    <col min="19" max="19" width="17.1796875" style="2" hidden="1" customWidth="1"/>
    <col min="20" max="20" width="15.54296875" style="2" hidden="1" customWidth="1"/>
    <col min="21" max="21" width="17" style="2" hidden="1" customWidth="1"/>
    <col min="22" max="22" width="1.7265625" style="2" hidden="1" customWidth="1"/>
    <col min="23" max="24" width="18.7265625" style="2" customWidth="1"/>
    <col min="25" max="25" width="18.7265625" style="2" bestFit="1" customWidth="1"/>
    <col min="26" max="26" width="13.54296875" style="35" bestFit="1" customWidth="1"/>
    <col min="27" max="27" width="13.1796875" style="35" bestFit="1" customWidth="1"/>
    <col min="28" max="28" width="13.54296875" style="35" bestFit="1" customWidth="1"/>
    <col min="29" max="29" width="13.1796875" style="35" bestFit="1" customWidth="1"/>
    <col min="30" max="30" width="13.54296875" style="35" bestFit="1" customWidth="1"/>
    <col min="31" max="31" width="13.1796875" style="35" bestFit="1" customWidth="1"/>
    <col min="32" max="32" width="13.54296875" style="35" bestFit="1" customWidth="1"/>
    <col min="33" max="33" width="13.1796875" style="35" bestFit="1" customWidth="1"/>
    <col min="34" max="34" width="13.54296875" style="35" bestFit="1" customWidth="1"/>
    <col min="35" max="35" width="13.1796875" style="35" bestFit="1" customWidth="1"/>
    <col min="36" max="36" width="11.453125" style="29"/>
    <col min="37" max="244" width="11.453125" style="2"/>
    <col min="245" max="245" width="27.453125" style="2" customWidth="1"/>
    <col min="246" max="246" width="1.453125" style="2" customWidth="1"/>
    <col min="247" max="247" width="17.81640625" style="2" bestFit="1" customWidth="1"/>
    <col min="248" max="248" width="15.54296875" style="2" bestFit="1" customWidth="1"/>
    <col min="249" max="249" width="16.1796875" style="2" customWidth="1"/>
    <col min="250" max="250" width="1.26953125" style="2" customWidth="1"/>
    <col min="251" max="251" width="17.81640625" style="2" bestFit="1" customWidth="1"/>
    <col min="252" max="252" width="15.54296875" style="2" bestFit="1" customWidth="1"/>
    <col min="253" max="253" width="16.1796875" style="2" customWidth="1"/>
    <col min="254" max="254" width="1.7265625" style="2" customWidth="1"/>
    <col min="255" max="256" width="15.453125" style="2" bestFit="1" customWidth="1"/>
    <col min="257" max="257" width="18.453125" style="2" customWidth="1"/>
    <col min="258" max="258" width="1.26953125" style="2" customWidth="1"/>
    <col min="259" max="260" width="15.453125" style="2" bestFit="1" customWidth="1"/>
    <col min="261" max="261" width="18.453125" style="2" customWidth="1"/>
    <col min="262" max="262" width="1.26953125" style="2" customWidth="1"/>
    <col min="263" max="264" width="15.453125" style="2" bestFit="1" customWidth="1"/>
    <col min="265" max="265" width="18.453125" style="2" customWidth="1"/>
    <col min="266" max="266" width="1.26953125" style="2" customWidth="1"/>
    <col min="267" max="268" width="15.453125" style="2" customWidth="1"/>
    <col min="269" max="269" width="18.453125" style="2" customWidth="1"/>
    <col min="270" max="270" width="1.26953125" style="2" customWidth="1"/>
    <col min="271" max="278" width="11.453125" style="2" customWidth="1"/>
    <col min="279" max="281" width="18.7265625" style="2" bestFit="1" customWidth="1"/>
    <col min="282" max="282" width="13.54296875" style="2" bestFit="1" customWidth="1"/>
    <col min="283" max="283" width="13.1796875" style="2" bestFit="1" customWidth="1"/>
    <col min="284" max="284" width="13.54296875" style="2" bestFit="1" customWidth="1"/>
    <col min="285" max="285" width="13.1796875" style="2" bestFit="1" customWidth="1"/>
    <col min="286" max="286" width="13.54296875" style="2" bestFit="1" customWidth="1"/>
    <col min="287" max="287" width="13.1796875" style="2" bestFit="1" customWidth="1"/>
    <col min="288" max="288" width="13.54296875" style="2" bestFit="1" customWidth="1"/>
    <col min="289" max="289" width="13.1796875" style="2" bestFit="1" customWidth="1"/>
    <col min="290" max="290" width="13.54296875" style="2" bestFit="1" customWidth="1"/>
    <col min="291" max="291" width="13.1796875" style="2" bestFit="1" customWidth="1"/>
    <col min="292" max="500" width="11.453125" style="2"/>
    <col min="501" max="501" width="27.453125" style="2" customWidth="1"/>
    <col min="502" max="502" width="1.453125" style="2" customWidth="1"/>
    <col min="503" max="503" width="17.81640625" style="2" bestFit="1" customWidth="1"/>
    <col min="504" max="504" width="15.54296875" style="2" bestFit="1" customWidth="1"/>
    <col min="505" max="505" width="16.1796875" style="2" customWidth="1"/>
    <col min="506" max="506" width="1.26953125" style="2" customWidth="1"/>
    <col min="507" max="507" width="17.81640625" style="2" bestFit="1" customWidth="1"/>
    <col min="508" max="508" width="15.54296875" style="2" bestFit="1" customWidth="1"/>
    <col min="509" max="509" width="16.1796875" style="2" customWidth="1"/>
    <col min="510" max="510" width="1.7265625" style="2" customWidth="1"/>
    <col min="511" max="512" width="15.453125" style="2" bestFit="1" customWidth="1"/>
    <col min="513" max="513" width="18.453125" style="2" customWidth="1"/>
    <col min="514" max="514" width="1.26953125" style="2" customWidth="1"/>
    <col min="515" max="516" width="15.453125" style="2" bestFit="1" customWidth="1"/>
    <col min="517" max="517" width="18.453125" style="2" customWidth="1"/>
    <col min="518" max="518" width="1.26953125" style="2" customWidth="1"/>
    <col min="519" max="520" width="15.453125" style="2" bestFit="1" customWidth="1"/>
    <col min="521" max="521" width="18.453125" style="2" customWidth="1"/>
    <col min="522" max="522" width="1.26953125" style="2" customWidth="1"/>
    <col min="523" max="524" width="15.453125" style="2" customWidth="1"/>
    <col min="525" max="525" width="18.453125" style="2" customWidth="1"/>
    <col min="526" max="526" width="1.26953125" style="2" customWidth="1"/>
    <col min="527" max="534" width="11.453125" style="2" customWidth="1"/>
    <col min="535" max="537" width="18.7265625" style="2" bestFit="1" customWidth="1"/>
    <col min="538" max="538" width="13.54296875" style="2" bestFit="1" customWidth="1"/>
    <col min="539" max="539" width="13.1796875" style="2" bestFit="1" customWidth="1"/>
    <col min="540" max="540" width="13.54296875" style="2" bestFit="1" customWidth="1"/>
    <col min="541" max="541" width="13.1796875" style="2" bestFit="1" customWidth="1"/>
    <col min="542" max="542" width="13.54296875" style="2" bestFit="1" customWidth="1"/>
    <col min="543" max="543" width="13.1796875" style="2" bestFit="1" customWidth="1"/>
    <col min="544" max="544" width="13.54296875" style="2" bestFit="1" customWidth="1"/>
    <col min="545" max="545" width="13.1796875" style="2" bestFit="1" customWidth="1"/>
    <col min="546" max="546" width="13.54296875" style="2" bestFit="1" customWidth="1"/>
    <col min="547" max="547" width="13.1796875" style="2" bestFit="1" customWidth="1"/>
    <col min="548" max="756" width="11.453125" style="2"/>
    <col min="757" max="757" width="27.453125" style="2" customWidth="1"/>
    <col min="758" max="758" width="1.453125" style="2" customWidth="1"/>
    <col min="759" max="759" width="17.81640625" style="2" bestFit="1" customWidth="1"/>
    <col min="760" max="760" width="15.54296875" style="2" bestFit="1" customWidth="1"/>
    <col min="761" max="761" width="16.1796875" style="2" customWidth="1"/>
    <col min="762" max="762" width="1.26953125" style="2" customWidth="1"/>
    <col min="763" max="763" width="17.81640625" style="2" bestFit="1" customWidth="1"/>
    <col min="764" max="764" width="15.54296875" style="2" bestFit="1" customWidth="1"/>
    <col min="765" max="765" width="16.1796875" style="2" customWidth="1"/>
    <col min="766" max="766" width="1.7265625" style="2" customWidth="1"/>
    <col min="767" max="768" width="15.453125" style="2" bestFit="1" customWidth="1"/>
    <col min="769" max="769" width="18.453125" style="2" customWidth="1"/>
    <col min="770" max="770" width="1.26953125" style="2" customWidth="1"/>
    <col min="771" max="772" width="15.453125" style="2" bestFit="1" customWidth="1"/>
    <col min="773" max="773" width="18.453125" style="2" customWidth="1"/>
    <col min="774" max="774" width="1.26953125" style="2" customWidth="1"/>
    <col min="775" max="776" width="15.453125" style="2" bestFit="1" customWidth="1"/>
    <col min="777" max="777" width="18.453125" style="2" customWidth="1"/>
    <col min="778" max="778" width="1.26953125" style="2" customWidth="1"/>
    <col min="779" max="780" width="15.453125" style="2" customWidth="1"/>
    <col min="781" max="781" width="18.453125" style="2" customWidth="1"/>
    <col min="782" max="782" width="1.26953125" style="2" customWidth="1"/>
    <col min="783" max="790" width="11.453125" style="2" customWidth="1"/>
    <col min="791" max="793" width="18.7265625" style="2" bestFit="1" customWidth="1"/>
    <col min="794" max="794" width="13.54296875" style="2" bestFit="1" customWidth="1"/>
    <col min="795" max="795" width="13.1796875" style="2" bestFit="1" customWidth="1"/>
    <col min="796" max="796" width="13.54296875" style="2" bestFit="1" customWidth="1"/>
    <col min="797" max="797" width="13.1796875" style="2" bestFit="1" customWidth="1"/>
    <col min="798" max="798" width="13.54296875" style="2" bestFit="1" customWidth="1"/>
    <col min="799" max="799" width="13.1796875" style="2" bestFit="1" customWidth="1"/>
    <col min="800" max="800" width="13.54296875" style="2" bestFit="1" customWidth="1"/>
    <col min="801" max="801" width="13.1796875" style="2" bestFit="1" customWidth="1"/>
    <col min="802" max="802" width="13.54296875" style="2" bestFit="1" customWidth="1"/>
    <col min="803" max="803" width="13.1796875" style="2" bestFit="1" customWidth="1"/>
    <col min="804" max="1012" width="11.453125" style="2"/>
    <col min="1013" max="1013" width="27.453125" style="2" customWidth="1"/>
    <col min="1014" max="1014" width="1.453125" style="2" customWidth="1"/>
    <col min="1015" max="1015" width="17.81640625" style="2" bestFit="1" customWidth="1"/>
    <col min="1016" max="1016" width="15.54296875" style="2" bestFit="1" customWidth="1"/>
    <col min="1017" max="1017" width="16.1796875" style="2" customWidth="1"/>
    <col min="1018" max="1018" width="1.26953125" style="2" customWidth="1"/>
    <col min="1019" max="1019" width="17.81640625" style="2" bestFit="1" customWidth="1"/>
    <col min="1020" max="1020" width="15.54296875" style="2" bestFit="1" customWidth="1"/>
    <col min="1021" max="1021" width="16.1796875" style="2" customWidth="1"/>
    <col min="1022" max="1022" width="1.7265625" style="2" customWidth="1"/>
    <col min="1023" max="1024" width="15.453125" style="2" bestFit="1" customWidth="1"/>
    <col min="1025" max="1025" width="18.453125" style="2" customWidth="1"/>
    <col min="1026" max="1026" width="1.26953125" style="2" customWidth="1"/>
    <col min="1027" max="1028" width="15.453125" style="2" bestFit="1" customWidth="1"/>
    <col min="1029" max="1029" width="18.453125" style="2" customWidth="1"/>
    <col min="1030" max="1030" width="1.26953125" style="2" customWidth="1"/>
    <col min="1031" max="1032" width="15.453125" style="2" bestFit="1" customWidth="1"/>
    <col min="1033" max="1033" width="18.453125" style="2" customWidth="1"/>
    <col min="1034" max="1034" width="1.26953125" style="2" customWidth="1"/>
    <col min="1035" max="1036" width="15.453125" style="2" customWidth="1"/>
    <col min="1037" max="1037" width="18.453125" style="2" customWidth="1"/>
    <col min="1038" max="1038" width="1.26953125" style="2" customWidth="1"/>
    <col min="1039" max="1046" width="11.453125" style="2" customWidth="1"/>
    <col min="1047" max="1049" width="18.7265625" style="2" bestFit="1" customWidth="1"/>
    <col min="1050" max="1050" width="13.54296875" style="2" bestFit="1" customWidth="1"/>
    <col min="1051" max="1051" width="13.1796875" style="2" bestFit="1" customWidth="1"/>
    <col min="1052" max="1052" width="13.54296875" style="2" bestFit="1" customWidth="1"/>
    <col min="1053" max="1053" width="13.1796875" style="2" bestFit="1" customWidth="1"/>
    <col min="1054" max="1054" width="13.54296875" style="2" bestFit="1" customWidth="1"/>
    <col min="1055" max="1055" width="13.1796875" style="2" bestFit="1" customWidth="1"/>
    <col min="1056" max="1056" width="13.54296875" style="2" bestFit="1" customWidth="1"/>
    <col min="1057" max="1057" width="13.1796875" style="2" bestFit="1" customWidth="1"/>
    <col min="1058" max="1058" width="13.54296875" style="2" bestFit="1" customWidth="1"/>
    <col min="1059" max="1059" width="13.1796875" style="2" bestFit="1" customWidth="1"/>
    <col min="1060" max="1268" width="11.453125" style="2"/>
    <col min="1269" max="1269" width="27.453125" style="2" customWidth="1"/>
    <col min="1270" max="1270" width="1.453125" style="2" customWidth="1"/>
    <col min="1271" max="1271" width="17.81640625" style="2" bestFit="1" customWidth="1"/>
    <col min="1272" max="1272" width="15.54296875" style="2" bestFit="1" customWidth="1"/>
    <col min="1273" max="1273" width="16.1796875" style="2" customWidth="1"/>
    <col min="1274" max="1274" width="1.26953125" style="2" customWidth="1"/>
    <col min="1275" max="1275" width="17.81640625" style="2" bestFit="1" customWidth="1"/>
    <col min="1276" max="1276" width="15.54296875" style="2" bestFit="1" customWidth="1"/>
    <col min="1277" max="1277" width="16.1796875" style="2" customWidth="1"/>
    <col min="1278" max="1278" width="1.7265625" style="2" customWidth="1"/>
    <col min="1279" max="1280" width="15.453125" style="2" bestFit="1" customWidth="1"/>
    <col min="1281" max="1281" width="18.453125" style="2" customWidth="1"/>
    <col min="1282" max="1282" width="1.26953125" style="2" customWidth="1"/>
    <col min="1283" max="1284" width="15.453125" style="2" bestFit="1" customWidth="1"/>
    <col min="1285" max="1285" width="18.453125" style="2" customWidth="1"/>
    <col min="1286" max="1286" width="1.26953125" style="2" customWidth="1"/>
    <col min="1287" max="1288" width="15.453125" style="2" bestFit="1" customWidth="1"/>
    <col min="1289" max="1289" width="18.453125" style="2" customWidth="1"/>
    <col min="1290" max="1290" width="1.26953125" style="2" customWidth="1"/>
    <col min="1291" max="1292" width="15.453125" style="2" customWidth="1"/>
    <col min="1293" max="1293" width="18.453125" style="2" customWidth="1"/>
    <col min="1294" max="1294" width="1.26953125" style="2" customWidth="1"/>
    <col min="1295" max="1302" width="11.453125" style="2" customWidth="1"/>
    <col min="1303" max="1305" width="18.7265625" style="2" bestFit="1" customWidth="1"/>
    <col min="1306" max="1306" width="13.54296875" style="2" bestFit="1" customWidth="1"/>
    <col min="1307" max="1307" width="13.1796875" style="2" bestFit="1" customWidth="1"/>
    <col min="1308" max="1308" width="13.54296875" style="2" bestFit="1" customWidth="1"/>
    <col min="1309" max="1309" width="13.1796875" style="2" bestFit="1" customWidth="1"/>
    <col min="1310" max="1310" width="13.54296875" style="2" bestFit="1" customWidth="1"/>
    <col min="1311" max="1311" width="13.1796875" style="2" bestFit="1" customWidth="1"/>
    <col min="1312" max="1312" width="13.54296875" style="2" bestFit="1" customWidth="1"/>
    <col min="1313" max="1313" width="13.1796875" style="2" bestFit="1" customWidth="1"/>
    <col min="1314" max="1314" width="13.54296875" style="2" bestFit="1" customWidth="1"/>
    <col min="1315" max="1315" width="13.1796875" style="2" bestFit="1" customWidth="1"/>
    <col min="1316" max="1524" width="11.453125" style="2"/>
    <col min="1525" max="1525" width="27.453125" style="2" customWidth="1"/>
    <col min="1526" max="1526" width="1.453125" style="2" customWidth="1"/>
    <col min="1527" max="1527" width="17.81640625" style="2" bestFit="1" customWidth="1"/>
    <col min="1528" max="1528" width="15.54296875" style="2" bestFit="1" customWidth="1"/>
    <col min="1529" max="1529" width="16.1796875" style="2" customWidth="1"/>
    <col min="1530" max="1530" width="1.26953125" style="2" customWidth="1"/>
    <col min="1531" max="1531" width="17.81640625" style="2" bestFit="1" customWidth="1"/>
    <col min="1532" max="1532" width="15.54296875" style="2" bestFit="1" customWidth="1"/>
    <col min="1533" max="1533" width="16.1796875" style="2" customWidth="1"/>
    <col min="1534" max="1534" width="1.7265625" style="2" customWidth="1"/>
    <col min="1535" max="1536" width="15.453125" style="2" bestFit="1" customWidth="1"/>
    <col min="1537" max="1537" width="18.453125" style="2" customWidth="1"/>
    <col min="1538" max="1538" width="1.26953125" style="2" customWidth="1"/>
    <col min="1539" max="1540" width="15.453125" style="2" bestFit="1" customWidth="1"/>
    <col min="1541" max="1541" width="18.453125" style="2" customWidth="1"/>
    <col min="1542" max="1542" width="1.26953125" style="2" customWidth="1"/>
    <col min="1543" max="1544" width="15.453125" style="2" bestFit="1" customWidth="1"/>
    <col min="1545" max="1545" width="18.453125" style="2" customWidth="1"/>
    <col min="1546" max="1546" width="1.26953125" style="2" customWidth="1"/>
    <col min="1547" max="1548" width="15.453125" style="2" customWidth="1"/>
    <col min="1549" max="1549" width="18.453125" style="2" customWidth="1"/>
    <col min="1550" max="1550" width="1.26953125" style="2" customWidth="1"/>
    <col min="1551" max="1558" width="11.453125" style="2" customWidth="1"/>
    <col min="1559" max="1561" width="18.7265625" style="2" bestFit="1" customWidth="1"/>
    <col min="1562" max="1562" width="13.54296875" style="2" bestFit="1" customWidth="1"/>
    <col min="1563" max="1563" width="13.1796875" style="2" bestFit="1" customWidth="1"/>
    <col min="1564" max="1564" width="13.54296875" style="2" bestFit="1" customWidth="1"/>
    <col min="1565" max="1565" width="13.1796875" style="2" bestFit="1" customWidth="1"/>
    <col min="1566" max="1566" width="13.54296875" style="2" bestFit="1" customWidth="1"/>
    <col min="1567" max="1567" width="13.1796875" style="2" bestFit="1" customWidth="1"/>
    <col min="1568" max="1568" width="13.54296875" style="2" bestFit="1" customWidth="1"/>
    <col min="1569" max="1569" width="13.1796875" style="2" bestFit="1" customWidth="1"/>
    <col min="1570" max="1570" width="13.54296875" style="2" bestFit="1" customWidth="1"/>
    <col min="1571" max="1571" width="13.1796875" style="2" bestFit="1" customWidth="1"/>
    <col min="1572" max="1780" width="11.453125" style="2"/>
    <col min="1781" max="1781" width="27.453125" style="2" customWidth="1"/>
    <col min="1782" max="1782" width="1.453125" style="2" customWidth="1"/>
    <col min="1783" max="1783" width="17.81640625" style="2" bestFit="1" customWidth="1"/>
    <col min="1784" max="1784" width="15.54296875" style="2" bestFit="1" customWidth="1"/>
    <col min="1785" max="1785" width="16.1796875" style="2" customWidth="1"/>
    <col min="1786" max="1786" width="1.26953125" style="2" customWidth="1"/>
    <col min="1787" max="1787" width="17.81640625" style="2" bestFit="1" customWidth="1"/>
    <col min="1788" max="1788" width="15.54296875" style="2" bestFit="1" customWidth="1"/>
    <col min="1789" max="1789" width="16.1796875" style="2" customWidth="1"/>
    <col min="1790" max="1790" width="1.7265625" style="2" customWidth="1"/>
    <col min="1791" max="1792" width="15.453125" style="2" bestFit="1" customWidth="1"/>
    <col min="1793" max="1793" width="18.453125" style="2" customWidth="1"/>
    <col min="1794" max="1794" width="1.26953125" style="2" customWidth="1"/>
    <col min="1795" max="1796" width="15.453125" style="2" bestFit="1" customWidth="1"/>
    <col min="1797" max="1797" width="18.453125" style="2" customWidth="1"/>
    <col min="1798" max="1798" width="1.26953125" style="2" customWidth="1"/>
    <col min="1799" max="1800" width="15.453125" style="2" bestFit="1" customWidth="1"/>
    <col min="1801" max="1801" width="18.453125" style="2" customWidth="1"/>
    <col min="1802" max="1802" width="1.26953125" style="2" customWidth="1"/>
    <col min="1803" max="1804" width="15.453125" style="2" customWidth="1"/>
    <col min="1805" max="1805" width="18.453125" style="2" customWidth="1"/>
    <col min="1806" max="1806" width="1.26953125" style="2" customWidth="1"/>
    <col min="1807" max="1814" width="11.453125" style="2" customWidth="1"/>
    <col min="1815" max="1817" width="18.7265625" style="2" bestFit="1" customWidth="1"/>
    <col min="1818" max="1818" width="13.54296875" style="2" bestFit="1" customWidth="1"/>
    <col min="1819" max="1819" width="13.1796875" style="2" bestFit="1" customWidth="1"/>
    <col min="1820" max="1820" width="13.54296875" style="2" bestFit="1" customWidth="1"/>
    <col min="1821" max="1821" width="13.1796875" style="2" bestFit="1" customWidth="1"/>
    <col min="1822" max="1822" width="13.54296875" style="2" bestFit="1" customWidth="1"/>
    <col min="1823" max="1823" width="13.1796875" style="2" bestFit="1" customWidth="1"/>
    <col min="1824" max="1824" width="13.54296875" style="2" bestFit="1" customWidth="1"/>
    <col min="1825" max="1825" width="13.1796875" style="2" bestFit="1" customWidth="1"/>
    <col min="1826" max="1826" width="13.54296875" style="2" bestFit="1" customWidth="1"/>
    <col min="1827" max="1827" width="13.1796875" style="2" bestFit="1" customWidth="1"/>
    <col min="1828" max="2036" width="11.453125" style="2"/>
    <col min="2037" max="2037" width="27.453125" style="2" customWidth="1"/>
    <col min="2038" max="2038" width="1.453125" style="2" customWidth="1"/>
    <col min="2039" max="2039" width="17.81640625" style="2" bestFit="1" customWidth="1"/>
    <col min="2040" max="2040" width="15.54296875" style="2" bestFit="1" customWidth="1"/>
    <col min="2041" max="2041" width="16.1796875" style="2" customWidth="1"/>
    <col min="2042" max="2042" width="1.26953125" style="2" customWidth="1"/>
    <col min="2043" max="2043" width="17.81640625" style="2" bestFit="1" customWidth="1"/>
    <col min="2044" max="2044" width="15.54296875" style="2" bestFit="1" customWidth="1"/>
    <col min="2045" max="2045" width="16.1796875" style="2" customWidth="1"/>
    <col min="2046" max="2046" width="1.7265625" style="2" customWidth="1"/>
    <col min="2047" max="2048" width="15.453125" style="2" bestFit="1" customWidth="1"/>
    <col min="2049" max="2049" width="18.453125" style="2" customWidth="1"/>
    <col min="2050" max="2050" width="1.26953125" style="2" customWidth="1"/>
    <col min="2051" max="2052" width="15.453125" style="2" bestFit="1" customWidth="1"/>
    <col min="2053" max="2053" width="18.453125" style="2" customWidth="1"/>
    <col min="2054" max="2054" width="1.26953125" style="2" customWidth="1"/>
    <col min="2055" max="2056" width="15.453125" style="2" bestFit="1" customWidth="1"/>
    <col min="2057" max="2057" width="18.453125" style="2" customWidth="1"/>
    <col min="2058" max="2058" width="1.26953125" style="2" customWidth="1"/>
    <col min="2059" max="2060" width="15.453125" style="2" customWidth="1"/>
    <col min="2061" max="2061" width="18.453125" style="2" customWidth="1"/>
    <col min="2062" max="2062" width="1.26953125" style="2" customWidth="1"/>
    <col min="2063" max="2070" width="11.453125" style="2" customWidth="1"/>
    <col min="2071" max="2073" width="18.7265625" style="2" bestFit="1" customWidth="1"/>
    <col min="2074" max="2074" width="13.54296875" style="2" bestFit="1" customWidth="1"/>
    <col min="2075" max="2075" width="13.1796875" style="2" bestFit="1" customWidth="1"/>
    <col min="2076" max="2076" width="13.54296875" style="2" bestFit="1" customWidth="1"/>
    <col min="2077" max="2077" width="13.1796875" style="2" bestFit="1" customWidth="1"/>
    <col min="2078" max="2078" width="13.54296875" style="2" bestFit="1" customWidth="1"/>
    <col min="2079" max="2079" width="13.1796875" style="2" bestFit="1" customWidth="1"/>
    <col min="2080" max="2080" width="13.54296875" style="2" bestFit="1" customWidth="1"/>
    <col min="2081" max="2081" width="13.1796875" style="2" bestFit="1" customWidth="1"/>
    <col min="2082" max="2082" width="13.54296875" style="2" bestFit="1" customWidth="1"/>
    <col min="2083" max="2083" width="13.1796875" style="2" bestFit="1" customWidth="1"/>
    <col min="2084" max="2292" width="11.453125" style="2"/>
    <col min="2293" max="2293" width="27.453125" style="2" customWidth="1"/>
    <col min="2294" max="2294" width="1.453125" style="2" customWidth="1"/>
    <col min="2295" max="2295" width="17.81640625" style="2" bestFit="1" customWidth="1"/>
    <col min="2296" max="2296" width="15.54296875" style="2" bestFit="1" customWidth="1"/>
    <col min="2297" max="2297" width="16.1796875" style="2" customWidth="1"/>
    <col min="2298" max="2298" width="1.26953125" style="2" customWidth="1"/>
    <col min="2299" max="2299" width="17.81640625" style="2" bestFit="1" customWidth="1"/>
    <col min="2300" max="2300" width="15.54296875" style="2" bestFit="1" customWidth="1"/>
    <col min="2301" max="2301" width="16.1796875" style="2" customWidth="1"/>
    <col min="2302" max="2302" width="1.7265625" style="2" customWidth="1"/>
    <col min="2303" max="2304" width="15.453125" style="2" bestFit="1" customWidth="1"/>
    <col min="2305" max="2305" width="18.453125" style="2" customWidth="1"/>
    <col min="2306" max="2306" width="1.26953125" style="2" customWidth="1"/>
    <col min="2307" max="2308" width="15.453125" style="2" bestFit="1" customWidth="1"/>
    <col min="2309" max="2309" width="18.453125" style="2" customWidth="1"/>
    <col min="2310" max="2310" width="1.26953125" style="2" customWidth="1"/>
    <col min="2311" max="2312" width="15.453125" style="2" bestFit="1" customWidth="1"/>
    <col min="2313" max="2313" width="18.453125" style="2" customWidth="1"/>
    <col min="2314" max="2314" width="1.26953125" style="2" customWidth="1"/>
    <col min="2315" max="2316" width="15.453125" style="2" customWidth="1"/>
    <col min="2317" max="2317" width="18.453125" style="2" customWidth="1"/>
    <col min="2318" max="2318" width="1.26953125" style="2" customWidth="1"/>
    <col min="2319" max="2326" width="11.453125" style="2" customWidth="1"/>
    <col min="2327" max="2329" width="18.7265625" style="2" bestFit="1" customWidth="1"/>
    <col min="2330" max="2330" width="13.54296875" style="2" bestFit="1" customWidth="1"/>
    <col min="2331" max="2331" width="13.1796875" style="2" bestFit="1" customWidth="1"/>
    <col min="2332" max="2332" width="13.54296875" style="2" bestFit="1" customWidth="1"/>
    <col min="2333" max="2333" width="13.1796875" style="2" bestFit="1" customWidth="1"/>
    <col min="2334" max="2334" width="13.54296875" style="2" bestFit="1" customWidth="1"/>
    <col min="2335" max="2335" width="13.1796875" style="2" bestFit="1" customWidth="1"/>
    <col min="2336" max="2336" width="13.54296875" style="2" bestFit="1" customWidth="1"/>
    <col min="2337" max="2337" width="13.1796875" style="2" bestFit="1" customWidth="1"/>
    <col min="2338" max="2338" width="13.54296875" style="2" bestFit="1" customWidth="1"/>
    <col min="2339" max="2339" width="13.1796875" style="2" bestFit="1" customWidth="1"/>
    <col min="2340" max="2548" width="11.453125" style="2"/>
    <col min="2549" max="2549" width="27.453125" style="2" customWidth="1"/>
    <col min="2550" max="2550" width="1.453125" style="2" customWidth="1"/>
    <col min="2551" max="2551" width="17.81640625" style="2" bestFit="1" customWidth="1"/>
    <col min="2552" max="2552" width="15.54296875" style="2" bestFit="1" customWidth="1"/>
    <col min="2553" max="2553" width="16.1796875" style="2" customWidth="1"/>
    <col min="2554" max="2554" width="1.26953125" style="2" customWidth="1"/>
    <col min="2555" max="2555" width="17.81640625" style="2" bestFit="1" customWidth="1"/>
    <col min="2556" max="2556" width="15.54296875" style="2" bestFit="1" customWidth="1"/>
    <col min="2557" max="2557" width="16.1796875" style="2" customWidth="1"/>
    <col min="2558" max="2558" width="1.7265625" style="2" customWidth="1"/>
    <col min="2559" max="2560" width="15.453125" style="2" bestFit="1" customWidth="1"/>
    <col min="2561" max="2561" width="18.453125" style="2" customWidth="1"/>
    <col min="2562" max="2562" width="1.26953125" style="2" customWidth="1"/>
    <col min="2563" max="2564" width="15.453125" style="2" bestFit="1" customWidth="1"/>
    <col min="2565" max="2565" width="18.453125" style="2" customWidth="1"/>
    <col min="2566" max="2566" width="1.26953125" style="2" customWidth="1"/>
    <col min="2567" max="2568" width="15.453125" style="2" bestFit="1" customWidth="1"/>
    <col min="2569" max="2569" width="18.453125" style="2" customWidth="1"/>
    <col min="2570" max="2570" width="1.26953125" style="2" customWidth="1"/>
    <col min="2571" max="2572" width="15.453125" style="2" customWidth="1"/>
    <col min="2573" max="2573" width="18.453125" style="2" customWidth="1"/>
    <col min="2574" max="2574" width="1.26953125" style="2" customWidth="1"/>
    <col min="2575" max="2582" width="11.453125" style="2" customWidth="1"/>
    <col min="2583" max="2585" width="18.7265625" style="2" bestFit="1" customWidth="1"/>
    <col min="2586" max="2586" width="13.54296875" style="2" bestFit="1" customWidth="1"/>
    <col min="2587" max="2587" width="13.1796875" style="2" bestFit="1" customWidth="1"/>
    <col min="2588" max="2588" width="13.54296875" style="2" bestFit="1" customWidth="1"/>
    <col min="2589" max="2589" width="13.1796875" style="2" bestFit="1" customWidth="1"/>
    <col min="2590" max="2590" width="13.54296875" style="2" bestFit="1" customWidth="1"/>
    <col min="2591" max="2591" width="13.1796875" style="2" bestFit="1" customWidth="1"/>
    <col min="2592" max="2592" width="13.54296875" style="2" bestFit="1" customWidth="1"/>
    <col min="2593" max="2593" width="13.1796875" style="2" bestFit="1" customWidth="1"/>
    <col min="2594" max="2594" width="13.54296875" style="2" bestFit="1" customWidth="1"/>
    <col min="2595" max="2595" width="13.1796875" style="2" bestFit="1" customWidth="1"/>
    <col min="2596" max="2804" width="11.453125" style="2"/>
    <col min="2805" max="2805" width="27.453125" style="2" customWidth="1"/>
    <col min="2806" max="2806" width="1.453125" style="2" customWidth="1"/>
    <col min="2807" max="2807" width="17.81640625" style="2" bestFit="1" customWidth="1"/>
    <col min="2808" max="2808" width="15.54296875" style="2" bestFit="1" customWidth="1"/>
    <col min="2809" max="2809" width="16.1796875" style="2" customWidth="1"/>
    <col min="2810" max="2810" width="1.26953125" style="2" customWidth="1"/>
    <col min="2811" max="2811" width="17.81640625" style="2" bestFit="1" customWidth="1"/>
    <col min="2812" max="2812" width="15.54296875" style="2" bestFit="1" customWidth="1"/>
    <col min="2813" max="2813" width="16.1796875" style="2" customWidth="1"/>
    <col min="2814" max="2814" width="1.7265625" style="2" customWidth="1"/>
    <col min="2815" max="2816" width="15.453125" style="2" bestFit="1" customWidth="1"/>
    <col min="2817" max="2817" width="18.453125" style="2" customWidth="1"/>
    <col min="2818" max="2818" width="1.26953125" style="2" customWidth="1"/>
    <col min="2819" max="2820" width="15.453125" style="2" bestFit="1" customWidth="1"/>
    <col min="2821" max="2821" width="18.453125" style="2" customWidth="1"/>
    <col min="2822" max="2822" width="1.26953125" style="2" customWidth="1"/>
    <col min="2823" max="2824" width="15.453125" style="2" bestFit="1" customWidth="1"/>
    <col min="2825" max="2825" width="18.453125" style="2" customWidth="1"/>
    <col min="2826" max="2826" width="1.26953125" style="2" customWidth="1"/>
    <col min="2827" max="2828" width="15.453125" style="2" customWidth="1"/>
    <col min="2829" max="2829" width="18.453125" style="2" customWidth="1"/>
    <col min="2830" max="2830" width="1.26953125" style="2" customWidth="1"/>
    <col min="2831" max="2838" width="11.453125" style="2" customWidth="1"/>
    <col min="2839" max="2841" width="18.7265625" style="2" bestFit="1" customWidth="1"/>
    <col min="2842" max="2842" width="13.54296875" style="2" bestFit="1" customWidth="1"/>
    <col min="2843" max="2843" width="13.1796875" style="2" bestFit="1" customWidth="1"/>
    <col min="2844" max="2844" width="13.54296875" style="2" bestFit="1" customWidth="1"/>
    <col min="2845" max="2845" width="13.1796875" style="2" bestFit="1" customWidth="1"/>
    <col min="2846" max="2846" width="13.54296875" style="2" bestFit="1" customWidth="1"/>
    <col min="2847" max="2847" width="13.1796875" style="2" bestFit="1" customWidth="1"/>
    <col min="2848" max="2848" width="13.54296875" style="2" bestFit="1" customWidth="1"/>
    <col min="2849" max="2849" width="13.1796875" style="2" bestFit="1" customWidth="1"/>
    <col min="2850" max="2850" width="13.54296875" style="2" bestFit="1" customWidth="1"/>
    <col min="2851" max="2851" width="13.1796875" style="2" bestFit="1" customWidth="1"/>
    <col min="2852" max="3060" width="11.453125" style="2"/>
    <col min="3061" max="3061" width="27.453125" style="2" customWidth="1"/>
    <col min="3062" max="3062" width="1.453125" style="2" customWidth="1"/>
    <col min="3063" max="3063" width="17.81640625" style="2" bestFit="1" customWidth="1"/>
    <col min="3064" max="3064" width="15.54296875" style="2" bestFit="1" customWidth="1"/>
    <col min="3065" max="3065" width="16.1796875" style="2" customWidth="1"/>
    <col min="3066" max="3066" width="1.26953125" style="2" customWidth="1"/>
    <col min="3067" max="3067" width="17.81640625" style="2" bestFit="1" customWidth="1"/>
    <col min="3068" max="3068" width="15.54296875" style="2" bestFit="1" customWidth="1"/>
    <col min="3069" max="3069" width="16.1796875" style="2" customWidth="1"/>
    <col min="3070" max="3070" width="1.7265625" style="2" customWidth="1"/>
    <col min="3071" max="3072" width="15.453125" style="2" bestFit="1" customWidth="1"/>
    <col min="3073" max="3073" width="18.453125" style="2" customWidth="1"/>
    <col min="3074" max="3074" width="1.26953125" style="2" customWidth="1"/>
    <col min="3075" max="3076" width="15.453125" style="2" bestFit="1" customWidth="1"/>
    <col min="3077" max="3077" width="18.453125" style="2" customWidth="1"/>
    <col min="3078" max="3078" width="1.26953125" style="2" customWidth="1"/>
    <col min="3079" max="3080" width="15.453125" style="2" bestFit="1" customWidth="1"/>
    <col min="3081" max="3081" width="18.453125" style="2" customWidth="1"/>
    <col min="3082" max="3082" width="1.26953125" style="2" customWidth="1"/>
    <col min="3083" max="3084" width="15.453125" style="2" customWidth="1"/>
    <col min="3085" max="3085" width="18.453125" style="2" customWidth="1"/>
    <col min="3086" max="3086" width="1.26953125" style="2" customWidth="1"/>
    <col min="3087" max="3094" width="11.453125" style="2" customWidth="1"/>
    <col min="3095" max="3097" width="18.7265625" style="2" bestFit="1" customWidth="1"/>
    <col min="3098" max="3098" width="13.54296875" style="2" bestFit="1" customWidth="1"/>
    <col min="3099" max="3099" width="13.1796875" style="2" bestFit="1" customWidth="1"/>
    <col min="3100" max="3100" width="13.54296875" style="2" bestFit="1" customWidth="1"/>
    <col min="3101" max="3101" width="13.1796875" style="2" bestFit="1" customWidth="1"/>
    <col min="3102" max="3102" width="13.54296875" style="2" bestFit="1" customWidth="1"/>
    <col min="3103" max="3103" width="13.1796875" style="2" bestFit="1" customWidth="1"/>
    <col min="3104" max="3104" width="13.54296875" style="2" bestFit="1" customWidth="1"/>
    <col min="3105" max="3105" width="13.1796875" style="2" bestFit="1" customWidth="1"/>
    <col min="3106" max="3106" width="13.54296875" style="2" bestFit="1" customWidth="1"/>
    <col min="3107" max="3107" width="13.1796875" style="2" bestFit="1" customWidth="1"/>
    <col min="3108" max="3316" width="11.453125" style="2"/>
    <col min="3317" max="3317" width="27.453125" style="2" customWidth="1"/>
    <col min="3318" max="3318" width="1.453125" style="2" customWidth="1"/>
    <col min="3319" max="3319" width="17.81640625" style="2" bestFit="1" customWidth="1"/>
    <col min="3320" max="3320" width="15.54296875" style="2" bestFit="1" customWidth="1"/>
    <col min="3321" max="3321" width="16.1796875" style="2" customWidth="1"/>
    <col min="3322" max="3322" width="1.26953125" style="2" customWidth="1"/>
    <col min="3323" max="3323" width="17.81640625" style="2" bestFit="1" customWidth="1"/>
    <col min="3324" max="3324" width="15.54296875" style="2" bestFit="1" customWidth="1"/>
    <col min="3325" max="3325" width="16.1796875" style="2" customWidth="1"/>
    <col min="3326" max="3326" width="1.7265625" style="2" customWidth="1"/>
    <col min="3327" max="3328" width="15.453125" style="2" bestFit="1" customWidth="1"/>
    <col min="3329" max="3329" width="18.453125" style="2" customWidth="1"/>
    <col min="3330" max="3330" width="1.26953125" style="2" customWidth="1"/>
    <col min="3331" max="3332" width="15.453125" style="2" bestFit="1" customWidth="1"/>
    <col min="3333" max="3333" width="18.453125" style="2" customWidth="1"/>
    <col min="3334" max="3334" width="1.26953125" style="2" customWidth="1"/>
    <col min="3335" max="3336" width="15.453125" style="2" bestFit="1" customWidth="1"/>
    <col min="3337" max="3337" width="18.453125" style="2" customWidth="1"/>
    <col min="3338" max="3338" width="1.26953125" style="2" customWidth="1"/>
    <col min="3339" max="3340" width="15.453125" style="2" customWidth="1"/>
    <col min="3341" max="3341" width="18.453125" style="2" customWidth="1"/>
    <col min="3342" max="3342" width="1.26953125" style="2" customWidth="1"/>
    <col min="3343" max="3350" width="11.453125" style="2" customWidth="1"/>
    <col min="3351" max="3353" width="18.7265625" style="2" bestFit="1" customWidth="1"/>
    <col min="3354" max="3354" width="13.54296875" style="2" bestFit="1" customWidth="1"/>
    <col min="3355" max="3355" width="13.1796875" style="2" bestFit="1" customWidth="1"/>
    <col min="3356" max="3356" width="13.54296875" style="2" bestFit="1" customWidth="1"/>
    <col min="3357" max="3357" width="13.1796875" style="2" bestFit="1" customWidth="1"/>
    <col min="3358" max="3358" width="13.54296875" style="2" bestFit="1" customWidth="1"/>
    <col min="3359" max="3359" width="13.1796875" style="2" bestFit="1" customWidth="1"/>
    <col min="3360" max="3360" width="13.54296875" style="2" bestFit="1" customWidth="1"/>
    <col min="3361" max="3361" width="13.1796875" style="2" bestFit="1" customWidth="1"/>
    <col min="3362" max="3362" width="13.54296875" style="2" bestFit="1" customWidth="1"/>
    <col min="3363" max="3363" width="13.1796875" style="2" bestFit="1" customWidth="1"/>
    <col min="3364" max="3572" width="11.453125" style="2"/>
    <col min="3573" max="3573" width="27.453125" style="2" customWidth="1"/>
    <col min="3574" max="3574" width="1.453125" style="2" customWidth="1"/>
    <col min="3575" max="3575" width="17.81640625" style="2" bestFit="1" customWidth="1"/>
    <col min="3576" max="3576" width="15.54296875" style="2" bestFit="1" customWidth="1"/>
    <col min="3577" max="3577" width="16.1796875" style="2" customWidth="1"/>
    <col min="3578" max="3578" width="1.26953125" style="2" customWidth="1"/>
    <col min="3579" max="3579" width="17.81640625" style="2" bestFit="1" customWidth="1"/>
    <col min="3580" max="3580" width="15.54296875" style="2" bestFit="1" customWidth="1"/>
    <col min="3581" max="3581" width="16.1796875" style="2" customWidth="1"/>
    <col min="3582" max="3582" width="1.7265625" style="2" customWidth="1"/>
    <col min="3583" max="3584" width="15.453125" style="2" bestFit="1" customWidth="1"/>
    <col min="3585" max="3585" width="18.453125" style="2" customWidth="1"/>
    <col min="3586" max="3586" width="1.26953125" style="2" customWidth="1"/>
    <col min="3587" max="3588" width="15.453125" style="2" bestFit="1" customWidth="1"/>
    <col min="3589" max="3589" width="18.453125" style="2" customWidth="1"/>
    <col min="3590" max="3590" width="1.26953125" style="2" customWidth="1"/>
    <col min="3591" max="3592" width="15.453125" style="2" bestFit="1" customWidth="1"/>
    <col min="3593" max="3593" width="18.453125" style="2" customWidth="1"/>
    <col min="3594" max="3594" width="1.26953125" style="2" customWidth="1"/>
    <col min="3595" max="3596" width="15.453125" style="2" customWidth="1"/>
    <col min="3597" max="3597" width="18.453125" style="2" customWidth="1"/>
    <col min="3598" max="3598" width="1.26953125" style="2" customWidth="1"/>
    <col min="3599" max="3606" width="11.453125" style="2" customWidth="1"/>
    <col min="3607" max="3609" width="18.7265625" style="2" bestFit="1" customWidth="1"/>
    <col min="3610" max="3610" width="13.54296875" style="2" bestFit="1" customWidth="1"/>
    <col min="3611" max="3611" width="13.1796875" style="2" bestFit="1" customWidth="1"/>
    <col min="3612" max="3612" width="13.54296875" style="2" bestFit="1" customWidth="1"/>
    <col min="3613" max="3613" width="13.1796875" style="2" bestFit="1" customWidth="1"/>
    <col min="3614" max="3614" width="13.54296875" style="2" bestFit="1" customWidth="1"/>
    <col min="3615" max="3615" width="13.1796875" style="2" bestFit="1" customWidth="1"/>
    <col min="3616" max="3616" width="13.54296875" style="2" bestFit="1" customWidth="1"/>
    <col min="3617" max="3617" width="13.1796875" style="2" bestFit="1" customWidth="1"/>
    <col min="3618" max="3618" width="13.54296875" style="2" bestFit="1" customWidth="1"/>
    <col min="3619" max="3619" width="13.1796875" style="2" bestFit="1" customWidth="1"/>
    <col min="3620" max="3828" width="11.453125" style="2"/>
    <col min="3829" max="3829" width="27.453125" style="2" customWidth="1"/>
    <col min="3830" max="3830" width="1.453125" style="2" customWidth="1"/>
    <col min="3831" max="3831" width="17.81640625" style="2" bestFit="1" customWidth="1"/>
    <col min="3832" max="3832" width="15.54296875" style="2" bestFit="1" customWidth="1"/>
    <col min="3833" max="3833" width="16.1796875" style="2" customWidth="1"/>
    <col min="3834" max="3834" width="1.26953125" style="2" customWidth="1"/>
    <col min="3835" max="3835" width="17.81640625" style="2" bestFit="1" customWidth="1"/>
    <col min="3836" max="3836" width="15.54296875" style="2" bestFit="1" customWidth="1"/>
    <col min="3837" max="3837" width="16.1796875" style="2" customWidth="1"/>
    <col min="3838" max="3838" width="1.7265625" style="2" customWidth="1"/>
    <col min="3839" max="3840" width="15.453125" style="2" bestFit="1" customWidth="1"/>
    <col min="3841" max="3841" width="18.453125" style="2" customWidth="1"/>
    <col min="3842" max="3842" width="1.26953125" style="2" customWidth="1"/>
    <col min="3843" max="3844" width="15.453125" style="2" bestFit="1" customWidth="1"/>
    <col min="3845" max="3845" width="18.453125" style="2" customWidth="1"/>
    <col min="3846" max="3846" width="1.26953125" style="2" customWidth="1"/>
    <col min="3847" max="3848" width="15.453125" style="2" bestFit="1" customWidth="1"/>
    <col min="3849" max="3849" width="18.453125" style="2" customWidth="1"/>
    <col min="3850" max="3850" width="1.26953125" style="2" customWidth="1"/>
    <col min="3851" max="3852" width="15.453125" style="2" customWidth="1"/>
    <col min="3853" max="3853" width="18.453125" style="2" customWidth="1"/>
    <col min="3854" max="3854" width="1.26953125" style="2" customWidth="1"/>
    <col min="3855" max="3862" width="11.453125" style="2" customWidth="1"/>
    <col min="3863" max="3865" width="18.7265625" style="2" bestFit="1" customWidth="1"/>
    <col min="3866" max="3866" width="13.54296875" style="2" bestFit="1" customWidth="1"/>
    <col min="3867" max="3867" width="13.1796875" style="2" bestFit="1" customWidth="1"/>
    <col min="3868" max="3868" width="13.54296875" style="2" bestFit="1" customWidth="1"/>
    <col min="3869" max="3869" width="13.1796875" style="2" bestFit="1" customWidth="1"/>
    <col min="3870" max="3870" width="13.54296875" style="2" bestFit="1" customWidth="1"/>
    <col min="3871" max="3871" width="13.1796875" style="2" bestFit="1" customWidth="1"/>
    <col min="3872" max="3872" width="13.54296875" style="2" bestFit="1" customWidth="1"/>
    <col min="3873" max="3873" width="13.1796875" style="2" bestFit="1" customWidth="1"/>
    <col min="3874" max="3874" width="13.54296875" style="2" bestFit="1" customWidth="1"/>
    <col min="3875" max="3875" width="13.1796875" style="2" bestFit="1" customWidth="1"/>
    <col min="3876" max="4084" width="11.453125" style="2"/>
    <col min="4085" max="4085" width="27.453125" style="2" customWidth="1"/>
    <col min="4086" max="4086" width="1.453125" style="2" customWidth="1"/>
    <col min="4087" max="4087" width="17.81640625" style="2" bestFit="1" customWidth="1"/>
    <col min="4088" max="4088" width="15.54296875" style="2" bestFit="1" customWidth="1"/>
    <col min="4089" max="4089" width="16.1796875" style="2" customWidth="1"/>
    <col min="4090" max="4090" width="1.26953125" style="2" customWidth="1"/>
    <col min="4091" max="4091" width="17.81640625" style="2" bestFit="1" customWidth="1"/>
    <col min="4092" max="4092" width="15.54296875" style="2" bestFit="1" customWidth="1"/>
    <col min="4093" max="4093" width="16.1796875" style="2" customWidth="1"/>
    <col min="4094" max="4094" width="1.7265625" style="2" customWidth="1"/>
    <col min="4095" max="4096" width="15.453125" style="2" bestFit="1" customWidth="1"/>
    <col min="4097" max="4097" width="18.453125" style="2" customWidth="1"/>
    <col min="4098" max="4098" width="1.26953125" style="2" customWidth="1"/>
    <col min="4099" max="4100" width="15.453125" style="2" bestFit="1" customWidth="1"/>
    <col min="4101" max="4101" width="18.453125" style="2" customWidth="1"/>
    <col min="4102" max="4102" width="1.26953125" style="2" customWidth="1"/>
    <col min="4103" max="4104" width="15.453125" style="2" bestFit="1" customWidth="1"/>
    <col min="4105" max="4105" width="18.453125" style="2" customWidth="1"/>
    <col min="4106" max="4106" width="1.26953125" style="2" customWidth="1"/>
    <col min="4107" max="4108" width="15.453125" style="2" customWidth="1"/>
    <col min="4109" max="4109" width="18.453125" style="2" customWidth="1"/>
    <col min="4110" max="4110" width="1.26953125" style="2" customWidth="1"/>
    <col min="4111" max="4118" width="11.453125" style="2" customWidth="1"/>
    <col min="4119" max="4121" width="18.7265625" style="2" bestFit="1" customWidth="1"/>
    <col min="4122" max="4122" width="13.54296875" style="2" bestFit="1" customWidth="1"/>
    <col min="4123" max="4123" width="13.1796875" style="2" bestFit="1" customWidth="1"/>
    <col min="4124" max="4124" width="13.54296875" style="2" bestFit="1" customWidth="1"/>
    <col min="4125" max="4125" width="13.1796875" style="2" bestFit="1" customWidth="1"/>
    <col min="4126" max="4126" width="13.54296875" style="2" bestFit="1" customWidth="1"/>
    <col min="4127" max="4127" width="13.1796875" style="2" bestFit="1" customWidth="1"/>
    <col min="4128" max="4128" width="13.54296875" style="2" bestFit="1" customWidth="1"/>
    <col min="4129" max="4129" width="13.1796875" style="2" bestFit="1" customWidth="1"/>
    <col min="4130" max="4130" width="13.54296875" style="2" bestFit="1" customWidth="1"/>
    <col min="4131" max="4131" width="13.1796875" style="2" bestFit="1" customWidth="1"/>
    <col min="4132" max="4340" width="11.453125" style="2"/>
    <col min="4341" max="4341" width="27.453125" style="2" customWidth="1"/>
    <col min="4342" max="4342" width="1.453125" style="2" customWidth="1"/>
    <col min="4343" max="4343" width="17.81640625" style="2" bestFit="1" customWidth="1"/>
    <col min="4344" max="4344" width="15.54296875" style="2" bestFit="1" customWidth="1"/>
    <col min="4345" max="4345" width="16.1796875" style="2" customWidth="1"/>
    <col min="4346" max="4346" width="1.26953125" style="2" customWidth="1"/>
    <col min="4347" max="4347" width="17.81640625" style="2" bestFit="1" customWidth="1"/>
    <col min="4348" max="4348" width="15.54296875" style="2" bestFit="1" customWidth="1"/>
    <col min="4349" max="4349" width="16.1796875" style="2" customWidth="1"/>
    <col min="4350" max="4350" width="1.7265625" style="2" customWidth="1"/>
    <col min="4351" max="4352" width="15.453125" style="2" bestFit="1" customWidth="1"/>
    <col min="4353" max="4353" width="18.453125" style="2" customWidth="1"/>
    <col min="4354" max="4354" width="1.26953125" style="2" customWidth="1"/>
    <col min="4355" max="4356" width="15.453125" style="2" bestFit="1" customWidth="1"/>
    <col min="4357" max="4357" width="18.453125" style="2" customWidth="1"/>
    <col min="4358" max="4358" width="1.26953125" style="2" customWidth="1"/>
    <col min="4359" max="4360" width="15.453125" style="2" bestFit="1" customWidth="1"/>
    <col min="4361" max="4361" width="18.453125" style="2" customWidth="1"/>
    <col min="4362" max="4362" width="1.26953125" style="2" customWidth="1"/>
    <col min="4363" max="4364" width="15.453125" style="2" customWidth="1"/>
    <col min="4365" max="4365" width="18.453125" style="2" customWidth="1"/>
    <col min="4366" max="4366" width="1.26953125" style="2" customWidth="1"/>
    <col min="4367" max="4374" width="11.453125" style="2" customWidth="1"/>
    <col min="4375" max="4377" width="18.7265625" style="2" bestFit="1" customWidth="1"/>
    <col min="4378" max="4378" width="13.54296875" style="2" bestFit="1" customWidth="1"/>
    <col min="4379" max="4379" width="13.1796875" style="2" bestFit="1" customWidth="1"/>
    <col min="4380" max="4380" width="13.54296875" style="2" bestFit="1" customWidth="1"/>
    <col min="4381" max="4381" width="13.1796875" style="2" bestFit="1" customWidth="1"/>
    <col min="4382" max="4382" width="13.54296875" style="2" bestFit="1" customWidth="1"/>
    <col min="4383" max="4383" width="13.1796875" style="2" bestFit="1" customWidth="1"/>
    <col min="4384" max="4384" width="13.54296875" style="2" bestFit="1" customWidth="1"/>
    <col min="4385" max="4385" width="13.1796875" style="2" bestFit="1" customWidth="1"/>
    <col min="4386" max="4386" width="13.54296875" style="2" bestFit="1" customWidth="1"/>
    <col min="4387" max="4387" width="13.1796875" style="2" bestFit="1" customWidth="1"/>
    <col min="4388" max="4596" width="11.453125" style="2"/>
    <col min="4597" max="4597" width="27.453125" style="2" customWidth="1"/>
    <col min="4598" max="4598" width="1.453125" style="2" customWidth="1"/>
    <col min="4599" max="4599" width="17.81640625" style="2" bestFit="1" customWidth="1"/>
    <col min="4600" max="4600" width="15.54296875" style="2" bestFit="1" customWidth="1"/>
    <col min="4601" max="4601" width="16.1796875" style="2" customWidth="1"/>
    <col min="4602" max="4602" width="1.26953125" style="2" customWidth="1"/>
    <col min="4603" max="4603" width="17.81640625" style="2" bestFit="1" customWidth="1"/>
    <col min="4604" max="4604" width="15.54296875" style="2" bestFit="1" customWidth="1"/>
    <col min="4605" max="4605" width="16.1796875" style="2" customWidth="1"/>
    <col min="4606" max="4606" width="1.7265625" style="2" customWidth="1"/>
    <col min="4607" max="4608" width="15.453125" style="2" bestFit="1" customWidth="1"/>
    <col min="4609" max="4609" width="18.453125" style="2" customWidth="1"/>
    <col min="4610" max="4610" width="1.26953125" style="2" customWidth="1"/>
    <col min="4611" max="4612" width="15.453125" style="2" bestFit="1" customWidth="1"/>
    <col min="4613" max="4613" width="18.453125" style="2" customWidth="1"/>
    <col min="4614" max="4614" width="1.26953125" style="2" customWidth="1"/>
    <col min="4615" max="4616" width="15.453125" style="2" bestFit="1" customWidth="1"/>
    <col min="4617" max="4617" width="18.453125" style="2" customWidth="1"/>
    <col min="4618" max="4618" width="1.26953125" style="2" customWidth="1"/>
    <col min="4619" max="4620" width="15.453125" style="2" customWidth="1"/>
    <col min="4621" max="4621" width="18.453125" style="2" customWidth="1"/>
    <col min="4622" max="4622" width="1.26953125" style="2" customWidth="1"/>
    <col min="4623" max="4630" width="11.453125" style="2" customWidth="1"/>
    <col min="4631" max="4633" width="18.7265625" style="2" bestFit="1" customWidth="1"/>
    <col min="4634" max="4634" width="13.54296875" style="2" bestFit="1" customWidth="1"/>
    <col min="4635" max="4635" width="13.1796875" style="2" bestFit="1" customWidth="1"/>
    <col min="4636" max="4636" width="13.54296875" style="2" bestFit="1" customWidth="1"/>
    <col min="4637" max="4637" width="13.1796875" style="2" bestFit="1" customWidth="1"/>
    <col min="4638" max="4638" width="13.54296875" style="2" bestFit="1" customWidth="1"/>
    <col min="4639" max="4639" width="13.1796875" style="2" bestFit="1" customWidth="1"/>
    <col min="4640" max="4640" width="13.54296875" style="2" bestFit="1" customWidth="1"/>
    <col min="4641" max="4641" width="13.1796875" style="2" bestFit="1" customWidth="1"/>
    <col min="4642" max="4642" width="13.54296875" style="2" bestFit="1" customWidth="1"/>
    <col min="4643" max="4643" width="13.1796875" style="2" bestFit="1" customWidth="1"/>
    <col min="4644" max="4852" width="11.453125" style="2"/>
    <col min="4853" max="4853" width="27.453125" style="2" customWidth="1"/>
    <col min="4854" max="4854" width="1.453125" style="2" customWidth="1"/>
    <col min="4855" max="4855" width="17.81640625" style="2" bestFit="1" customWidth="1"/>
    <col min="4856" max="4856" width="15.54296875" style="2" bestFit="1" customWidth="1"/>
    <col min="4857" max="4857" width="16.1796875" style="2" customWidth="1"/>
    <col min="4858" max="4858" width="1.26953125" style="2" customWidth="1"/>
    <col min="4859" max="4859" width="17.81640625" style="2" bestFit="1" customWidth="1"/>
    <col min="4860" max="4860" width="15.54296875" style="2" bestFit="1" customWidth="1"/>
    <col min="4861" max="4861" width="16.1796875" style="2" customWidth="1"/>
    <col min="4862" max="4862" width="1.7265625" style="2" customWidth="1"/>
    <col min="4863" max="4864" width="15.453125" style="2" bestFit="1" customWidth="1"/>
    <col min="4865" max="4865" width="18.453125" style="2" customWidth="1"/>
    <col min="4866" max="4866" width="1.26953125" style="2" customWidth="1"/>
    <col min="4867" max="4868" width="15.453125" style="2" bestFit="1" customWidth="1"/>
    <col min="4869" max="4869" width="18.453125" style="2" customWidth="1"/>
    <col min="4870" max="4870" width="1.26953125" style="2" customWidth="1"/>
    <col min="4871" max="4872" width="15.453125" style="2" bestFit="1" customWidth="1"/>
    <col min="4873" max="4873" width="18.453125" style="2" customWidth="1"/>
    <col min="4874" max="4874" width="1.26953125" style="2" customWidth="1"/>
    <col min="4875" max="4876" width="15.453125" style="2" customWidth="1"/>
    <col min="4877" max="4877" width="18.453125" style="2" customWidth="1"/>
    <col min="4878" max="4878" width="1.26953125" style="2" customWidth="1"/>
    <col min="4879" max="4886" width="11.453125" style="2" customWidth="1"/>
    <col min="4887" max="4889" width="18.7265625" style="2" bestFit="1" customWidth="1"/>
    <col min="4890" max="4890" width="13.54296875" style="2" bestFit="1" customWidth="1"/>
    <col min="4891" max="4891" width="13.1796875" style="2" bestFit="1" customWidth="1"/>
    <col min="4892" max="4892" width="13.54296875" style="2" bestFit="1" customWidth="1"/>
    <col min="4893" max="4893" width="13.1796875" style="2" bestFit="1" customWidth="1"/>
    <col min="4894" max="4894" width="13.54296875" style="2" bestFit="1" customWidth="1"/>
    <col min="4895" max="4895" width="13.1796875" style="2" bestFit="1" customWidth="1"/>
    <col min="4896" max="4896" width="13.54296875" style="2" bestFit="1" customWidth="1"/>
    <col min="4897" max="4897" width="13.1796875" style="2" bestFit="1" customWidth="1"/>
    <col min="4898" max="4898" width="13.54296875" style="2" bestFit="1" customWidth="1"/>
    <col min="4899" max="4899" width="13.1796875" style="2" bestFit="1" customWidth="1"/>
    <col min="4900" max="5108" width="11.453125" style="2"/>
    <col min="5109" max="5109" width="27.453125" style="2" customWidth="1"/>
    <col min="5110" max="5110" width="1.453125" style="2" customWidth="1"/>
    <col min="5111" max="5111" width="17.81640625" style="2" bestFit="1" customWidth="1"/>
    <col min="5112" max="5112" width="15.54296875" style="2" bestFit="1" customWidth="1"/>
    <col min="5113" max="5113" width="16.1796875" style="2" customWidth="1"/>
    <col min="5114" max="5114" width="1.26953125" style="2" customWidth="1"/>
    <col min="5115" max="5115" width="17.81640625" style="2" bestFit="1" customWidth="1"/>
    <col min="5116" max="5116" width="15.54296875" style="2" bestFit="1" customWidth="1"/>
    <col min="5117" max="5117" width="16.1796875" style="2" customWidth="1"/>
    <col min="5118" max="5118" width="1.7265625" style="2" customWidth="1"/>
    <col min="5119" max="5120" width="15.453125" style="2" bestFit="1" customWidth="1"/>
    <col min="5121" max="5121" width="18.453125" style="2" customWidth="1"/>
    <col min="5122" max="5122" width="1.26953125" style="2" customWidth="1"/>
    <col min="5123" max="5124" width="15.453125" style="2" bestFit="1" customWidth="1"/>
    <col min="5125" max="5125" width="18.453125" style="2" customWidth="1"/>
    <col min="5126" max="5126" width="1.26953125" style="2" customWidth="1"/>
    <col min="5127" max="5128" width="15.453125" style="2" bestFit="1" customWidth="1"/>
    <col min="5129" max="5129" width="18.453125" style="2" customWidth="1"/>
    <col min="5130" max="5130" width="1.26953125" style="2" customWidth="1"/>
    <col min="5131" max="5132" width="15.453125" style="2" customWidth="1"/>
    <col min="5133" max="5133" width="18.453125" style="2" customWidth="1"/>
    <col min="5134" max="5134" width="1.26953125" style="2" customWidth="1"/>
    <col min="5135" max="5142" width="11.453125" style="2" customWidth="1"/>
    <col min="5143" max="5145" width="18.7265625" style="2" bestFit="1" customWidth="1"/>
    <col min="5146" max="5146" width="13.54296875" style="2" bestFit="1" customWidth="1"/>
    <col min="5147" max="5147" width="13.1796875" style="2" bestFit="1" customWidth="1"/>
    <col min="5148" max="5148" width="13.54296875" style="2" bestFit="1" customWidth="1"/>
    <col min="5149" max="5149" width="13.1796875" style="2" bestFit="1" customWidth="1"/>
    <col min="5150" max="5150" width="13.54296875" style="2" bestFit="1" customWidth="1"/>
    <col min="5151" max="5151" width="13.1796875" style="2" bestFit="1" customWidth="1"/>
    <col min="5152" max="5152" width="13.54296875" style="2" bestFit="1" customWidth="1"/>
    <col min="5153" max="5153" width="13.1796875" style="2" bestFit="1" customWidth="1"/>
    <col min="5154" max="5154" width="13.54296875" style="2" bestFit="1" customWidth="1"/>
    <col min="5155" max="5155" width="13.1796875" style="2" bestFit="1" customWidth="1"/>
    <col min="5156" max="5364" width="11.453125" style="2"/>
    <col min="5365" max="5365" width="27.453125" style="2" customWidth="1"/>
    <col min="5366" max="5366" width="1.453125" style="2" customWidth="1"/>
    <col min="5367" max="5367" width="17.81640625" style="2" bestFit="1" customWidth="1"/>
    <col min="5368" max="5368" width="15.54296875" style="2" bestFit="1" customWidth="1"/>
    <col min="5369" max="5369" width="16.1796875" style="2" customWidth="1"/>
    <col min="5370" max="5370" width="1.26953125" style="2" customWidth="1"/>
    <col min="5371" max="5371" width="17.81640625" style="2" bestFit="1" customWidth="1"/>
    <col min="5372" max="5372" width="15.54296875" style="2" bestFit="1" customWidth="1"/>
    <col min="5373" max="5373" width="16.1796875" style="2" customWidth="1"/>
    <col min="5374" max="5374" width="1.7265625" style="2" customWidth="1"/>
    <col min="5375" max="5376" width="15.453125" style="2" bestFit="1" customWidth="1"/>
    <col min="5377" max="5377" width="18.453125" style="2" customWidth="1"/>
    <col min="5378" max="5378" width="1.26953125" style="2" customWidth="1"/>
    <col min="5379" max="5380" width="15.453125" style="2" bestFit="1" customWidth="1"/>
    <col min="5381" max="5381" width="18.453125" style="2" customWidth="1"/>
    <col min="5382" max="5382" width="1.26953125" style="2" customWidth="1"/>
    <col min="5383" max="5384" width="15.453125" style="2" bestFit="1" customWidth="1"/>
    <col min="5385" max="5385" width="18.453125" style="2" customWidth="1"/>
    <col min="5386" max="5386" width="1.26953125" style="2" customWidth="1"/>
    <col min="5387" max="5388" width="15.453125" style="2" customWidth="1"/>
    <col min="5389" max="5389" width="18.453125" style="2" customWidth="1"/>
    <col min="5390" max="5390" width="1.26953125" style="2" customWidth="1"/>
    <col min="5391" max="5398" width="11.453125" style="2" customWidth="1"/>
    <col min="5399" max="5401" width="18.7265625" style="2" bestFit="1" customWidth="1"/>
    <col min="5402" max="5402" width="13.54296875" style="2" bestFit="1" customWidth="1"/>
    <col min="5403" max="5403" width="13.1796875" style="2" bestFit="1" customWidth="1"/>
    <col min="5404" max="5404" width="13.54296875" style="2" bestFit="1" customWidth="1"/>
    <col min="5405" max="5405" width="13.1796875" style="2" bestFit="1" customWidth="1"/>
    <col min="5406" max="5406" width="13.54296875" style="2" bestFit="1" customWidth="1"/>
    <col min="5407" max="5407" width="13.1796875" style="2" bestFit="1" customWidth="1"/>
    <col min="5408" max="5408" width="13.54296875" style="2" bestFit="1" customWidth="1"/>
    <col min="5409" max="5409" width="13.1796875" style="2" bestFit="1" customWidth="1"/>
    <col min="5410" max="5410" width="13.54296875" style="2" bestFit="1" customWidth="1"/>
    <col min="5411" max="5411" width="13.1796875" style="2" bestFit="1" customWidth="1"/>
    <col min="5412" max="5620" width="11.453125" style="2"/>
    <col min="5621" max="5621" width="27.453125" style="2" customWidth="1"/>
    <col min="5622" max="5622" width="1.453125" style="2" customWidth="1"/>
    <col min="5623" max="5623" width="17.81640625" style="2" bestFit="1" customWidth="1"/>
    <col min="5624" max="5624" width="15.54296875" style="2" bestFit="1" customWidth="1"/>
    <col min="5625" max="5625" width="16.1796875" style="2" customWidth="1"/>
    <col min="5626" max="5626" width="1.26953125" style="2" customWidth="1"/>
    <col min="5627" max="5627" width="17.81640625" style="2" bestFit="1" customWidth="1"/>
    <col min="5628" max="5628" width="15.54296875" style="2" bestFit="1" customWidth="1"/>
    <col min="5629" max="5629" width="16.1796875" style="2" customWidth="1"/>
    <col min="5630" max="5630" width="1.7265625" style="2" customWidth="1"/>
    <col min="5631" max="5632" width="15.453125" style="2" bestFit="1" customWidth="1"/>
    <col min="5633" max="5633" width="18.453125" style="2" customWidth="1"/>
    <col min="5634" max="5634" width="1.26953125" style="2" customWidth="1"/>
    <col min="5635" max="5636" width="15.453125" style="2" bestFit="1" customWidth="1"/>
    <col min="5637" max="5637" width="18.453125" style="2" customWidth="1"/>
    <col min="5638" max="5638" width="1.26953125" style="2" customWidth="1"/>
    <col min="5639" max="5640" width="15.453125" style="2" bestFit="1" customWidth="1"/>
    <col min="5641" max="5641" width="18.453125" style="2" customWidth="1"/>
    <col min="5642" max="5642" width="1.26953125" style="2" customWidth="1"/>
    <col min="5643" max="5644" width="15.453125" style="2" customWidth="1"/>
    <col min="5645" max="5645" width="18.453125" style="2" customWidth="1"/>
    <col min="5646" max="5646" width="1.26953125" style="2" customWidth="1"/>
    <col min="5647" max="5654" width="11.453125" style="2" customWidth="1"/>
    <col min="5655" max="5657" width="18.7265625" style="2" bestFit="1" customWidth="1"/>
    <col min="5658" max="5658" width="13.54296875" style="2" bestFit="1" customWidth="1"/>
    <col min="5659" max="5659" width="13.1796875" style="2" bestFit="1" customWidth="1"/>
    <col min="5660" max="5660" width="13.54296875" style="2" bestFit="1" customWidth="1"/>
    <col min="5661" max="5661" width="13.1796875" style="2" bestFit="1" customWidth="1"/>
    <col min="5662" max="5662" width="13.54296875" style="2" bestFit="1" customWidth="1"/>
    <col min="5663" max="5663" width="13.1796875" style="2" bestFit="1" customWidth="1"/>
    <col min="5664" max="5664" width="13.54296875" style="2" bestFit="1" customWidth="1"/>
    <col min="5665" max="5665" width="13.1796875" style="2" bestFit="1" customWidth="1"/>
    <col min="5666" max="5666" width="13.54296875" style="2" bestFit="1" customWidth="1"/>
    <col min="5667" max="5667" width="13.1796875" style="2" bestFit="1" customWidth="1"/>
    <col min="5668" max="5876" width="11.453125" style="2"/>
    <col min="5877" max="5877" width="27.453125" style="2" customWidth="1"/>
    <col min="5878" max="5878" width="1.453125" style="2" customWidth="1"/>
    <col min="5879" max="5879" width="17.81640625" style="2" bestFit="1" customWidth="1"/>
    <col min="5880" max="5880" width="15.54296875" style="2" bestFit="1" customWidth="1"/>
    <col min="5881" max="5881" width="16.1796875" style="2" customWidth="1"/>
    <col min="5882" max="5882" width="1.26953125" style="2" customWidth="1"/>
    <col min="5883" max="5883" width="17.81640625" style="2" bestFit="1" customWidth="1"/>
    <col min="5884" max="5884" width="15.54296875" style="2" bestFit="1" customWidth="1"/>
    <col min="5885" max="5885" width="16.1796875" style="2" customWidth="1"/>
    <col min="5886" max="5886" width="1.7265625" style="2" customWidth="1"/>
    <col min="5887" max="5888" width="15.453125" style="2" bestFit="1" customWidth="1"/>
    <col min="5889" max="5889" width="18.453125" style="2" customWidth="1"/>
    <col min="5890" max="5890" width="1.26953125" style="2" customWidth="1"/>
    <col min="5891" max="5892" width="15.453125" style="2" bestFit="1" customWidth="1"/>
    <col min="5893" max="5893" width="18.453125" style="2" customWidth="1"/>
    <col min="5894" max="5894" width="1.26953125" style="2" customWidth="1"/>
    <col min="5895" max="5896" width="15.453125" style="2" bestFit="1" customWidth="1"/>
    <col min="5897" max="5897" width="18.453125" style="2" customWidth="1"/>
    <col min="5898" max="5898" width="1.26953125" style="2" customWidth="1"/>
    <col min="5899" max="5900" width="15.453125" style="2" customWidth="1"/>
    <col min="5901" max="5901" width="18.453125" style="2" customWidth="1"/>
    <col min="5902" max="5902" width="1.26953125" style="2" customWidth="1"/>
    <col min="5903" max="5910" width="11.453125" style="2" customWidth="1"/>
    <col min="5911" max="5913" width="18.7265625" style="2" bestFit="1" customWidth="1"/>
    <col min="5914" max="5914" width="13.54296875" style="2" bestFit="1" customWidth="1"/>
    <col min="5915" max="5915" width="13.1796875" style="2" bestFit="1" customWidth="1"/>
    <col min="5916" max="5916" width="13.54296875" style="2" bestFit="1" customWidth="1"/>
    <col min="5917" max="5917" width="13.1796875" style="2" bestFit="1" customWidth="1"/>
    <col min="5918" max="5918" width="13.54296875" style="2" bestFit="1" customWidth="1"/>
    <col min="5919" max="5919" width="13.1796875" style="2" bestFit="1" customWidth="1"/>
    <col min="5920" max="5920" width="13.54296875" style="2" bestFit="1" customWidth="1"/>
    <col min="5921" max="5921" width="13.1796875" style="2" bestFit="1" customWidth="1"/>
    <col min="5922" max="5922" width="13.54296875" style="2" bestFit="1" customWidth="1"/>
    <col min="5923" max="5923" width="13.1796875" style="2" bestFit="1" customWidth="1"/>
    <col min="5924" max="6132" width="11.453125" style="2"/>
    <col min="6133" max="6133" width="27.453125" style="2" customWidth="1"/>
    <col min="6134" max="6134" width="1.453125" style="2" customWidth="1"/>
    <col min="6135" max="6135" width="17.81640625" style="2" bestFit="1" customWidth="1"/>
    <col min="6136" max="6136" width="15.54296875" style="2" bestFit="1" customWidth="1"/>
    <col min="6137" max="6137" width="16.1796875" style="2" customWidth="1"/>
    <col min="6138" max="6138" width="1.26953125" style="2" customWidth="1"/>
    <col min="6139" max="6139" width="17.81640625" style="2" bestFit="1" customWidth="1"/>
    <col min="6140" max="6140" width="15.54296875" style="2" bestFit="1" customWidth="1"/>
    <col min="6141" max="6141" width="16.1796875" style="2" customWidth="1"/>
    <col min="6142" max="6142" width="1.7265625" style="2" customWidth="1"/>
    <col min="6143" max="6144" width="15.453125" style="2" bestFit="1" customWidth="1"/>
    <col min="6145" max="6145" width="18.453125" style="2" customWidth="1"/>
    <col min="6146" max="6146" width="1.26953125" style="2" customWidth="1"/>
    <col min="6147" max="6148" width="15.453125" style="2" bestFit="1" customWidth="1"/>
    <col min="6149" max="6149" width="18.453125" style="2" customWidth="1"/>
    <col min="6150" max="6150" width="1.26953125" style="2" customWidth="1"/>
    <col min="6151" max="6152" width="15.453125" style="2" bestFit="1" customWidth="1"/>
    <col min="6153" max="6153" width="18.453125" style="2" customWidth="1"/>
    <col min="6154" max="6154" width="1.26953125" style="2" customWidth="1"/>
    <col min="6155" max="6156" width="15.453125" style="2" customWidth="1"/>
    <col min="6157" max="6157" width="18.453125" style="2" customWidth="1"/>
    <col min="6158" max="6158" width="1.26953125" style="2" customWidth="1"/>
    <col min="6159" max="6166" width="11.453125" style="2" customWidth="1"/>
    <col min="6167" max="6169" width="18.7265625" style="2" bestFit="1" customWidth="1"/>
    <col min="6170" max="6170" width="13.54296875" style="2" bestFit="1" customWidth="1"/>
    <col min="6171" max="6171" width="13.1796875" style="2" bestFit="1" customWidth="1"/>
    <col min="6172" max="6172" width="13.54296875" style="2" bestFit="1" customWidth="1"/>
    <col min="6173" max="6173" width="13.1796875" style="2" bestFit="1" customWidth="1"/>
    <col min="6174" max="6174" width="13.54296875" style="2" bestFit="1" customWidth="1"/>
    <col min="6175" max="6175" width="13.1796875" style="2" bestFit="1" customWidth="1"/>
    <col min="6176" max="6176" width="13.54296875" style="2" bestFit="1" customWidth="1"/>
    <col min="6177" max="6177" width="13.1796875" style="2" bestFit="1" customWidth="1"/>
    <col min="6178" max="6178" width="13.54296875" style="2" bestFit="1" customWidth="1"/>
    <col min="6179" max="6179" width="13.1796875" style="2" bestFit="1" customWidth="1"/>
    <col min="6180" max="6388" width="11.453125" style="2"/>
    <col min="6389" max="6389" width="27.453125" style="2" customWidth="1"/>
    <col min="6390" max="6390" width="1.453125" style="2" customWidth="1"/>
    <col min="6391" max="6391" width="17.81640625" style="2" bestFit="1" customWidth="1"/>
    <col min="6392" max="6392" width="15.54296875" style="2" bestFit="1" customWidth="1"/>
    <col min="6393" max="6393" width="16.1796875" style="2" customWidth="1"/>
    <col min="6394" max="6394" width="1.26953125" style="2" customWidth="1"/>
    <col min="6395" max="6395" width="17.81640625" style="2" bestFit="1" customWidth="1"/>
    <col min="6396" max="6396" width="15.54296875" style="2" bestFit="1" customWidth="1"/>
    <col min="6397" max="6397" width="16.1796875" style="2" customWidth="1"/>
    <col min="6398" max="6398" width="1.7265625" style="2" customWidth="1"/>
    <col min="6399" max="6400" width="15.453125" style="2" bestFit="1" customWidth="1"/>
    <col min="6401" max="6401" width="18.453125" style="2" customWidth="1"/>
    <col min="6402" max="6402" width="1.26953125" style="2" customWidth="1"/>
    <col min="6403" max="6404" width="15.453125" style="2" bestFit="1" customWidth="1"/>
    <col min="6405" max="6405" width="18.453125" style="2" customWidth="1"/>
    <col min="6406" max="6406" width="1.26953125" style="2" customWidth="1"/>
    <col min="6407" max="6408" width="15.453125" style="2" bestFit="1" customWidth="1"/>
    <col min="6409" max="6409" width="18.453125" style="2" customWidth="1"/>
    <col min="6410" max="6410" width="1.26953125" style="2" customWidth="1"/>
    <col min="6411" max="6412" width="15.453125" style="2" customWidth="1"/>
    <col min="6413" max="6413" width="18.453125" style="2" customWidth="1"/>
    <col min="6414" max="6414" width="1.26953125" style="2" customWidth="1"/>
    <col min="6415" max="6422" width="11.453125" style="2" customWidth="1"/>
    <col min="6423" max="6425" width="18.7265625" style="2" bestFit="1" customWidth="1"/>
    <col min="6426" max="6426" width="13.54296875" style="2" bestFit="1" customWidth="1"/>
    <col min="6427" max="6427" width="13.1796875" style="2" bestFit="1" customWidth="1"/>
    <col min="6428" max="6428" width="13.54296875" style="2" bestFit="1" customWidth="1"/>
    <col min="6429" max="6429" width="13.1796875" style="2" bestFit="1" customWidth="1"/>
    <col min="6430" max="6430" width="13.54296875" style="2" bestFit="1" customWidth="1"/>
    <col min="6431" max="6431" width="13.1796875" style="2" bestFit="1" customWidth="1"/>
    <col min="6432" max="6432" width="13.54296875" style="2" bestFit="1" customWidth="1"/>
    <col min="6433" max="6433" width="13.1796875" style="2" bestFit="1" customWidth="1"/>
    <col min="6434" max="6434" width="13.54296875" style="2" bestFit="1" customWidth="1"/>
    <col min="6435" max="6435" width="13.1796875" style="2" bestFit="1" customWidth="1"/>
    <col min="6436" max="6644" width="11.453125" style="2"/>
    <col min="6645" max="6645" width="27.453125" style="2" customWidth="1"/>
    <col min="6646" max="6646" width="1.453125" style="2" customWidth="1"/>
    <col min="6647" max="6647" width="17.81640625" style="2" bestFit="1" customWidth="1"/>
    <col min="6648" max="6648" width="15.54296875" style="2" bestFit="1" customWidth="1"/>
    <col min="6649" max="6649" width="16.1796875" style="2" customWidth="1"/>
    <col min="6650" max="6650" width="1.26953125" style="2" customWidth="1"/>
    <col min="6651" max="6651" width="17.81640625" style="2" bestFit="1" customWidth="1"/>
    <col min="6652" max="6652" width="15.54296875" style="2" bestFit="1" customWidth="1"/>
    <col min="6653" max="6653" width="16.1796875" style="2" customWidth="1"/>
    <col min="6654" max="6654" width="1.7265625" style="2" customWidth="1"/>
    <col min="6655" max="6656" width="15.453125" style="2" bestFit="1" customWidth="1"/>
    <col min="6657" max="6657" width="18.453125" style="2" customWidth="1"/>
    <col min="6658" max="6658" width="1.26953125" style="2" customWidth="1"/>
    <col min="6659" max="6660" width="15.453125" style="2" bestFit="1" customWidth="1"/>
    <col min="6661" max="6661" width="18.453125" style="2" customWidth="1"/>
    <col min="6662" max="6662" width="1.26953125" style="2" customWidth="1"/>
    <col min="6663" max="6664" width="15.453125" style="2" bestFit="1" customWidth="1"/>
    <col min="6665" max="6665" width="18.453125" style="2" customWidth="1"/>
    <col min="6666" max="6666" width="1.26953125" style="2" customWidth="1"/>
    <col min="6667" max="6668" width="15.453125" style="2" customWidth="1"/>
    <col min="6669" max="6669" width="18.453125" style="2" customWidth="1"/>
    <col min="6670" max="6670" width="1.26953125" style="2" customWidth="1"/>
    <col min="6671" max="6678" width="11.453125" style="2" customWidth="1"/>
    <col min="6679" max="6681" width="18.7265625" style="2" bestFit="1" customWidth="1"/>
    <col min="6682" max="6682" width="13.54296875" style="2" bestFit="1" customWidth="1"/>
    <col min="6683" max="6683" width="13.1796875" style="2" bestFit="1" customWidth="1"/>
    <col min="6684" max="6684" width="13.54296875" style="2" bestFit="1" customWidth="1"/>
    <col min="6685" max="6685" width="13.1796875" style="2" bestFit="1" customWidth="1"/>
    <col min="6686" max="6686" width="13.54296875" style="2" bestFit="1" customWidth="1"/>
    <col min="6687" max="6687" width="13.1796875" style="2" bestFit="1" customWidth="1"/>
    <col min="6688" max="6688" width="13.54296875" style="2" bestFit="1" customWidth="1"/>
    <col min="6689" max="6689" width="13.1796875" style="2" bestFit="1" customWidth="1"/>
    <col min="6690" max="6690" width="13.54296875" style="2" bestFit="1" customWidth="1"/>
    <col min="6691" max="6691" width="13.1796875" style="2" bestFit="1" customWidth="1"/>
    <col min="6692" max="6900" width="11.453125" style="2"/>
    <col min="6901" max="6901" width="27.453125" style="2" customWidth="1"/>
    <col min="6902" max="6902" width="1.453125" style="2" customWidth="1"/>
    <col min="6903" max="6903" width="17.81640625" style="2" bestFit="1" customWidth="1"/>
    <col min="6904" max="6904" width="15.54296875" style="2" bestFit="1" customWidth="1"/>
    <col min="6905" max="6905" width="16.1796875" style="2" customWidth="1"/>
    <col min="6906" max="6906" width="1.26953125" style="2" customWidth="1"/>
    <col min="6907" max="6907" width="17.81640625" style="2" bestFit="1" customWidth="1"/>
    <col min="6908" max="6908" width="15.54296875" style="2" bestFit="1" customWidth="1"/>
    <col min="6909" max="6909" width="16.1796875" style="2" customWidth="1"/>
    <col min="6910" max="6910" width="1.7265625" style="2" customWidth="1"/>
    <col min="6911" max="6912" width="15.453125" style="2" bestFit="1" customWidth="1"/>
    <col min="6913" max="6913" width="18.453125" style="2" customWidth="1"/>
    <col min="6914" max="6914" width="1.26953125" style="2" customWidth="1"/>
    <col min="6915" max="6916" width="15.453125" style="2" bestFit="1" customWidth="1"/>
    <col min="6917" max="6917" width="18.453125" style="2" customWidth="1"/>
    <col min="6918" max="6918" width="1.26953125" style="2" customWidth="1"/>
    <col min="6919" max="6920" width="15.453125" style="2" bestFit="1" customWidth="1"/>
    <col min="6921" max="6921" width="18.453125" style="2" customWidth="1"/>
    <col min="6922" max="6922" width="1.26953125" style="2" customWidth="1"/>
    <col min="6923" max="6924" width="15.453125" style="2" customWidth="1"/>
    <col min="6925" max="6925" width="18.453125" style="2" customWidth="1"/>
    <col min="6926" max="6926" width="1.26953125" style="2" customWidth="1"/>
    <col min="6927" max="6934" width="11.453125" style="2" customWidth="1"/>
    <col min="6935" max="6937" width="18.7265625" style="2" bestFit="1" customWidth="1"/>
    <col min="6938" max="6938" width="13.54296875" style="2" bestFit="1" customWidth="1"/>
    <col min="6939" max="6939" width="13.1796875" style="2" bestFit="1" customWidth="1"/>
    <col min="6940" max="6940" width="13.54296875" style="2" bestFit="1" customWidth="1"/>
    <col min="6941" max="6941" width="13.1796875" style="2" bestFit="1" customWidth="1"/>
    <col min="6942" max="6942" width="13.54296875" style="2" bestFit="1" customWidth="1"/>
    <col min="6943" max="6943" width="13.1796875" style="2" bestFit="1" customWidth="1"/>
    <col min="6944" max="6944" width="13.54296875" style="2" bestFit="1" customWidth="1"/>
    <col min="6945" max="6945" width="13.1796875" style="2" bestFit="1" customWidth="1"/>
    <col min="6946" max="6946" width="13.54296875" style="2" bestFit="1" customWidth="1"/>
    <col min="6947" max="6947" width="13.1796875" style="2" bestFit="1" customWidth="1"/>
    <col min="6948" max="7156" width="11.453125" style="2"/>
    <col min="7157" max="7157" width="27.453125" style="2" customWidth="1"/>
    <col min="7158" max="7158" width="1.453125" style="2" customWidth="1"/>
    <col min="7159" max="7159" width="17.81640625" style="2" bestFit="1" customWidth="1"/>
    <col min="7160" max="7160" width="15.54296875" style="2" bestFit="1" customWidth="1"/>
    <col min="7161" max="7161" width="16.1796875" style="2" customWidth="1"/>
    <col min="7162" max="7162" width="1.26953125" style="2" customWidth="1"/>
    <col min="7163" max="7163" width="17.81640625" style="2" bestFit="1" customWidth="1"/>
    <col min="7164" max="7164" width="15.54296875" style="2" bestFit="1" customWidth="1"/>
    <col min="7165" max="7165" width="16.1796875" style="2" customWidth="1"/>
    <col min="7166" max="7166" width="1.7265625" style="2" customWidth="1"/>
    <col min="7167" max="7168" width="15.453125" style="2" bestFit="1" customWidth="1"/>
    <col min="7169" max="7169" width="18.453125" style="2" customWidth="1"/>
    <col min="7170" max="7170" width="1.26953125" style="2" customWidth="1"/>
    <col min="7171" max="7172" width="15.453125" style="2" bestFit="1" customWidth="1"/>
    <col min="7173" max="7173" width="18.453125" style="2" customWidth="1"/>
    <col min="7174" max="7174" width="1.26953125" style="2" customWidth="1"/>
    <col min="7175" max="7176" width="15.453125" style="2" bestFit="1" customWidth="1"/>
    <col min="7177" max="7177" width="18.453125" style="2" customWidth="1"/>
    <col min="7178" max="7178" width="1.26953125" style="2" customWidth="1"/>
    <col min="7179" max="7180" width="15.453125" style="2" customWidth="1"/>
    <col min="7181" max="7181" width="18.453125" style="2" customWidth="1"/>
    <col min="7182" max="7182" width="1.26953125" style="2" customWidth="1"/>
    <col min="7183" max="7190" width="11.453125" style="2" customWidth="1"/>
    <col min="7191" max="7193" width="18.7265625" style="2" bestFit="1" customWidth="1"/>
    <col min="7194" max="7194" width="13.54296875" style="2" bestFit="1" customWidth="1"/>
    <col min="7195" max="7195" width="13.1796875" style="2" bestFit="1" customWidth="1"/>
    <col min="7196" max="7196" width="13.54296875" style="2" bestFit="1" customWidth="1"/>
    <col min="7197" max="7197" width="13.1796875" style="2" bestFit="1" customWidth="1"/>
    <col min="7198" max="7198" width="13.54296875" style="2" bestFit="1" customWidth="1"/>
    <col min="7199" max="7199" width="13.1796875" style="2" bestFit="1" customWidth="1"/>
    <col min="7200" max="7200" width="13.54296875" style="2" bestFit="1" customWidth="1"/>
    <col min="7201" max="7201" width="13.1796875" style="2" bestFit="1" customWidth="1"/>
    <col min="7202" max="7202" width="13.54296875" style="2" bestFit="1" customWidth="1"/>
    <col min="7203" max="7203" width="13.1796875" style="2" bestFit="1" customWidth="1"/>
    <col min="7204" max="7412" width="11.453125" style="2"/>
    <col min="7413" max="7413" width="27.453125" style="2" customWidth="1"/>
    <col min="7414" max="7414" width="1.453125" style="2" customWidth="1"/>
    <col min="7415" max="7415" width="17.81640625" style="2" bestFit="1" customWidth="1"/>
    <col min="7416" max="7416" width="15.54296875" style="2" bestFit="1" customWidth="1"/>
    <col min="7417" max="7417" width="16.1796875" style="2" customWidth="1"/>
    <col min="7418" max="7418" width="1.26953125" style="2" customWidth="1"/>
    <col min="7419" max="7419" width="17.81640625" style="2" bestFit="1" customWidth="1"/>
    <col min="7420" max="7420" width="15.54296875" style="2" bestFit="1" customWidth="1"/>
    <col min="7421" max="7421" width="16.1796875" style="2" customWidth="1"/>
    <col min="7422" max="7422" width="1.7265625" style="2" customWidth="1"/>
    <col min="7423" max="7424" width="15.453125" style="2" bestFit="1" customWidth="1"/>
    <col min="7425" max="7425" width="18.453125" style="2" customWidth="1"/>
    <col min="7426" max="7426" width="1.26953125" style="2" customWidth="1"/>
    <col min="7427" max="7428" width="15.453125" style="2" bestFit="1" customWidth="1"/>
    <col min="7429" max="7429" width="18.453125" style="2" customWidth="1"/>
    <col min="7430" max="7430" width="1.26953125" style="2" customWidth="1"/>
    <col min="7431" max="7432" width="15.453125" style="2" bestFit="1" customWidth="1"/>
    <col min="7433" max="7433" width="18.453125" style="2" customWidth="1"/>
    <col min="7434" max="7434" width="1.26953125" style="2" customWidth="1"/>
    <col min="7435" max="7436" width="15.453125" style="2" customWidth="1"/>
    <col min="7437" max="7437" width="18.453125" style="2" customWidth="1"/>
    <col min="7438" max="7438" width="1.26953125" style="2" customWidth="1"/>
    <col min="7439" max="7446" width="11.453125" style="2" customWidth="1"/>
    <col min="7447" max="7449" width="18.7265625" style="2" bestFit="1" customWidth="1"/>
    <col min="7450" max="7450" width="13.54296875" style="2" bestFit="1" customWidth="1"/>
    <col min="7451" max="7451" width="13.1796875" style="2" bestFit="1" customWidth="1"/>
    <col min="7452" max="7452" width="13.54296875" style="2" bestFit="1" customWidth="1"/>
    <col min="7453" max="7453" width="13.1796875" style="2" bestFit="1" customWidth="1"/>
    <col min="7454" max="7454" width="13.54296875" style="2" bestFit="1" customWidth="1"/>
    <col min="7455" max="7455" width="13.1796875" style="2" bestFit="1" customWidth="1"/>
    <col min="7456" max="7456" width="13.54296875" style="2" bestFit="1" customWidth="1"/>
    <col min="7457" max="7457" width="13.1796875" style="2" bestFit="1" customWidth="1"/>
    <col min="7458" max="7458" width="13.54296875" style="2" bestFit="1" customWidth="1"/>
    <col min="7459" max="7459" width="13.1796875" style="2" bestFit="1" customWidth="1"/>
    <col min="7460" max="7668" width="11.453125" style="2"/>
    <col min="7669" max="7669" width="27.453125" style="2" customWidth="1"/>
    <col min="7670" max="7670" width="1.453125" style="2" customWidth="1"/>
    <col min="7671" max="7671" width="17.81640625" style="2" bestFit="1" customWidth="1"/>
    <col min="7672" max="7672" width="15.54296875" style="2" bestFit="1" customWidth="1"/>
    <col min="7673" max="7673" width="16.1796875" style="2" customWidth="1"/>
    <col min="7674" max="7674" width="1.26953125" style="2" customWidth="1"/>
    <col min="7675" max="7675" width="17.81640625" style="2" bestFit="1" customWidth="1"/>
    <col min="7676" max="7676" width="15.54296875" style="2" bestFit="1" customWidth="1"/>
    <col min="7677" max="7677" width="16.1796875" style="2" customWidth="1"/>
    <col min="7678" max="7678" width="1.7265625" style="2" customWidth="1"/>
    <col min="7679" max="7680" width="15.453125" style="2" bestFit="1" customWidth="1"/>
    <col min="7681" max="7681" width="18.453125" style="2" customWidth="1"/>
    <col min="7682" max="7682" width="1.26953125" style="2" customWidth="1"/>
    <col min="7683" max="7684" width="15.453125" style="2" bestFit="1" customWidth="1"/>
    <col min="7685" max="7685" width="18.453125" style="2" customWidth="1"/>
    <col min="7686" max="7686" width="1.26953125" style="2" customWidth="1"/>
    <col min="7687" max="7688" width="15.453125" style="2" bestFit="1" customWidth="1"/>
    <col min="7689" max="7689" width="18.453125" style="2" customWidth="1"/>
    <col min="7690" max="7690" width="1.26953125" style="2" customWidth="1"/>
    <col min="7691" max="7692" width="15.453125" style="2" customWidth="1"/>
    <col min="7693" max="7693" width="18.453125" style="2" customWidth="1"/>
    <col min="7694" max="7694" width="1.26953125" style="2" customWidth="1"/>
    <col min="7695" max="7702" width="11.453125" style="2" customWidth="1"/>
    <col min="7703" max="7705" width="18.7265625" style="2" bestFit="1" customWidth="1"/>
    <col min="7706" max="7706" width="13.54296875" style="2" bestFit="1" customWidth="1"/>
    <col min="7707" max="7707" width="13.1796875" style="2" bestFit="1" customWidth="1"/>
    <col min="7708" max="7708" width="13.54296875" style="2" bestFit="1" customWidth="1"/>
    <col min="7709" max="7709" width="13.1796875" style="2" bestFit="1" customWidth="1"/>
    <col min="7710" max="7710" width="13.54296875" style="2" bestFit="1" customWidth="1"/>
    <col min="7711" max="7711" width="13.1796875" style="2" bestFit="1" customWidth="1"/>
    <col min="7712" max="7712" width="13.54296875" style="2" bestFit="1" customWidth="1"/>
    <col min="7713" max="7713" width="13.1796875" style="2" bestFit="1" customWidth="1"/>
    <col min="7714" max="7714" width="13.54296875" style="2" bestFit="1" customWidth="1"/>
    <col min="7715" max="7715" width="13.1796875" style="2" bestFit="1" customWidth="1"/>
    <col min="7716" max="7924" width="11.453125" style="2"/>
    <col min="7925" max="7925" width="27.453125" style="2" customWidth="1"/>
    <col min="7926" max="7926" width="1.453125" style="2" customWidth="1"/>
    <col min="7927" max="7927" width="17.81640625" style="2" bestFit="1" customWidth="1"/>
    <col min="7928" max="7928" width="15.54296875" style="2" bestFit="1" customWidth="1"/>
    <col min="7929" max="7929" width="16.1796875" style="2" customWidth="1"/>
    <col min="7930" max="7930" width="1.26953125" style="2" customWidth="1"/>
    <col min="7931" max="7931" width="17.81640625" style="2" bestFit="1" customWidth="1"/>
    <col min="7932" max="7932" width="15.54296875" style="2" bestFit="1" customWidth="1"/>
    <col min="7933" max="7933" width="16.1796875" style="2" customWidth="1"/>
    <col min="7934" max="7934" width="1.7265625" style="2" customWidth="1"/>
    <col min="7935" max="7936" width="15.453125" style="2" bestFit="1" customWidth="1"/>
    <col min="7937" max="7937" width="18.453125" style="2" customWidth="1"/>
    <col min="7938" max="7938" width="1.26953125" style="2" customWidth="1"/>
    <col min="7939" max="7940" width="15.453125" style="2" bestFit="1" customWidth="1"/>
    <col min="7941" max="7941" width="18.453125" style="2" customWidth="1"/>
    <col min="7942" max="7942" width="1.26953125" style="2" customWidth="1"/>
    <col min="7943" max="7944" width="15.453125" style="2" bestFit="1" customWidth="1"/>
    <col min="7945" max="7945" width="18.453125" style="2" customWidth="1"/>
    <col min="7946" max="7946" width="1.26953125" style="2" customWidth="1"/>
    <col min="7947" max="7948" width="15.453125" style="2" customWidth="1"/>
    <col min="7949" max="7949" width="18.453125" style="2" customWidth="1"/>
    <col min="7950" max="7950" width="1.26953125" style="2" customWidth="1"/>
    <col min="7951" max="7958" width="11.453125" style="2" customWidth="1"/>
    <col min="7959" max="7961" width="18.7265625" style="2" bestFit="1" customWidth="1"/>
    <col min="7962" max="7962" width="13.54296875" style="2" bestFit="1" customWidth="1"/>
    <col min="7963" max="7963" width="13.1796875" style="2" bestFit="1" customWidth="1"/>
    <col min="7964" max="7964" width="13.54296875" style="2" bestFit="1" customWidth="1"/>
    <col min="7965" max="7965" width="13.1796875" style="2" bestFit="1" customWidth="1"/>
    <col min="7966" max="7966" width="13.54296875" style="2" bestFit="1" customWidth="1"/>
    <col min="7967" max="7967" width="13.1796875" style="2" bestFit="1" customWidth="1"/>
    <col min="7968" max="7968" width="13.54296875" style="2" bestFit="1" customWidth="1"/>
    <col min="7969" max="7969" width="13.1796875" style="2" bestFit="1" customWidth="1"/>
    <col min="7970" max="7970" width="13.54296875" style="2" bestFit="1" customWidth="1"/>
    <col min="7971" max="7971" width="13.1796875" style="2" bestFit="1" customWidth="1"/>
    <col min="7972" max="8180" width="11.453125" style="2"/>
    <col min="8181" max="8181" width="27.453125" style="2" customWidth="1"/>
    <col min="8182" max="8182" width="1.453125" style="2" customWidth="1"/>
    <col min="8183" max="8183" width="17.81640625" style="2" bestFit="1" customWidth="1"/>
    <col min="8184" max="8184" width="15.54296875" style="2" bestFit="1" customWidth="1"/>
    <col min="8185" max="8185" width="16.1796875" style="2" customWidth="1"/>
    <col min="8186" max="8186" width="1.26953125" style="2" customWidth="1"/>
    <col min="8187" max="8187" width="17.81640625" style="2" bestFit="1" customWidth="1"/>
    <col min="8188" max="8188" width="15.54296875" style="2" bestFit="1" customWidth="1"/>
    <col min="8189" max="8189" width="16.1796875" style="2" customWidth="1"/>
    <col min="8190" max="8190" width="1.7265625" style="2" customWidth="1"/>
    <col min="8191" max="8192" width="15.453125" style="2" bestFit="1" customWidth="1"/>
    <col min="8193" max="8193" width="18.453125" style="2" customWidth="1"/>
    <col min="8194" max="8194" width="1.26953125" style="2" customWidth="1"/>
    <col min="8195" max="8196" width="15.453125" style="2" bestFit="1" customWidth="1"/>
    <col min="8197" max="8197" width="18.453125" style="2" customWidth="1"/>
    <col min="8198" max="8198" width="1.26953125" style="2" customWidth="1"/>
    <col min="8199" max="8200" width="15.453125" style="2" bestFit="1" customWidth="1"/>
    <col min="8201" max="8201" width="18.453125" style="2" customWidth="1"/>
    <col min="8202" max="8202" width="1.26953125" style="2" customWidth="1"/>
    <col min="8203" max="8204" width="15.453125" style="2" customWidth="1"/>
    <col min="8205" max="8205" width="18.453125" style="2" customWidth="1"/>
    <col min="8206" max="8206" width="1.26953125" style="2" customWidth="1"/>
    <col min="8207" max="8214" width="11.453125" style="2" customWidth="1"/>
    <col min="8215" max="8217" width="18.7265625" style="2" bestFit="1" customWidth="1"/>
    <col min="8218" max="8218" width="13.54296875" style="2" bestFit="1" customWidth="1"/>
    <col min="8219" max="8219" width="13.1796875" style="2" bestFit="1" customWidth="1"/>
    <col min="8220" max="8220" width="13.54296875" style="2" bestFit="1" customWidth="1"/>
    <col min="8221" max="8221" width="13.1796875" style="2" bestFit="1" customWidth="1"/>
    <col min="8222" max="8222" width="13.54296875" style="2" bestFit="1" customWidth="1"/>
    <col min="8223" max="8223" width="13.1796875" style="2" bestFit="1" customWidth="1"/>
    <col min="8224" max="8224" width="13.54296875" style="2" bestFit="1" customWidth="1"/>
    <col min="8225" max="8225" width="13.1796875" style="2" bestFit="1" customWidth="1"/>
    <col min="8226" max="8226" width="13.54296875" style="2" bestFit="1" customWidth="1"/>
    <col min="8227" max="8227" width="13.1796875" style="2" bestFit="1" customWidth="1"/>
    <col min="8228" max="8436" width="11.453125" style="2"/>
    <col min="8437" max="8437" width="27.453125" style="2" customWidth="1"/>
    <col min="8438" max="8438" width="1.453125" style="2" customWidth="1"/>
    <col min="8439" max="8439" width="17.81640625" style="2" bestFit="1" customWidth="1"/>
    <col min="8440" max="8440" width="15.54296875" style="2" bestFit="1" customWidth="1"/>
    <col min="8441" max="8441" width="16.1796875" style="2" customWidth="1"/>
    <col min="8442" max="8442" width="1.26953125" style="2" customWidth="1"/>
    <col min="8443" max="8443" width="17.81640625" style="2" bestFit="1" customWidth="1"/>
    <col min="8444" max="8444" width="15.54296875" style="2" bestFit="1" customWidth="1"/>
    <col min="8445" max="8445" width="16.1796875" style="2" customWidth="1"/>
    <col min="8446" max="8446" width="1.7265625" style="2" customWidth="1"/>
    <col min="8447" max="8448" width="15.453125" style="2" bestFit="1" customWidth="1"/>
    <col min="8449" max="8449" width="18.453125" style="2" customWidth="1"/>
    <col min="8450" max="8450" width="1.26953125" style="2" customWidth="1"/>
    <col min="8451" max="8452" width="15.453125" style="2" bestFit="1" customWidth="1"/>
    <col min="8453" max="8453" width="18.453125" style="2" customWidth="1"/>
    <col min="8454" max="8454" width="1.26953125" style="2" customWidth="1"/>
    <col min="8455" max="8456" width="15.453125" style="2" bestFit="1" customWidth="1"/>
    <col min="8457" max="8457" width="18.453125" style="2" customWidth="1"/>
    <col min="8458" max="8458" width="1.26953125" style="2" customWidth="1"/>
    <col min="8459" max="8460" width="15.453125" style="2" customWidth="1"/>
    <col min="8461" max="8461" width="18.453125" style="2" customWidth="1"/>
    <col min="8462" max="8462" width="1.26953125" style="2" customWidth="1"/>
    <col min="8463" max="8470" width="11.453125" style="2" customWidth="1"/>
    <col min="8471" max="8473" width="18.7265625" style="2" bestFit="1" customWidth="1"/>
    <col min="8474" max="8474" width="13.54296875" style="2" bestFit="1" customWidth="1"/>
    <col min="8475" max="8475" width="13.1796875" style="2" bestFit="1" customWidth="1"/>
    <col min="8476" max="8476" width="13.54296875" style="2" bestFit="1" customWidth="1"/>
    <col min="8477" max="8477" width="13.1796875" style="2" bestFit="1" customWidth="1"/>
    <col min="8478" max="8478" width="13.54296875" style="2" bestFit="1" customWidth="1"/>
    <col min="8479" max="8479" width="13.1796875" style="2" bestFit="1" customWidth="1"/>
    <col min="8480" max="8480" width="13.54296875" style="2" bestFit="1" customWidth="1"/>
    <col min="8481" max="8481" width="13.1796875" style="2" bestFit="1" customWidth="1"/>
    <col min="8482" max="8482" width="13.54296875" style="2" bestFit="1" customWidth="1"/>
    <col min="8483" max="8483" width="13.1796875" style="2" bestFit="1" customWidth="1"/>
    <col min="8484" max="8692" width="11.453125" style="2"/>
    <col min="8693" max="8693" width="27.453125" style="2" customWidth="1"/>
    <col min="8694" max="8694" width="1.453125" style="2" customWidth="1"/>
    <col min="8695" max="8695" width="17.81640625" style="2" bestFit="1" customWidth="1"/>
    <col min="8696" max="8696" width="15.54296875" style="2" bestFit="1" customWidth="1"/>
    <col min="8697" max="8697" width="16.1796875" style="2" customWidth="1"/>
    <col min="8698" max="8698" width="1.26953125" style="2" customWidth="1"/>
    <col min="8699" max="8699" width="17.81640625" style="2" bestFit="1" customWidth="1"/>
    <col min="8700" max="8700" width="15.54296875" style="2" bestFit="1" customWidth="1"/>
    <col min="8701" max="8701" width="16.1796875" style="2" customWidth="1"/>
    <col min="8702" max="8702" width="1.7265625" style="2" customWidth="1"/>
    <col min="8703" max="8704" width="15.453125" style="2" bestFit="1" customWidth="1"/>
    <col min="8705" max="8705" width="18.453125" style="2" customWidth="1"/>
    <col min="8706" max="8706" width="1.26953125" style="2" customWidth="1"/>
    <col min="8707" max="8708" width="15.453125" style="2" bestFit="1" customWidth="1"/>
    <col min="8709" max="8709" width="18.453125" style="2" customWidth="1"/>
    <col min="8710" max="8710" width="1.26953125" style="2" customWidth="1"/>
    <col min="8711" max="8712" width="15.453125" style="2" bestFit="1" customWidth="1"/>
    <col min="8713" max="8713" width="18.453125" style="2" customWidth="1"/>
    <col min="8714" max="8714" width="1.26953125" style="2" customWidth="1"/>
    <col min="8715" max="8716" width="15.453125" style="2" customWidth="1"/>
    <col min="8717" max="8717" width="18.453125" style="2" customWidth="1"/>
    <col min="8718" max="8718" width="1.26953125" style="2" customWidth="1"/>
    <col min="8719" max="8726" width="11.453125" style="2" customWidth="1"/>
    <col min="8727" max="8729" width="18.7265625" style="2" bestFit="1" customWidth="1"/>
    <col min="8730" max="8730" width="13.54296875" style="2" bestFit="1" customWidth="1"/>
    <col min="8731" max="8731" width="13.1796875" style="2" bestFit="1" customWidth="1"/>
    <col min="8732" max="8732" width="13.54296875" style="2" bestFit="1" customWidth="1"/>
    <col min="8733" max="8733" width="13.1796875" style="2" bestFit="1" customWidth="1"/>
    <col min="8734" max="8734" width="13.54296875" style="2" bestFit="1" customWidth="1"/>
    <col min="8735" max="8735" width="13.1796875" style="2" bestFit="1" customWidth="1"/>
    <col min="8736" max="8736" width="13.54296875" style="2" bestFit="1" customWidth="1"/>
    <col min="8737" max="8737" width="13.1796875" style="2" bestFit="1" customWidth="1"/>
    <col min="8738" max="8738" width="13.54296875" style="2" bestFit="1" customWidth="1"/>
    <col min="8739" max="8739" width="13.1796875" style="2" bestFit="1" customWidth="1"/>
    <col min="8740" max="8948" width="11.453125" style="2"/>
    <col min="8949" max="8949" width="27.453125" style="2" customWidth="1"/>
    <col min="8950" max="8950" width="1.453125" style="2" customWidth="1"/>
    <col min="8951" max="8951" width="17.81640625" style="2" bestFit="1" customWidth="1"/>
    <col min="8952" max="8952" width="15.54296875" style="2" bestFit="1" customWidth="1"/>
    <col min="8953" max="8953" width="16.1796875" style="2" customWidth="1"/>
    <col min="8954" max="8954" width="1.26953125" style="2" customWidth="1"/>
    <col min="8955" max="8955" width="17.81640625" style="2" bestFit="1" customWidth="1"/>
    <col min="8956" max="8956" width="15.54296875" style="2" bestFit="1" customWidth="1"/>
    <col min="8957" max="8957" width="16.1796875" style="2" customWidth="1"/>
    <col min="8958" max="8958" width="1.7265625" style="2" customWidth="1"/>
    <col min="8959" max="8960" width="15.453125" style="2" bestFit="1" customWidth="1"/>
    <col min="8961" max="8961" width="18.453125" style="2" customWidth="1"/>
    <col min="8962" max="8962" width="1.26953125" style="2" customWidth="1"/>
    <col min="8963" max="8964" width="15.453125" style="2" bestFit="1" customWidth="1"/>
    <col min="8965" max="8965" width="18.453125" style="2" customWidth="1"/>
    <col min="8966" max="8966" width="1.26953125" style="2" customWidth="1"/>
    <col min="8967" max="8968" width="15.453125" style="2" bestFit="1" customWidth="1"/>
    <col min="8969" max="8969" width="18.453125" style="2" customWidth="1"/>
    <col min="8970" max="8970" width="1.26953125" style="2" customWidth="1"/>
    <col min="8971" max="8972" width="15.453125" style="2" customWidth="1"/>
    <col min="8973" max="8973" width="18.453125" style="2" customWidth="1"/>
    <col min="8974" max="8974" width="1.26953125" style="2" customWidth="1"/>
    <col min="8975" max="8982" width="11.453125" style="2" customWidth="1"/>
    <col min="8983" max="8985" width="18.7265625" style="2" bestFit="1" customWidth="1"/>
    <col min="8986" max="8986" width="13.54296875" style="2" bestFit="1" customWidth="1"/>
    <col min="8987" max="8987" width="13.1796875" style="2" bestFit="1" customWidth="1"/>
    <col min="8988" max="8988" width="13.54296875" style="2" bestFit="1" customWidth="1"/>
    <col min="8989" max="8989" width="13.1796875" style="2" bestFit="1" customWidth="1"/>
    <col min="8990" max="8990" width="13.54296875" style="2" bestFit="1" customWidth="1"/>
    <col min="8991" max="8991" width="13.1796875" style="2" bestFit="1" customWidth="1"/>
    <col min="8992" max="8992" width="13.54296875" style="2" bestFit="1" customWidth="1"/>
    <col min="8993" max="8993" width="13.1796875" style="2" bestFit="1" customWidth="1"/>
    <col min="8994" max="8994" width="13.54296875" style="2" bestFit="1" customWidth="1"/>
    <col min="8995" max="8995" width="13.1796875" style="2" bestFit="1" customWidth="1"/>
    <col min="8996" max="9204" width="11.453125" style="2"/>
    <col min="9205" max="9205" width="27.453125" style="2" customWidth="1"/>
    <col min="9206" max="9206" width="1.453125" style="2" customWidth="1"/>
    <col min="9207" max="9207" width="17.81640625" style="2" bestFit="1" customWidth="1"/>
    <col min="9208" max="9208" width="15.54296875" style="2" bestFit="1" customWidth="1"/>
    <col min="9209" max="9209" width="16.1796875" style="2" customWidth="1"/>
    <col min="9210" max="9210" width="1.26953125" style="2" customWidth="1"/>
    <col min="9211" max="9211" width="17.81640625" style="2" bestFit="1" customWidth="1"/>
    <col min="9212" max="9212" width="15.54296875" style="2" bestFit="1" customWidth="1"/>
    <col min="9213" max="9213" width="16.1796875" style="2" customWidth="1"/>
    <col min="9214" max="9214" width="1.7265625" style="2" customWidth="1"/>
    <col min="9215" max="9216" width="15.453125" style="2" bestFit="1" customWidth="1"/>
    <col min="9217" max="9217" width="18.453125" style="2" customWidth="1"/>
    <col min="9218" max="9218" width="1.26953125" style="2" customWidth="1"/>
    <col min="9219" max="9220" width="15.453125" style="2" bestFit="1" customWidth="1"/>
    <col min="9221" max="9221" width="18.453125" style="2" customWidth="1"/>
    <col min="9222" max="9222" width="1.26953125" style="2" customWidth="1"/>
    <col min="9223" max="9224" width="15.453125" style="2" bestFit="1" customWidth="1"/>
    <col min="9225" max="9225" width="18.453125" style="2" customWidth="1"/>
    <col min="9226" max="9226" width="1.26953125" style="2" customWidth="1"/>
    <col min="9227" max="9228" width="15.453125" style="2" customWidth="1"/>
    <col min="9229" max="9229" width="18.453125" style="2" customWidth="1"/>
    <col min="9230" max="9230" width="1.26953125" style="2" customWidth="1"/>
    <col min="9231" max="9238" width="11.453125" style="2" customWidth="1"/>
    <col min="9239" max="9241" width="18.7265625" style="2" bestFit="1" customWidth="1"/>
    <col min="9242" max="9242" width="13.54296875" style="2" bestFit="1" customWidth="1"/>
    <col min="9243" max="9243" width="13.1796875" style="2" bestFit="1" customWidth="1"/>
    <col min="9244" max="9244" width="13.54296875" style="2" bestFit="1" customWidth="1"/>
    <col min="9245" max="9245" width="13.1796875" style="2" bestFit="1" customWidth="1"/>
    <col min="9246" max="9246" width="13.54296875" style="2" bestFit="1" customWidth="1"/>
    <col min="9247" max="9247" width="13.1796875" style="2" bestFit="1" customWidth="1"/>
    <col min="9248" max="9248" width="13.54296875" style="2" bestFit="1" customWidth="1"/>
    <col min="9249" max="9249" width="13.1796875" style="2" bestFit="1" customWidth="1"/>
    <col min="9250" max="9250" width="13.54296875" style="2" bestFit="1" customWidth="1"/>
    <col min="9251" max="9251" width="13.1796875" style="2" bestFit="1" customWidth="1"/>
    <col min="9252" max="9460" width="11.453125" style="2"/>
    <col min="9461" max="9461" width="27.453125" style="2" customWidth="1"/>
    <col min="9462" max="9462" width="1.453125" style="2" customWidth="1"/>
    <col min="9463" max="9463" width="17.81640625" style="2" bestFit="1" customWidth="1"/>
    <col min="9464" max="9464" width="15.54296875" style="2" bestFit="1" customWidth="1"/>
    <col min="9465" max="9465" width="16.1796875" style="2" customWidth="1"/>
    <col min="9466" max="9466" width="1.26953125" style="2" customWidth="1"/>
    <col min="9467" max="9467" width="17.81640625" style="2" bestFit="1" customWidth="1"/>
    <col min="9468" max="9468" width="15.54296875" style="2" bestFit="1" customWidth="1"/>
    <col min="9469" max="9469" width="16.1796875" style="2" customWidth="1"/>
    <col min="9470" max="9470" width="1.7265625" style="2" customWidth="1"/>
    <col min="9471" max="9472" width="15.453125" style="2" bestFit="1" customWidth="1"/>
    <col min="9473" max="9473" width="18.453125" style="2" customWidth="1"/>
    <col min="9474" max="9474" width="1.26953125" style="2" customWidth="1"/>
    <col min="9475" max="9476" width="15.453125" style="2" bestFit="1" customWidth="1"/>
    <col min="9477" max="9477" width="18.453125" style="2" customWidth="1"/>
    <col min="9478" max="9478" width="1.26953125" style="2" customWidth="1"/>
    <col min="9479" max="9480" width="15.453125" style="2" bestFit="1" customWidth="1"/>
    <col min="9481" max="9481" width="18.453125" style="2" customWidth="1"/>
    <col min="9482" max="9482" width="1.26953125" style="2" customWidth="1"/>
    <col min="9483" max="9484" width="15.453125" style="2" customWidth="1"/>
    <col min="9485" max="9485" width="18.453125" style="2" customWidth="1"/>
    <col min="9486" max="9486" width="1.26953125" style="2" customWidth="1"/>
    <col min="9487" max="9494" width="11.453125" style="2" customWidth="1"/>
    <col min="9495" max="9497" width="18.7265625" style="2" bestFit="1" customWidth="1"/>
    <col min="9498" max="9498" width="13.54296875" style="2" bestFit="1" customWidth="1"/>
    <col min="9499" max="9499" width="13.1796875" style="2" bestFit="1" customWidth="1"/>
    <col min="9500" max="9500" width="13.54296875" style="2" bestFit="1" customWidth="1"/>
    <col min="9501" max="9501" width="13.1796875" style="2" bestFit="1" customWidth="1"/>
    <col min="9502" max="9502" width="13.54296875" style="2" bestFit="1" customWidth="1"/>
    <col min="9503" max="9503" width="13.1796875" style="2" bestFit="1" customWidth="1"/>
    <col min="9504" max="9504" width="13.54296875" style="2" bestFit="1" customWidth="1"/>
    <col min="9505" max="9505" width="13.1796875" style="2" bestFit="1" customWidth="1"/>
    <col min="9506" max="9506" width="13.54296875" style="2" bestFit="1" customWidth="1"/>
    <col min="9507" max="9507" width="13.1796875" style="2" bestFit="1" customWidth="1"/>
    <col min="9508" max="9716" width="11.453125" style="2"/>
    <col min="9717" max="9717" width="27.453125" style="2" customWidth="1"/>
    <col min="9718" max="9718" width="1.453125" style="2" customWidth="1"/>
    <col min="9719" max="9719" width="17.81640625" style="2" bestFit="1" customWidth="1"/>
    <col min="9720" max="9720" width="15.54296875" style="2" bestFit="1" customWidth="1"/>
    <col min="9721" max="9721" width="16.1796875" style="2" customWidth="1"/>
    <col min="9722" max="9722" width="1.26953125" style="2" customWidth="1"/>
    <col min="9723" max="9723" width="17.81640625" style="2" bestFit="1" customWidth="1"/>
    <col min="9724" max="9724" width="15.54296875" style="2" bestFit="1" customWidth="1"/>
    <col min="9725" max="9725" width="16.1796875" style="2" customWidth="1"/>
    <col min="9726" max="9726" width="1.7265625" style="2" customWidth="1"/>
    <col min="9727" max="9728" width="15.453125" style="2" bestFit="1" customWidth="1"/>
    <col min="9729" max="9729" width="18.453125" style="2" customWidth="1"/>
    <col min="9730" max="9730" width="1.26953125" style="2" customWidth="1"/>
    <col min="9731" max="9732" width="15.453125" style="2" bestFit="1" customWidth="1"/>
    <col min="9733" max="9733" width="18.453125" style="2" customWidth="1"/>
    <col min="9734" max="9734" width="1.26953125" style="2" customWidth="1"/>
    <col min="9735" max="9736" width="15.453125" style="2" bestFit="1" customWidth="1"/>
    <col min="9737" max="9737" width="18.453125" style="2" customWidth="1"/>
    <col min="9738" max="9738" width="1.26953125" style="2" customWidth="1"/>
    <col min="9739" max="9740" width="15.453125" style="2" customWidth="1"/>
    <col min="9741" max="9741" width="18.453125" style="2" customWidth="1"/>
    <col min="9742" max="9742" width="1.26953125" style="2" customWidth="1"/>
    <col min="9743" max="9750" width="11.453125" style="2" customWidth="1"/>
    <col min="9751" max="9753" width="18.7265625" style="2" bestFit="1" customWidth="1"/>
    <col min="9754" max="9754" width="13.54296875" style="2" bestFit="1" customWidth="1"/>
    <col min="9755" max="9755" width="13.1796875" style="2" bestFit="1" customWidth="1"/>
    <col min="9756" max="9756" width="13.54296875" style="2" bestFit="1" customWidth="1"/>
    <col min="9757" max="9757" width="13.1796875" style="2" bestFit="1" customWidth="1"/>
    <col min="9758" max="9758" width="13.54296875" style="2" bestFit="1" customWidth="1"/>
    <col min="9759" max="9759" width="13.1796875" style="2" bestFit="1" customWidth="1"/>
    <col min="9760" max="9760" width="13.54296875" style="2" bestFit="1" customWidth="1"/>
    <col min="9761" max="9761" width="13.1796875" style="2" bestFit="1" customWidth="1"/>
    <col min="9762" max="9762" width="13.54296875" style="2" bestFit="1" customWidth="1"/>
    <col min="9763" max="9763" width="13.1796875" style="2" bestFit="1" customWidth="1"/>
    <col min="9764" max="9972" width="11.453125" style="2"/>
    <col min="9973" max="9973" width="27.453125" style="2" customWidth="1"/>
    <col min="9974" max="9974" width="1.453125" style="2" customWidth="1"/>
    <col min="9975" max="9975" width="17.81640625" style="2" bestFit="1" customWidth="1"/>
    <col min="9976" max="9976" width="15.54296875" style="2" bestFit="1" customWidth="1"/>
    <col min="9977" max="9977" width="16.1796875" style="2" customWidth="1"/>
    <col min="9978" max="9978" width="1.26953125" style="2" customWidth="1"/>
    <col min="9979" max="9979" width="17.81640625" style="2" bestFit="1" customWidth="1"/>
    <col min="9980" max="9980" width="15.54296875" style="2" bestFit="1" customWidth="1"/>
    <col min="9981" max="9981" width="16.1796875" style="2" customWidth="1"/>
    <col min="9982" max="9982" width="1.7265625" style="2" customWidth="1"/>
    <col min="9983" max="9984" width="15.453125" style="2" bestFit="1" customWidth="1"/>
    <col min="9985" max="9985" width="18.453125" style="2" customWidth="1"/>
    <col min="9986" max="9986" width="1.26953125" style="2" customWidth="1"/>
    <col min="9987" max="9988" width="15.453125" style="2" bestFit="1" customWidth="1"/>
    <col min="9989" max="9989" width="18.453125" style="2" customWidth="1"/>
    <col min="9990" max="9990" width="1.26953125" style="2" customWidth="1"/>
    <col min="9991" max="9992" width="15.453125" style="2" bestFit="1" customWidth="1"/>
    <col min="9993" max="9993" width="18.453125" style="2" customWidth="1"/>
    <col min="9994" max="9994" width="1.26953125" style="2" customWidth="1"/>
    <col min="9995" max="9996" width="15.453125" style="2" customWidth="1"/>
    <col min="9997" max="9997" width="18.453125" style="2" customWidth="1"/>
    <col min="9998" max="9998" width="1.26953125" style="2" customWidth="1"/>
    <col min="9999" max="10006" width="11.453125" style="2" customWidth="1"/>
    <col min="10007" max="10009" width="18.7265625" style="2" bestFit="1" customWidth="1"/>
    <col min="10010" max="10010" width="13.54296875" style="2" bestFit="1" customWidth="1"/>
    <col min="10011" max="10011" width="13.1796875" style="2" bestFit="1" customWidth="1"/>
    <col min="10012" max="10012" width="13.54296875" style="2" bestFit="1" customWidth="1"/>
    <col min="10013" max="10013" width="13.1796875" style="2" bestFit="1" customWidth="1"/>
    <col min="10014" max="10014" width="13.54296875" style="2" bestFit="1" customWidth="1"/>
    <col min="10015" max="10015" width="13.1796875" style="2" bestFit="1" customWidth="1"/>
    <col min="10016" max="10016" width="13.54296875" style="2" bestFit="1" customWidth="1"/>
    <col min="10017" max="10017" width="13.1796875" style="2" bestFit="1" customWidth="1"/>
    <col min="10018" max="10018" width="13.54296875" style="2" bestFit="1" customWidth="1"/>
    <col min="10019" max="10019" width="13.1796875" style="2" bestFit="1" customWidth="1"/>
    <col min="10020" max="10228" width="11.453125" style="2"/>
    <col min="10229" max="10229" width="27.453125" style="2" customWidth="1"/>
    <col min="10230" max="10230" width="1.453125" style="2" customWidth="1"/>
    <col min="10231" max="10231" width="17.81640625" style="2" bestFit="1" customWidth="1"/>
    <col min="10232" max="10232" width="15.54296875" style="2" bestFit="1" customWidth="1"/>
    <col min="10233" max="10233" width="16.1796875" style="2" customWidth="1"/>
    <col min="10234" max="10234" width="1.26953125" style="2" customWidth="1"/>
    <col min="10235" max="10235" width="17.81640625" style="2" bestFit="1" customWidth="1"/>
    <col min="10236" max="10236" width="15.54296875" style="2" bestFit="1" customWidth="1"/>
    <col min="10237" max="10237" width="16.1796875" style="2" customWidth="1"/>
    <col min="10238" max="10238" width="1.7265625" style="2" customWidth="1"/>
    <col min="10239" max="10240" width="15.453125" style="2" bestFit="1" customWidth="1"/>
    <col min="10241" max="10241" width="18.453125" style="2" customWidth="1"/>
    <col min="10242" max="10242" width="1.26953125" style="2" customWidth="1"/>
    <col min="10243" max="10244" width="15.453125" style="2" bestFit="1" customWidth="1"/>
    <col min="10245" max="10245" width="18.453125" style="2" customWidth="1"/>
    <col min="10246" max="10246" width="1.26953125" style="2" customWidth="1"/>
    <col min="10247" max="10248" width="15.453125" style="2" bestFit="1" customWidth="1"/>
    <col min="10249" max="10249" width="18.453125" style="2" customWidth="1"/>
    <col min="10250" max="10250" width="1.26953125" style="2" customWidth="1"/>
    <col min="10251" max="10252" width="15.453125" style="2" customWidth="1"/>
    <col min="10253" max="10253" width="18.453125" style="2" customWidth="1"/>
    <col min="10254" max="10254" width="1.26953125" style="2" customWidth="1"/>
    <col min="10255" max="10262" width="11.453125" style="2" customWidth="1"/>
    <col min="10263" max="10265" width="18.7265625" style="2" bestFit="1" customWidth="1"/>
    <col min="10266" max="10266" width="13.54296875" style="2" bestFit="1" customWidth="1"/>
    <col min="10267" max="10267" width="13.1796875" style="2" bestFit="1" customWidth="1"/>
    <col min="10268" max="10268" width="13.54296875" style="2" bestFit="1" customWidth="1"/>
    <col min="10269" max="10269" width="13.1796875" style="2" bestFit="1" customWidth="1"/>
    <col min="10270" max="10270" width="13.54296875" style="2" bestFit="1" customWidth="1"/>
    <col min="10271" max="10271" width="13.1796875" style="2" bestFit="1" customWidth="1"/>
    <col min="10272" max="10272" width="13.54296875" style="2" bestFit="1" customWidth="1"/>
    <col min="10273" max="10273" width="13.1796875" style="2" bestFit="1" customWidth="1"/>
    <col min="10274" max="10274" width="13.54296875" style="2" bestFit="1" customWidth="1"/>
    <col min="10275" max="10275" width="13.1796875" style="2" bestFit="1" customWidth="1"/>
    <col min="10276" max="10484" width="11.453125" style="2"/>
    <col min="10485" max="10485" width="27.453125" style="2" customWidth="1"/>
    <col min="10486" max="10486" width="1.453125" style="2" customWidth="1"/>
    <col min="10487" max="10487" width="17.81640625" style="2" bestFit="1" customWidth="1"/>
    <col min="10488" max="10488" width="15.54296875" style="2" bestFit="1" customWidth="1"/>
    <col min="10489" max="10489" width="16.1796875" style="2" customWidth="1"/>
    <col min="10490" max="10490" width="1.26953125" style="2" customWidth="1"/>
    <col min="10491" max="10491" width="17.81640625" style="2" bestFit="1" customWidth="1"/>
    <col min="10492" max="10492" width="15.54296875" style="2" bestFit="1" customWidth="1"/>
    <col min="10493" max="10493" width="16.1796875" style="2" customWidth="1"/>
    <col min="10494" max="10494" width="1.7265625" style="2" customWidth="1"/>
    <col min="10495" max="10496" width="15.453125" style="2" bestFit="1" customWidth="1"/>
    <col min="10497" max="10497" width="18.453125" style="2" customWidth="1"/>
    <col min="10498" max="10498" width="1.26953125" style="2" customWidth="1"/>
    <col min="10499" max="10500" width="15.453125" style="2" bestFit="1" customWidth="1"/>
    <col min="10501" max="10501" width="18.453125" style="2" customWidth="1"/>
    <col min="10502" max="10502" width="1.26953125" style="2" customWidth="1"/>
    <col min="10503" max="10504" width="15.453125" style="2" bestFit="1" customWidth="1"/>
    <col min="10505" max="10505" width="18.453125" style="2" customWidth="1"/>
    <col min="10506" max="10506" width="1.26953125" style="2" customWidth="1"/>
    <col min="10507" max="10508" width="15.453125" style="2" customWidth="1"/>
    <col min="10509" max="10509" width="18.453125" style="2" customWidth="1"/>
    <col min="10510" max="10510" width="1.26953125" style="2" customWidth="1"/>
    <col min="10511" max="10518" width="11.453125" style="2" customWidth="1"/>
    <col min="10519" max="10521" width="18.7265625" style="2" bestFit="1" customWidth="1"/>
    <col min="10522" max="10522" width="13.54296875" style="2" bestFit="1" customWidth="1"/>
    <col min="10523" max="10523" width="13.1796875" style="2" bestFit="1" customWidth="1"/>
    <col min="10524" max="10524" width="13.54296875" style="2" bestFit="1" customWidth="1"/>
    <col min="10525" max="10525" width="13.1796875" style="2" bestFit="1" customWidth="1"/>
    <col min="10526" max="10526" width="13.54296875" style="2" bestFit="1" customWidth="1"/>
    <col min="10527" max="10527" width="13.1796875" style="2" bestFit="1" customWidth="1"/>
    <col min="10528" max="10528" width="13.54296875" style="2" bestFit="1" customWidth="1"/>
    <col min="10529" max="10529" width="13.1796875" style="2" bestFit="1" customWidth="1"/>
    <col min="10530" max="10530" width="13.54296875" style="2" bestFit="1" customWidth="1"/>
    <col min="10531" max="10531" width="13.1796875" style="2" bestFit="1" customWidth="1"/>
    <col min="10532" max="10740" width="11.453125" style="2"/>
    <col min="10741" max="10741" width="27.453125" style="2" customWidth="1"/>
    <col min="10742" max="10742" width="1.453125" style="2" customWidth="1"/>
    <col min="10743" max="10743" width="17.81640625" style="2" bestFit="1" customWidth="1"/>
    <col min="10744" max="10744" width="15.54296875" style="2" bestFit="1" customWidth="1"/>
    <col min="10745" max="10745" width="16.1796875" style="2" customWidth="1"/>
    <col min="10746" max="10746" width="1.26953125" style="2" customWidth="1"/>
    <col min="10747" max="10747" width="17.81640625" style="2" bestFit="1" customWidth="1"/>
    <col min="10748" max="10748" width="15.54296875" style="2" bestFit="1" customWidth="1"/>
    <col min="10749" max="10749" width="16.1796875" style="2" customWidth="1"/>
    <col min="10750" max="10750" width="1.7265625" style="2" customWidth="1"/>
    <col min="10751" max="10752" width="15.453125" style="2" bestFit="1" customWidth="1"/>
    <col min="10753" max="10753" width="18.453125" style="2" customWidth="1"/>
    <col min="10754" max="10754" width="1.26953125" style="2" customWidth="1"/>
    <col min="10755" max="10756" width="15.453125" style="2" bestFit="1" customWidth="1"/>
    <col min="10757" max="10757" width="18.453125" style="2" customWidth="1"/>
    <col min="10758" max="10758" width="1.26953125" style="2" customWidth="1"/>
    <col min="10759" max="10760" width="15.453125" style="2" bestFit="1" customWidth="1"/>
    <col min="10761" max="10761" width="18.453125" style="2" customWidth="1"/>
    <col min="10762" max="10762" width="1.26953125" style="2" customWidth="1"/>
    <col min="10763" max="10764" width="15.453125" style="2" customWidth="1"/>
    <col min="10765" max="10765" width="18.453125" style="2" customWidth="1"/>
    <col min="10766" max="10766" width="1.26953125" style="2" customWidth="1"/>
    <col min="10767" max="10774" width="11.453125" style="2" customWidth="1"/>
    <col min="10775" max="10777" width="18.7265625" style="2" bestFit="1" customWidth="1"/>
    <col min="10778" max="10778" width="13.54296875" style="2" bestFit="1" customWidth="1"/>
    <col min="10779" max="10779" width="13.1796875" style="2" bestFit="1" customWidth="1"/>
    <col min="10780" max="10780" width="13.54296875" style="2" bestFit="1" customWidth="1"/>
    <col min="10781" max="10781" width="13.1796875" style="2" bestFit="1" customWidth="1"/>
    <col min="10782" max="10782" width="13.54296875" style="2" bestFit="1" customWidth="1"/>
    <col min="10783" max="10783" width="13.1796875" style="2" bestFit="1" customWidth="1"/>
    <col min="10784" max="10784" width="13.54296875" style="2" bestFit="1" customWidth="1"/>
    <col min="10785" max="10785" width="13.1796875" style="2" bestFit="1" customWidth="1"/>
    <col min="10786" max="10786" width="13.54296875" style="2" bestFit="1" customWidth="1"/>
    <col min="10787" max="10787" width="13.1796875" style="2" bestFit="1" customWidth="1"/>
    <col min="10788" max="10996" width="11.453125" style="2"/>
    <col min="10997" max="10997" width="27.453125" style="2" customWidth="1"/>
    <col min="10998" max="10998" width="1.453125" style="2" customWidth="1"/>
    <col min="10999" max="10999" width="17.81640625" style="2" bestFit="1" customWidth="1"/>
    <col min="11000" max="11000" width="15.54296875" style="2" bestFit="1" customWidth="1"/>
    <col min="11001" max="11001" width="16.1796875" style="2" customWidth="1"/>
    <col min="11002" max="11002" width="1.26953125" style="2" customWidth="1"/>
    <col min="11003" max="11003" width="17.81640625" style="2" bestFit="1" customWidth="1"/>
    <col min="11004" max="11004" width="15.54296875" style="2" bestFit="1" customWidth="1"/>
    <col min="11005" max="11005" width="16.1796875" style="2" customWidth="1"/>
    <col min="11006" max="11006" width="1.7265625" style="2" customWidth="1"/>
    <col min="11007" max="11008" width="15.453125" style="2" bestFit="1" customWidth="1"/>
    <col min="11009" max="11009" width="18.453125" style="2" customWidth="1"/>
    <col min="11010" max="11010" width="1.26953125" style="2" customWidth="1"/>
    <col min="11011" max="11012" width="15.453125" style="2" bestFit="1" customWidth="1"/>
    <col min="11013" max="11013" width="18.453125" style="2" customWidth="1"/>
    <col min="11014" max="11014" width="1.26953125" style="2" customWidth="1"/>
    <col min="11015" max="11016" width="15.453125" style="2" bestFit="1" customWidth="1"/>
    <col min="11017" max="11017" width="18.453125" style="2" customWidth="1"/>
    <col min="11018" max="11018" width="1.26953125" style="2" customWidth="1"/>
    <col min="11019" max="11020" width="15.453125" style="2" customWidth="1"/>
    <col min="11021" max="11021" width="18.453125" style="2" customWidth="1"/>
    <col min="11022" max="11022" width="1.26953125" style="2" customWidth="1"/>
    <col min="11023" max="11030" width="11.453125" style="2" customWidth="1"/>
    <col min="11031" max="11033" width="18.7265625" style="2" bestFit="1" customWidth="1"/>
    <col min="11034" max="11034" width="13.54296875" style="2" bestFit="1" customWidth="1"/>
    <col min="11035" max="11035" width="13.1796875" style="2" bestFit="1" customWidth="1"/>
    <col min="11036" max="11036" width="13.54296875" style="2" bestFit="1" customWidth="1"/>
    <col min="11037" max="11037" width="13.1796875" style="2" bestFit="1" customWidth="1"/>
    <col min="11038" max="11038" width="13.54296875" style="2" bestFit="1" customWidth="1"/>
    <col min="11039" max="11039" width="13.1796875" style="2" bestFit="1" customWidth="1"/>
    <col min="11040" max="11040" width="13.54296875" style="2" bestFit="1" customWidth="1"/>
    <col min="11041" max="11041" width="13.1796875" style="2" bestFit="1" customWidth="1"/>
    <col min="11042" max="11042" width="13.54296875" style="2" bestFit="1" customWidth="1"/>
    <col min="11043" max="11043" width="13.1796875" style="2" bestFit="1" customWidth="1"/>
    <col min="11044" max="11252" width="11.453125" style="2"/>
    <col min="11253" max="11253" width="27.453125" style="2" customWidth="1"/>
    <col min="11254" max="11254" width="1.453125" style="2" customWidth="1"/>
    <col min="11255" max="11255" width="17.81640625" style="2" bestFit="1" customWidth="1"/>
    <col min="11256" max="11256" width="15.54296875" style="2" bestFit="1" customWidth="1"/>
    <col min="11257" max="11257" width="16.1796875" style="2" customWidth="1"/>
    <col min="11258" max="11258" width="1.26953125" style="2" customWidth="1"/>
    <col min="11259" max="11259" width="17.81640625" style="2" bestFit="1" customWidth="1"/>
    <col min="11260" max="11260" width="15.54296875" style="2" bestFit="1" customWidth="1"/>
    <col min="11261" max="11261" width="16.1796875" style="2" customWidth="1"/>
    <col min="11262" max="11262" width="1.7265625" style="2" customWidth="1"/>
    <col min="11263" max="11264" width="15.453125" style="2" bestFit="1" customWidth="1"/>
    <col min="11265" max="11265" width="18.453125" style="2" customWidth="1"/>
    <col min="11266" max="11266" width="1.26953125" style="2" customWidth="1"/>
    <col min="11267" max="11268" width="15.453125" style="2" bestFit="1" customWidth="1"/>
    <col min="11269" max="11269" width="18.453125" style="2" customWidth="1"/>
    <col min="11270" max="11270" width="1.26953125" style="2" customWidth="1"/>
    <col min="11271" max="11272" width="15.453125" style="2" bestFit="1" customWidth="1"/>
    <col min="11273" max="11273" width="18.453125" style="2" customWidth="1"/>
    <col min="11274" max="11274" width="1.26953125" style="2" customWidth="1"/>
    <col min="11275" max="11276" width="15.453125" style="2" customWidth="1"/>
    <col min="11277" max="11277" width="18.453125" style="2" customWidth="1"/>
    <col min="11278" max="11278" width="1.26953125" style="2" customWidth="1"/>
    <col min="11279" max="11286" width="11.453125" style="2" customWidth="1"/>
    <col min="11287" max="11289" width="18.7265625" style="2" bestFit="1" customWidth="1"/>
    <col min="11290" max="11290" width="13.54296875" style="2" bestFit="1" customWidth="1"/>
    <col min="11291" max="11291" width="13.1796875" style="2" bestFit="1" customWidth="1"/>
    <col min="11292" max="11292" width="13.54296875" style="2" bestFit="1" customWidth="1"/>
    <col min="11293" max="11293" width="13.1796875" style="2" bestFit="1" customWidth="1"/>
    <col min="11294" max="11294" width="13.54296875" style="2" bestFit="1" customWidth="1"/>
    <col min="11295" max="11295" width="13.1796875" style="2" bestFit="1" customWidth="1"/>
    <col min="11296" max="11296" width="13.54296875" style="2" bestFit="1" customWidth="1"/>
    <col min="11297" max="11297" width="13.1796875" style="2" bestFit="1" customWidth="1"/>
    <col min="11298" max="11298" width="13.54296875" style="2" bestFit="1" customWidth="1"/>
    <col min="11299" max="11299" width="13.1796875" style="2" bestFit="1" customWidth="1"/>
    <col min="11300" max="11508" width="11.453125" style="2"/>
    <col min="11509" max="11509" width="27.453125" style="2" customWidth="1"/>
    <col min="11510" max="11510" width="1.453125" style="2" customWidth="1"/>
    <col min="11511" max="11511" width="17.81640625" style="2" bestFit="1" customWidth="1"/>
    <col min="11512" max="11512" width="15.54296875" style="2" bestFit="1" customWidth="1"/>
    <col min="11513" max="11513" width="16.1796875" style="2" customWidth="1"/>
    <col min="11514" max="11514" width="1.26953125" style="2" customWidth="1"/>
    <col min="11515" max="11515" width="17.81640625" style="2" bestFit="1" customWidth="1"/>
    <col min="11516" max="11516" width="15.54296875" style="2" bestFit="1" customWidth="1"/>
    <col min="11517" max="11517" width="16.1796875" style="2" customWidth="1"/>
    <col min="11518" max="11518" width="1.7265625" style="2" customWidth="1"/>
    <col min="11519" max="11520" width="15.453125" style="2" bestFit="1" customWidth="1"/>
    <col min="11521" max="11521" width="18.453125" style="2" customWidth="1"/>
    <col min="11522" max="11522" width="1.26953125" style="2" customWidth="1"/>
    <col min="11523" max="11524" width="15.453125" style="2" bestFit="1" customWidth="1"/>
    <col min="11525" max="11525" width="18.453125" style="2" customWidth="1"/>
    <col min="11526" max="11526" width="1.26953125" style="2" customWidth="1"/>
    <col min="11527" max="11528" width="15.453125" style="2" bestFit="1" customWidth="1"/>
    <col min="11529" max="11529" width="18.453125" style="2" customWidth="1"/>
    <col min="11530" max="11530" width="1.26953125" style="2" customWidth="1"/>
    <col min="11531" max="11532" width="15.453125" style="2" customWidth="1"/>
    <col min="11533" max="11533" width="18.453125" style="2" customWidth="1"/>
    <col min="11534" max="11534" width="1.26953125" style="2" customWidth="1"/>
    <col min="11535" max="11542" width="11.453125" style="2" customWidth="1"/>
    <col min="11543" max="11545" width="18.7265625" style="2" bestFit="1" customWidth="1"/>
    <col min="11546" max="11546" width="13.54296875" style="2" bestFit="1" customWidth="1"/>
    <col min="11547" max="11547" width="13.1796875" style="2" bestFit="1" customWidth="1"/>
    <col min="11548" max="11548" width="13.54296875" style="2" bestFit="1" customWidth="1"/>
    <col min="11549" max="11549" width="13.1796875" style="2" bestFit="1" customWidth="1"/>
    <col min="11550" max="11550" width="13.54296875" style="2" bestFit="1" customWidth="1"/>
    <col min="11551" max="11551" width="13.1796875" style="2" bestFit="1" customWidth="1"/>
    <col min="11552" max="11552" width="13.54296875" style="2" bestFit="1" customWidth="1"/>
    <col min="11553" max="11553" width="13.1796875" style="2" bestFit="1" customWidth="1"/>
    <col min="11554" max="11554" width="13.54296875" style="2" bestFit="1" customWidth="1"/>
    <col min="11555" max="11555" width="13.1796875" style="2" bestFit="1" customWidth="1"/>
    <col min="11556" max="11764" width="11.453125" style="2"/>
    <col min="11765" max="11765" width="27.453125" style="2" customWidth="1"/>
    <col min="11766" max="11766" width="1.453125" style="2" customWidth="1"/>
    <col min="11767" max="11767" width="17.81640625" style="2" bestFit="1" customWidth="1"/>
    <col min="11768" max="11768" width="15.54296875" style="2" bestFit="1" customWidth="1"/>
    <col min="11769" max="11769" width="16.1796875" style="2" customWidth="1"/>
    <col min="11770" max="11770" width="1.26953125" style="2" customWidth="1"/>
    <col min="11771" max="11771" width="17.81640625" style="2" bestFit="1" customWidth="1"/>
    <col min="11772" max="11772" width="15.54296875" style="2" bestFit="1" customWidth="1"/>
    <col min="11773" max="11773" width="16.1796875" style="2" customWidth="1"/>
    <col min="11774" max="11774" width="1.7265625" style="2" customWidth="1"/>
    <col min="11775" max="11776" width="15.453125" style="2" bestFit="1" customWidth="1"/>
    <col min="11777" max="11777" width="18.453125" style="2" customWidth="1"/>
    <col min="11778" max="11778" width="1.26953125" style="2" customWidth="1"/>
    <col min="11779" max="11780" width="15.453125" style="2" bestFit="1" customWidth="1"/>
    <col min="11781" max="11781" width="18.453125" style="2" customWidth="1"/>
    <col min="11782" max="11782" width="1.26953125" style="2" customWidth="1"/>
    <col min="11783" max="11784" width="15.453125" style="2" bestFit="1" customWidth="1"/>
    <col min="11785" max="11785" width="18.453125" style="2" customWidth="1"/>
    <col min="11786" max="11786" width="1.26953125" style="2" customWidth="1"/>
    <col min="11787" max="11788" width="15.453125" style="2" customWidth="1"/>
    <col min="11789" max="11789" width="18.453125" style="2" customWidth="1"/>
    <col min="11790" max="11790" width="1.26953125" style="2" customWidth="1"/>
    <col min="11791" max="11798" width="11.453125" style="2" customWidth="1"/>
    <col min="11799" max="11801" width="18.7265625" style="2" bestFit="1" customWidth="1"/>
    <col min="11802" max="11802" width="13.54296875" style="2" bestFit="1" customWidth="1"/>
    <col min="11803" max="11803" width="13.1796875" style="2" bestFit="1" customWidth="1"/>
    <col min="11804" max="11804" width="13.54296875" style="2" bestFit="1" customWidth="1"/>
    <col min="11805" max="11805" width="13.1796875" style="2" bestFit="1" customWidth="1"/>
    <col min="11806" max="11806" width="13.54296875" style="2" bestFit="1" customWidth="1"/>
    <col min="11807" max="11807" width="13.1796875" style="2" bestFit="1" customWidth="1"/>
    <col min="11808" max="11808" width="13.54296875" style="2" bestFit="1" customWidth="1"/>
    <col min="11809" max="11809" width="13.1796875" style="2" bestFit="1" customWidth="1"/>
    <col min="11810" max="11810" width="13.54296875" style="2" bestFit="1" customWidth="1"/>
    <col min="11811" max="11811" width="13.1796875" style="2" bestFit="1" customWidth="1"/>
    <col min="11812" max="12020" width="11.453125" style="2"/>
    <col min="12021" max="12021" width="27.453125" style="2" customWidth="1"/>
    <col min="12022" max="12022" width="1.453125" style="2" customWidth="1"/>
    <col min="12023" max="12023" width="17.81640625" style="2" bestFit="1" customWidth="1"/>
    <col min="12024" max="12024" width="15.54296875" style="2" bestFit="1" customWidth="1"/>
    <col min="12025" max="12025" width="16.1796875" style="2" customWidth="1"/>
    <col min="12026" max="12026" width="1.26953125" style="2" customWidth="1"/>
    <col min="12027" max="12027" width="17.81640625" style="2" bestFit="1" customWidth="1"/>
    <col min="12028" max="12028" width="15.54296875" style="2" bestFit="1" customWidth="1"/>
    <col min="12029" max="12029" width="16.1796875" style="2" customWidth="1"/>
    <col min="12030" max="12030" width="1.7265625" style="2" customWidth="1"/>
    <col min="12031" max="12032" width="15.453125" style="2" bestFit="1" customWidth="1"/>
    <col min="12033" max="12033" width="18.453125" style="2" customWidth="1"/>
    <col min="12034" max="12034" width="1.26953125" style="2" customWidth="1"/>
    <col min="12035" max="12036" width="15.453125" style="2" bestFit="1" customWidth="1"/>
    <col min="12037" max="12037" width="18.453125" style="2" customWidth="1"/>
    <col min="12038" max="12038" width="1.26953125" style="2" customWidth="1"/>
    <col min="12039" max="12040" width="15.453125" style="2" bestFit="1" customWidth="1"/>
    <col min="12041" max="12041" width="18.453125" style="2" customWidth="1"/>
    <col min="12042" max="12042" width="1.26953125" style="2" customWidth="1"/>
    <col min="12043" max="12044" width="15.453125" style="2" customWidth="1"/>
    <col min="12045" max="12045" width="18.453125" style="2" customWidth="1"/>
    <col min="12046" max="12046" width="1.26953125" style="2" customWidth="1"/>
    <col min="12047" max="12054" width="11.453125" style="2" customWidth="1"/>
    <col min="12055" max="12057" width="18.7265625" style="2" bestFit="1" customWidth="1"/>
    <col min="12058" max="12058" width="13.54296875" style="2" bestFit="1" customWidth="1"/>
    <col min="12059" max="12059" width="13.1796875" style="2" bestFit="1" customWidth="1"/>
    <col min="12060" max="12060" width="13.54296875" style="2" bestFit="1" customWidth="1"/>
    <col min="12061" max="12061" width="13.1796875" style="2" bestFit="1" customWidth="1"/>
    <col min="12062" max="12062" width="13.54296875" style="2" bestFit="1" customWidth="1"/>
    <col min="12063" max="12063" width="13.1796875" style="2" bestFit="1" customWidth="1"/>
    <col min="12064" max="12064" width="13.54296875" style="2" bestFit="1" customWidth="1"/>
    <col min="12065" max="12065" width="13.1796875" style="2" bestFit="1" customWidth="1"/>
    <col min="12066" max="12066" width="13.54296875" style="2" bestFit="1" customWidth="1"/>
    <col min="12067" max="12067" width="13.1796875" style="2" bestFit="1" customWidth="1"/>
    <col min="12068" max="12276" width="11.453125" style="2"/>
    <col min="12277" max="12277" width="27.453125" style="2" customWidth="1"/>
    <col min="12278" max="12278" width="1.453125" style="2" customWidth="1"/>
    <col min="12279" max="12279" width="17.81640625" style="2" bestFit="1" customWidth="1"/>
    <col min="12280" max="12280" width="15.54296875" style="2" bestFit="1" customWidth="1"/>
    <col min="12281" max="12281" width="16.1796875" style="2" customWidth="1"/>
    <col min="12282" max="12282" width="1.26953125" style="2" customWidth="1"/>
    <col min="12283" max="12283" width="17.81640625" style="2" bestFit="1" customWidth="1"/>
    <col min="12284" max="12284" width="15.54296875" style="2" bestFit="1" customWidth="1"/>
    <col min="12285" max="12285" width="16.1796875" style="2" customWidth="1"/>
    <col min="12286" max="12286" width="1.7265625" style="2" customWidth="1"/>
    <col min="12287" max="12288" width="15.453125" style="2" bestFit="1" customWidth="1"/>
    <col min="12289" max="12289" width="18.453125" style="2" customWidth="1"/>
    <col min="12290" max="12290" width="1.26953125" style="2" customWidth="1"/>
    <col min="12291" max="12292" width="15.453125" style="2" bestFit="1" customWidth="1"/>
    <col min="12293" max="12293" width="18.453125" style="2" customWidth="1"/>
    <col min="12294" max="12294" width="1.26953125" style="2" customWidth="1"/>
    <col min="12295" max="12296" width="15.453125" style="2" bestFit="1" customWidth="1"/>
    <col min="12297" max="12297" width="18.453125" style="2" customWidth="1"/>
    <col min="12298" max="12298" width="1.26953125" style="2" customWidth="1"/>
    <col min="12299" max="12300" width="15.453125" style="2" customWidth="1"/>
    <col min="12301" max="12301" width="18.453125" style="2" customWidth="1"/>
    <col min="12302" max="12302" width="1.26953125" style="2" customWidth="1"/>
    <col min="12303" max="12310" width="11.453125" style="2" customWidth="1"/>
    <col min="12311" max="12313" width="18.7265625" style="2" bestFit="1" customWidth="1"/>
    <col min="12314" max="12314" width="13.54296875" style="2" bestFit="1" customWidth="1"/>
    <col min="12315" max="12315" width="13.1796875" style="2" bestFit="1" customWidth="1"/>
    <col min="12316" max="12316" width="13.54296875" style="2" bestFit="1" customWidth="1"/>
    <col min="12317" max="12317" width="13.1796875" style="2" bestFit="1" customWidth="1"/>
    <col min="12318" max="12318" width="13.54296875" style="2" bestFit="1" customWidth="1"/>
    <col min="12319" max="12319" width="13.1796875" style="2" bestFit="1" customWidth="1"/>
    <col min="12320" max="12320" width="13.54296875" style="2" bestFit="1" customWidth="1"/>
    <col min="12321" max="12321" width="13.1796875" style="2" bestFit="1" customWidth="1"/>
    <col min="12322" max="12322" width="13.54296875" style="2" bestFit="1" customWidth="1"/>
    <col min="12323" max="12323" width="13.1796875" style="2" bestFit="1" customWidth="1"/>
    <col min="12324" max="12532" width="11.453125" style="2"/>
    <col min="12533" max="12533" width="27.453125" style="2" customWidth="1"/>
    <col min="12534" max="12534" width="1.453125" style="2" customWidth="1"/>
    <col min="12535" max="12535" width="17.81640625" style="2" bestFit="1" customWidth="1"/>
    <col min="12536" max="12536" width="15.54296875" style="2" bestFit="1" customWidth="1"/>
    <col min="12537" max="12537" width="16.1796875" style="2" customWidth="1"/>
    <col min="12538" max="12538" width="1.26953125" style="2" customWidth="1"/>
    <col min="12539" max="12539" width="17.81640625" style="2" bestFit="1" customWidth="1"/>
    <col min="12540" max="12540" width="15.54296875" style="2" bestFit="1" customWidth="1"/>
    <col min="12541" max="12541" width="16.1796875" style="2" customWidth="1"/>
    <col min="12542" max="12542" width="1.7265625" style="2" customWidth="1"/>
    <col min="12543" max="12544" width="15.453125" style="2" bestFit="1" customWidth="1"/>
    <col min="12545" max="12545" width="18.453125" style="2" customWidth="1"/>
    <col min="12546" max="12546" width="1.26953125" style="2" customWidth="1"/>
    <col min="12547" max="12548" width="15.453125" style="2" bestFit="1" customWidth="1"/>
    <col min="12549" max="12549" width="18.453125" style="2" customWidth="1"/>
    <col min="12550" max="12550" width="1.26953125" style="2" customWidth="1"/>
    <col min="12551" max="12552" width="15.453125" style="2" bestFit="1" customWidth="1"/>
    <col min="12553" max="12553" width="18.453125" style="2" customWidth="1"/>
    <col min="12554" max="12554" width="1.26953125" style="2" customWidth="1"/>
    <col min="12555" max="12556" width="15.453125" style="2" customWidth="1"/>
    <col min="12557" max="12557" width="18.453125" style="2" customWidth="1"/>
    <col min="12558" max="12558" width="1.26953125" style="2" customWidth="1"/>
    <col min="12559" max="12566" width="11.453125" style="2" customWidth="1"/>
    <col min="12567" max="12569" width="18.7265625" style="2" bestFit="1" customWidth="1"/>
    <col min="12570" max="12570" width="13.54296875" style="2" bestFit="1" customWidth="1"/>
    <col min="12571" max="12571" width="13.1796875" style="2" bestFit="1" customWidth="1"/>
    <col min="12572" max="12572" width="13.54296875" style="2" bestFit="1" customWidth="1"/>
    <col min="12573" max="12573" width="13.1796875" style="2" bestFit="1" customWidth="1"/>
    <col min="12574" max="12574" width="13.54296875" style="2" bestFit="1" customWidth="1"/>
    <col min="12575" max="12575" width="13.1796875" style="2" bestFit="1" customWidth="1"/>
    <col min="12576" max="12576" width="13.54296875" style="2" bestFit="1" customWidth="1"/>
    <col min="12577" max="12577" width="13.1796875" style="2" bestFit="1" customWidth="1"/>
    <col min="12578" max="12578" width="13.54296875" style="2" bestFit="1" customWidth="1"/>
    <col min="12579" max="12579" width="13.1796875" style="2" bestFit="1" customWidth="1"/>
    <col min="12580" max="12788" width="11.453125" style="2"/>
    <col min="12789" max="12789" width="27.453125" style="2" customWidth="1"/>
    <col min="12790" max="12790" width="1.453125" style="2" customWidth="1"/>
    <col min="12791" max="12791" width="17.81640625" style="2" bestFit="1" customWidth="1"/>
    <col min="12792" max="12792" width="15.54296875" style="2" bestFit="1" customWidth="1"/>
    <col min="12793" max="12793" width="16.1796875" style="2" customWidth="1"/>
    <col min="12794" max="12794" width="1.26953125" style="2" customWidth="1"/>
    <col min="12795" max="12795" width="17.81640625" style="2" bestFit="1" customWidth="1"/>
    <col min="12796" max="12796" width="15.54296875" style="2" bestFit="1" customWidth="1"/>
    <col min="12797" max="12797" width="16.1796875" style="2" customWidth="1"/>
    <col min="12798" max="12798" width="1.7265625" style="2" customWidth="1"/>
    <col min="12799" max="12800" width="15.453125" style="2" bestFit="1" customWidth="1"/>
    <col min="12801" max="12801" width="18.453125" style="2" customWidth="1"/>
    <col min="12802" max="12802" width="1.26953125" style="2" customWidth="1"/>
    <col min="12803" max="12804" width="15.453125" style="2" bestFit="1" customWidth="1"/>
    <col min="12805" max="12805" width="18.453125" style="2" customWidth="1"/>
    <col min="12806" max="12806" width="1.26953125" style="2" customWidth="1"/>
    <col min="12807" max="12808" width="15.453125" style="2" bestFit="1" customWidth="1"/>
    <col min="12809" max="12809" width="18.453125" style="2" customWidth="1"/>
    <col min="12810" max="12810" width="1.26953125" style="2" customWidth="1"/>
    <col min="12811" max="12812" width="15.453125" style="2" customWidth="1"/>
    <col min="12813" max="12813" width="18.453125" style="2" customWidth="1"/>
    <col min="12814" max="12814" width="1.26953125" style="2" customWidth="1"/>
    <col min="12815" max="12822" width="11.453125" style="2" customWidth="1"/>
    <col min="12823" max="12825" width="18.7265625" style="2" bestFit="1" customWidth="1"/>
    <col min="12826" max="12826" width="13.54296875" style="2" bestFit="1" customWidth="1"/>
    <col min="12827" max="12827" width="13.1796875" style="2" bestFit="1" customWidth="1"/>
    <col min="12828" max="12828" width="13.54296875" style="2" bestFit="1" customWidth="1"/>
    <col min="12829" max="12829" width="13.1796875" style="2" bestFit="1" customWidth="1"/>
    <col min="12830" max="12830" width="13.54296875" style="2" bestFit="1" customWidth="1"/>
    <col min="12831" max="12831" width="13.1796875" style="2" bestFit="1" customWidth="1"/>
    <col min="12832" max="12832" width="13.54296875" style="2" bestFit="1" customWidth="1"/>
    <col min="12833" max="12833" width="13.1796875" style="2" bestFit="1" customWidth="1"/>
    <col min="12834" max="12834" width="13.54296875" style="2" bestFit="1" customWidth="1"/>
    <col min="12835" max="12835" width="13.1796875" style="2" bestFit="1" customWidth="1"/>
    <col min="12836" max="13044" width="11.453125" style="2"/>
    <col min="13045" max="13045" width="27.453125" style="2" customWidth="1"/>
    <col min="13046" max="13046" width="1.453125" style="2" customWidth="1"/>
    <col min="13047" max="13047" width="17.81640625" style="2" bestFit="1" customWidth="1"/>
    <col min="13048" max="13048" width="15.54296875" style="2" bestFit="1" customWidth="1"/>
    <col min="13049" max="13049" width="16.1796875" style="2" customWidth="1"/>
    <col min="13050" max="13050" width="1.26953125" style="2" customWidth="1"/>
    <col min="13051" max="13051" width="17.81640625" style="2" bestFit="1" customWidth="1"/>
    <col min="13052" max="13052" width="15.54296875" style="2" bestFit="1" customWidth="1"/>
    <col min="13053" max="13053" width="16.1796875" style="2" customWidth="1"/>
    <col min="13054" max="13054" width="1.7265625" style="2" customWidth="1"/>
    <col min="13055" max="13056" width="15.453125" style="2" bestFit="1" customWidth="1"/>
    <col min="13057" max="13057" width="18.453125" style="2" customWidth="1"/>
    <col min="13058" max="13058" width="1.26953125" style="2" customWidth="1"/>
    <col min="13059" max="13060" width="15.453125" style="2" bestFit="1" customWidth="1"/>
    <col min="13061" max="13061" width="18.453125" style="2" customWidth="1"/>
    <col min="13062" max="13062" width="1.26953125" style="2" customWidth="1"/>
    <col min="13063" max="13064" width="15.453125" style="2" bestFit="1" customWidth="1"/>
    <col min="13065" max="13065" width="18.453125" style="2" customWidth="1"/>
    <col min="13066" max="13066" width="1.26953125" style="2" customWidth="1"/>
    <col min="13067" max="13068" width="15.453125" style="2" customWidth="1"/>
    <col min="13069" max="13069" width="18.453125" style="2" customWidth="1"/>
    <col min="13070" max="13070" width="1.26953125" style="2" customWidth="1"/>
    <col min="13071" max="13078" width="11.453125" style="2" customWidth="1"/>
    <col min="13079" max="13081" width="18.7265625" style="2" bestFit="1" customWidth="1"/>
    <col min="13082" max="13082" width="13.54296875" style="2" bestFit="1" customWidth="1"/>
    <col min="13083" max="13083" width="13.1796875" style="2" bestFit="1" customWidth="1"/>
    <col min="13084" max="13084" width="13.54296875" style="2" bestFit="1" customWidth="1"/>
    <col min="13085" max="13085" width="13.1796875" style="2" bestFit="1" customWidth="1"/>
    <col min="13086" max="13086" width="13.54296875" style="2" bestFit="1" customWidth="1"/>
    <col min="13087" max="13087" width="13.1796875" style="2" bestFit="1" customWidth="1"/>
    <col min="13088" max="13088" width="13.54296875" style="2" bestFit="1" customWidth="1"/>
    <col min="13089" max="13089" width="13.1796875" style="2" bestFit="1" customWidth="1"/>
    <col min="13090" max="13090" width="13.54296875" style="2" bestFit="1" customWidth="1"/>
    <col min="13091" max="13091" width="13.1796875" style="2" bestFit="1" customWidth="1"/>
    <col min="13092" max="13300" width="11.453125" style="2"/>
    <col min="13301" max="13301" width="27.453125" style="2" customWidth="1"/>
    <col min="13302" max="13302" width="1.453125" style="2" customWidth="1"/>
    <col min="13303" max="13303" width="17.81640625" style="2" bestFit="1" customWidth="1"/>
    <col min="13304" max="13304" width="15.54296875" style="2" bestFit="1" customWidth="1"/>
    <col min="13305" max="13305" width="16.1796875" style="2" customWidth="1"/>
    <col min="13306" max="13306" width="1.26953125" style="2" customWidth="1"/>
    <col min="13307" max="13307" width="17.81640625" style="2" bestFit="1" customWidth="1"/>
    <col min="13308" max="13308" width="15.54296875" style="2" bestFit="1" customWidth="1"/>
    <col min="13309" max="13309" width="16.1796875" style="2" customWidth="1"/>
    <col min="13310" max="13310" width="1.7265625" style="2" customWidth="1"/>
    <col min="13311" max="13312" width="15.453125" style="2" bestFit="1" customWidth="1"/>
    <col min="13313" max="13313" width="18.453125" style="2" customWidth="1"/>
    <col min="13314" max="13314" width="1.26953125" style="2" customWidth="1"/>
    <col min="13315" max="13316" width="15.453125" style="2" bestFit="1" customWidth="1"/>
    <col min="13317" max="13317" width="18.453125" style="2" customWidth="1"/>
    <col min="13318" max="13318" width="1.26953125" style="2" customWidth="1"/>
    <col min="13319" max="13320" width="15.453125" style="2" bestFit="1" customWidth="1"/>
    <col min="13321" max="13321" width="18.453125" style="2" customWidth="1"/>
    <col min="13322" max="13322" width="1.26953125" style="2" customWidth="1"/>
    <col min="13323" max="13324" width="15.453125" style="2" customWidth="1"/>
    <col min="13325" max="13325" width="18.453125" style="2" customWidth="1"/>
    <col min="13326" max="13326" width="1.26953125" style="2" customWidth="1"/>
    <col min="13327" max="13334" width="11.453125" style="2" customWidth="1"/>
    <col min="13335" max="13337" width="18.7265625" style="2" bestFit="1" customWidth="1"/>
    <col min="13338" max="13338" width="13.54296875" style="2" bestFit="1" customWidth="1"/>
    <col min="13339" max="13339" width="13.1796875" style="2" bestFit="1" customWidth="1"/>
    <col min="13340" max="13340" width="13.54296875" style="2" bestFit="1" customWidth="1"/>
    <col min="13341" max="13341" width="13.1796875" style="2" bestFit="1" customWidth="1"/>
    <col min="13342" max="13342" width="13.54296875" style="2" bestFit="1" customWidth="1"/>
    <col min="13343" max="13343" width="13.1796875" style="2" bestFit="1" customWidth="1"/>
    <col min="13344" max="13344" width="13.54296875" style="2" bestFit="1" customWidth="1"/>
    <col min="13345" max="13345" width="13.1796875" style="2" bestFit="1" customWidth="1"/>
    <col min="13346" max="13346" width="13.54296875" style="2" bestFit="1" customWidth="1"/>
    <col min="13347" max="13347" width="13.1796875" style="2" bestFit="1" customWidth="1"/>
    <col min="13348" max="13556" width="11.453125" style="2"/>
    <col min="13557" max="13557" width="27.453125" style="2" customWidth="1"/>
    <col min="13558" max="13558" width="1.453125" style="2" customWidth="1"/>
    <col min="13559" max="13559" width="17.81640625" style="2" bestFit="1" customWidth="1"/>
    <col min="13560" max="13560" width="15.54296875" style="2" bestFit="1" customWidth="1"/>
    <col min="13561" max="13561" width="16.1796875" style="2" customWidth="1"/>
    <col min="13562" max="13562" width="1.26953125" style="2" customWidth="1"/>
    <col min="13563" max="13563" width="17.81640625" style="2" bestFit="1" customWidth="1"/>
    <col min="13564" max="13564" width="15.54296875" style="2" bestFit="1" customWidth="1"/>
    <col min="13565" max="13565" width="16.1796875" style="2" customWidth="1"/>
    <col min="13566" max="13566" width="1.7265625" style="2" customWidth="1"/>
    <col min="13567" max="13568" width="15.453125" style="2" bestFit="1" customWidth="1"/>
    <col min="13569" max="13569" width="18.453125" style="2" customWidth="1"/>
    <col min="13570" max="13570" width="1.26953125" style="2" customWidth="1"/>
    <col min="13571" max="13572" width="15.453125" style="2" bestFit="1" customWidth="1"/>
    <col min="13573" max="13573" width="18.453125" style="2" customWidth="1"/>
    <col min="13574" max="13574" width="1.26953125" style="2" customWidth="1"/>
    <col min="13575" max="13576" width="15.453125" style="2" bestFit="1" customWidth="1"/>
    <col min="13577" max="13577" width="18.453125" style="2" customWidth="1"/>
    <col min="13578" max="13578" width="1.26953125" style="2" customWidth="1"/>
    <col min="13579" max="13580" width="15.453125" style="2" customWidth="1"/>
    <col min="13581" max="13581" width="18.453125" style="2" customWidth="1"/>
    <col min="13582" max="13582" width="1.26953125" style="2" customWidth="1"/>
    <col min="13583" max="13590" width="11.453125" style="2" customWidth="1"/>
    <col min="13591" max="13593" width="18.7265625" style="2" bestFit="1" customWidth="1"/>
    <col min="13594" max="13594" width="13.54296875" style="2" bestFit="1" customWidth="1"/>
    <col min="13595" max="13595" width="13.1796875" style="2" bestFit="1" customWidth="1"/>
    <col min="13596" max="13596" width="13.54296875" style="2" bestFit="1" customWidth="1"/>
    <col min="13597" max="13597" width="13.1796875" style="2" bestFit="1" customWidth="1"/>
    <col min="13598" max="13598" width="13.54296875" style="2" bestFit="1" customWidth="1"/>
    <col min="13599" max="13599" width="13.1796875" style="2" bestFit="1" customWidth="1"/>
    <col min="13600" max="13600" width="13.54296875" style="2" bestFit="1" customWidth="1"/>
    <col min="13601" max="13601" width="13.1796875" style="2" bestFit="1" customWidth="1"/>
    <col min="13602" max="13602" width="13.54296875" style="2" bestFit="1" customWidth="1"/>
    <col min="13603" max="13603" width="13.1796875" style="2" bestFit="1" customWidth="1"/>
    <col min="13604" max="13812" width="11.453125" style="2"/>
    <col min="13813" max="13813" width="27.453125" style="2" customWidth="1"/>
    <col min="13814" max="13814" width="1.453125" style="2" customWidth="1"/>
    <col min="13815" max="13815" width="17.81640625" style="2" bestFit="1" customWidth="1"/>
    <col min="13816" max="13816" width="15.54296875" style="2" bestFit="1" customWidth="1"/>
    <col min="13817" max="13817" width="16.1796875" style="2" customWidth="1"/>
    <col min="13818" max="13818" width="1.26953125" style="2" customWidth="1"/>
    <col min="13819" max="13819" width="17.81640625" style="2" bestFit="1" customWidth="1"/>
    <col min="13820" max="13820" width="15.54296875" style="2" bestFit="1" customWidth="1"/>
    <col min="13821" max="13821" width="16.1796875" style="2" customWidth="1"/>
    <col min="13822" max="13822" width="1.7265625" style="2" customWidth="1"/>
    <col min="13823" max="13824" width="15.453125" style="2" bestFit="1" customWidth="1"/>
    <col min="13825" max="13825" width="18.453125" style="2" customWidth="1"/>
    <col min="13826" max="13826" width="1.26953125" style="2" customWidth="1"/>
    <col min="13827" max="13828" width="15.453125" style="2" bestFit="1" customWidth="1"/>
    <col min="13829" max="13829" width="18.453125" style="2" customWidth="1"/>
    <col min="13830" max="13830" width="1.26953125" style="2" customWidth="1"/>
    <col min="13831" max="13832" width="15.453125" style="2" bestFit="1" customWidth="1"/>
    <col min="13833" max="13833" width="18.453125" style="2" customWidth="1"/>
    <col min="13834" max="13834" width="1.26953125" style="2" customWidth="1"/>
    <col min="13835" max="13836" width="15.453125" style="2" customWidth="1"/>
    <col min="13837" max="13837" width="18.453125" style="2" customWidth="1"/>
    <col min="13838" max="13838" width="1.26953125" style="2" customWidth="1"/>
    <col min="13839" max="13846" width="11.453125" style="2" customWidth="1"/>
    <col min="13847" max="13849" width="18.7265625" style="2" bestFit="1" customWidth="1"/>
    <col min="13850" max="13850" width="13.54296875" style="2" bestFit="1" customWidth="1"/>
    <col min="13851" max="13851" width="13.1796875" style="2" bestFit="1" customWidth="1"/>
    <col min="13852" max="13852" width="13.54296875" style="2" bestFit="1" customWidth="1"/>
    <col min="13853" max="13853" width="13.1796875" style="2" bestFit="1" customWidth="1"/>
    <col min="13854" max="13854" width="13.54296875" style="2" bestFit="1" customWidth="1"/>
    <col min="13855" max="13855" width="13.1796875" style="2" bestFit="1" customWidth="1"/>
    <col min="13856" max="13856" width="13.54296875" style="2" bestFit="1" customWidth="1"/>
    <col min="13857" max="13857" width="13.1796875" style="2" bestFit="1" customWidth="1"/>
    <col min="13858" max="13858" width="13.54296875" style="2" bestFit="1" customWidth="1"/>
    <col min="13859" max="13859" width="13.1796875" style="2" bestFit="1" customWidth="1"/>
    <col min="13860" max="14068" width="11.453125" style="2"/>
    <col min="14069" max="14069" width="27.453125" style="2" customWidth="1"/>
    <col min="14070" max="14070" width="1.453125" style="2" customWidth="1"/>
    <col min="14071" max="14071" width="17.81640625" style="2" bestFit="1" customWidth="1"/>
    <col min="14072" max="14072" width="15.54296875" style="2" bestFit="1" customWidth="1"/>
    <col min="14073" max="14073" width="16.1796875" style="2" customWidth="1"/>
    <col min="14074" max="14074" width="1.26953125" style="2" customWidth="1"/>
    <col min="14075" max="14075" width="17.81640625" style="2" bestFit="1" customWidth="1"/>
    <col min="14076" max="14076" width="15.54296875" style="2" bestFit="1" customWidth="1"/>
    <col min="14077" max="14077" width="16.1796875" style="2" customWidth="1"/>
    <col min="14078" max="14078" width="1.7265625" style="2" customWidth="1"/>
    <col min="14079" max="14080" width="15.453125" style="2" bestFit="1" customWidth="1"/>
    <col min="14081" max="14081" width="18.453125" style="2" customWidth="1"/>
    <col min="14082" max="14082" width="1.26953125" style="2" customWidth="1"/>
    <col min="14083" max="14084" width="15.453125" style="2" bestFit="1" customWidth="1"/>
    <col min="14085" max="14085" width="18.453125" style="2" customWidth="1"/>
    <col min="14086" max="14086" width="1.26953125" style="2" customWidth="1"/>
    <col min="14087" max="14088" width="15.453125" style="2" bestFit="1" customWidth="1"/>
    <col min="14089" max="14089" width="18.453125" style="2" customWidth="1"/>
    <col min="14090" max="14090" width="1.26953125" style="2" customWidth="1"/>
    <col min="14091" max="14092" width="15.453125" style="2" customWidth="1"/>
    <col min="14093" max="14093" width="18.453125" style="2" customWidth="1"/>
    <col min="14094" max="14094" width="1.26953125" style="2" customWidth="1"/>
    <col min="14095" max="14102" width="11.453125" style="2" customWidth="1"/>
    <col min="14103" max="14105" width="18.7265625" style="2" bestFit="1" customWidth="1"/>
    <col min="14106" max="14106" width="13.54296875" style="2" bestFit="1" customWidth="1"/>
    <col min="14107" max="14107" width="13.1796875" style="2" bestFit="1" customWidth="1"/>
    <col min="14108" max="14108" width="13.54296875" style="2" bestFit="1" customWidth="1"/>
    <col min="14109" max="14109" width="13.1796875" style="2" bestFit="1" customWidth="1"/>
    <col min="14110" max="14110" width="13.54296875" style="2" bestFit="1" customWidth="1"/>
    <col min="14111" max="14111" width="13.1796875" style="2" bestFit="1" customWidth="1"/>
    <col min="14112" max="14112" width="13.54296875" style="2" bestFit="1" customWidth="1"/>
    <col min="14113" max="14113" width="13.1796875" style="2" bestFit="1" customWidth="1"/>
    <col min="14114" max="14114" width="13.54296875" style="2" bestFit="1" customWidth="1"/>
    <col min="14115" max="14115" width="13.1796875" style="2" bestFit="1" customWidth="1"/>
    <col min="14116" max="14324" width="11.453125" style="2"/>
    <col min="14325" max="14325" width="27.453125" style="2" customWidth="1"/>
    <col min="14326" max="14326" width="1.453125" style="2" customWidth="1"/>
    <col min="14327" max="14327" width="17.81640625" style="2" bestFit="1" customWidth="1"/>
    <col min="14328" max="14328" width="15.54296875" style="2" bestFit="1" customWidth="1"/>
    <col min="14329" max="14329" width="16.1796875" style="2" customWidth="1"/>
    <col min="14330" max="14330" width="1.26953125" style="2" customWidth="1"/>
    <col min="14331" max="14331" width="17.81640625" style="2" bestFit="1" customWidth="1"/>
    <col min="14332" max="14332" width="15.54296875" style="2" bestFit="1" customWidth="1"/>
    <col min="14333" max="14333" width="16.1796875" style="2" customWidth="1"/>
    <col min="14334" max="14334" width="1.7265625" style="2" customWidth="1"/>
    <col min="14335" max="14336" width="15.453125" style="2" bestFit="1" customWidth="1"/>
    <col min="14337" max="14337" width="18.453125" style="2" customWidth="1"/>
    <col min="14338" max="14338" width="1.26953125" style="2" customWidth="1"/>
    <col min="14339" max="14340" width="15.453125" style="2" bestFit="1" customWidth="1"/>
    <col min="14341" max="14341" width="18.453125" style="2" customWidth="1"/>
    <col min="14342" max="14342" width="1.26953125" style="2" customWidth="1"/>
    <col min="14343" max="14344" width="15.453125" style="2" bestFit="1" customWidth="1"/>
    <col min="14345" max="14345" width="18.453125" style="2" customWidth="1"/>
    <col min="14346" max="14346" width="1.26953125" style="2" customWidth="1"/>
    <col min="14347" max="14348" width="15.453125" style="2" customWidth="1"/>
    <col min="14349" max="14349" width="18.453125" style="2" customWidth="1"/>
    <col min="14350" max="14350" width="1.26953125" style="2" customWidth="1"/>
    <col min="14351" max="14358" width="11.453125" style="2" customWidth="1"/>
    <col min="14359" max="14361" width="18.7265625" style="2" bestFit="1" customWidth="1"/>
    <col min="14362" max="14362" width="13.54296875" style="2" bestFit="1" customWidth="1"/>
    <col min="14363" max="14363" width="13.1796875" style="2" bestFit="1" customWidth="1"/>
    <col min="14364" max="14364" width="13.54296875" style="2" bestFit="1" customWidth="1"/>
    <col min="14365" max="14365" width="13.1796875" style="2" bestFit="1" customWidth="1"/>
    <col min="14366" max="14366" width="13.54296875" style="2" bestFit="1" customWidth="1"/>
    <col min="14367" max="14367" width="13.1796875" style="2" bestFit="1" customWidth="1"/>
    <col min="14368" max="14368" width="13.54296875" style="2" bestFit="1" customWidth="1"/>
    <col min="14369" max="14369" width="13.1796875" style="2" bestFit="1" customWidth="1"/>
    <col min="14370" max="14370" width="13.54296875" style="2" bestFit="1" customWidth="1"/>
    <col min="14371" max="14371" width="13.1796875" style="2" bestFit="1" customWidth="1"/>
    <col min="14372" max="14580" width="11.453125" style="2"/>
    <col min="14581" max="14581" width="27.453125" style="2" customWidth="1"/>
    <col min="14582" max="14582" width="1.453125" style="2" customWidth="1"/>
    <col min="14583" max="14583" width="17.81640625" style="2" bestFit="1" customWidth="1"/>
    <col min="14584" max="14584" width="15.54296875" style="2" bestFit="1" customWidth="1"/>
    <col min="14585" max="14585" width="16.1796875" style="2" customWidth="1"/>
    <col min="14586" max="14586" width="1.26953125" style="2" customWidth="1"/>
    <col min="14587" max="14587" width="17.81640625" style="2" bestFit="1" customWidth="1"/>
    <col min="14588" max="14588" width="15.54296875" style="2" bestFit="1" customWidth="1"/>
    <col min="14589" max="14589" width="16.1796875" style="2" customWidth="1"/>
    <col min="14590" max="14590" width="1.7265625" style="2" customWidth="1"/>
    <col min="14591" max="14592" width="15.453125" style="2" bestFit="1" customWidth="1"/>
    <col min="14593" max="14593" width="18.453125" style="2" customWidth="1"/>
    <col min="14594" max="14594" width="1.26953125" style="2" customWidth="1"/>
    <col min="14595" max="14596" width="15.453125" style="2" bestFit="1" customWidth="1"/>
    <col min="14597" max="14597" width="18.453125" style="2" customWidth="1"/>
    <col min="14598" max="14598" width="1.26953125" style="2" customWidth="1"/>
    <col min="14599" max="14600" width="15.453125" style="2" bestFit="1" customWidth="1"/>
    <col min="14601" max="14601" width="18.453125" style="2" customWidth="1"/>
    <col min="14602" max="14602" width="1.26953125" style="2" customWidth="1"/>
    <col min="14603" max="14604" width="15.453125" style="2" customWidth="1"/>
    <col min="14605" max="14605" width="18.453125" style="2" customWidth="1"/>
    <col min="14606" max="14606" width="1.26953125" style="2" customWidth="1"/>
    <col min="14607" max="14614" width="11.453125" style="2" customWidth="1"/>
    <col min="14615" max="14617" width="18.7265625" style="2" bestFit="1" customWidth="1"/>
    <col min="14618" max="14618" width="13.54296875" style="2" bestFit="1" customWidth="1"/>
    <col min="14619" max="14619" width="13.1796875" style="2" bestFit="1" customWidth="1"/>
    <col min="14620" max="14620" width="13.54296875" style="2" bestFit="1" customWidth="1"/>
    <col min="14621" max="14621" width="13.1796875" style="2" bestFit="1" customWidth="1"/>
    <col min="14622" max="14622" width="13.54296875" style="2" bestFit="1" customWidth="1"/>
    <col min="14623" max="14623" width="13.1796875" style="2" bestFit="1" customWidth="1"/>
    <col min="14624" max="14624" width="13.54296875" style="2" bestFit="1" customWidth="1"/>
    <col min="14625" max="14625" width="13.1796875" style="2" bestFit="1" customWidth="1"/>
    <col min="14626" max="14626" width="13.54296875" style="2" bestFit="1" customWidth="1"/>
    <col min="14627" max="14627" width="13.1796875" style="2" bestFit="1" customWidth="1"/>
    <col min="14628" max="14836" width="11.453125" style="2"/>
    <col min="14837" max="14837" width="27.453125" style="2" customWidth="1"/>
    <col min="14838" max="14838" width="1.453125" style="2" customWidth="1"/>
    <col min="14839" max="14839" width="17.81640625" style="2" bestFit="1" customWidth="1"/>
    <col min="14840" max="14840" width="15.54296875" style="2" bestFit="1" customWidth="1"/>
    <col min="14841" max="14841" width="16.1796875" style="2" customWidth="1"/>
    <col min="14842" max="14842" width="1.26953125" style="2" customWidth="1"/>
    <col min="14843" max="14843" width="17.81640625" style="2" bestFit="1" customWidth="1"/>
    <col min="14844" max="14844" width="15.54296875" style="2" bestFit="1" customWidth="1"/>
    <col min="14845" max="14845" width="16.1796875" style="2" customWidth="1"/>
    <col min="14846" max="14846" width="1.7265625" style="2" customWidth="1"/>
    <col min="14847" max="14848" width="15.453125" style="2" bestFit="1" customWidth="1"/>
    <col min="14849" max="14849" width="18.453125" style="2" customWidth="1"/>
    <col min="14850" max="14850" width="1.26953125" style="2" customWidth="1"/>
    <col min="14851" max="14852" width="15.453125" style="2" bestFit="1" customWidth="1"/>
    <col min="14853" max="14853" width="18.453125" style="2" customWidth="1"/>
    <col min="14854" max="14854" width="1.26953125" style="2" customWidth="1"/>
    <col min="14855" max="14856" width="15.453125" style="2" bestFit="1" customWidth="1"/>
    <col min="14857" max="14857" width="18.453125" style="2" customWidth="1"/>
    <col min="14858" max="14858" width="1.26953125" style="2" customWidth="1"/>
    <col min="14859" max="14860" width="15.453125" style="2" customWidth="1"/>
    <col min="14861" max="14861" width="18.453125" style="2" customWidth="1"/>
    <col min="14862" max="14862" width="1.26953125" style="2" customWidth="1"/>
    <col min="14863" max="14870" width="11.453125" style="2" customWidth="1"/>
    <col min="14871" max="14873" width="18.7265625" style="2" bestFit="1" customWidth="1"/>
    <col min="14874" max="14874" width="13.54296875" style="2" bestFit="1" customWidth="1"/>
    <col min="14875" max="14875" width="13.1796875" style="2" bestFit="1" customWidth="1"/>
    <col min="14876" max="14876" width="13.54296875" style="2" bestFit="1" customWidth="1"/>
    <col min="14877" max="14877" width="13.1796875" style="2" bestFit="1" customWidth="1"/>
    <col min="14878" max="14878" width="13.54296875" style="2" bestFit="1" customWidth="1"/>
    <col min="14879" max="14879" width="13.1796875" style="2" bestFit="1" customWidth="1"/>
    <col min="14880" max="14880" width="13.54296875" style="2" bestFit="1" customWidth="1"/>
    <col min="14881" max="14881" width="13.1796875" style="2" bestFit="1" customWidth="1"/>
    <col min="14882" max="14882" width="13.54296875" style="2" bestFit="1" customWidth="1"/>
    <col min="14883" max="14883" width="13.1796875" style="2" bestFit="1" customWidth="1"/>
    <col min="14884" max="15092" width="11.453125" style="2"/>
    <col min="15093" max="15093" width="27.453125" style="2" customWidth="1"/>
    <col min="15094" max="15094" width="1.453125" style="2" customWidth="1"/>
    <col min="15095" max="15095" width="17.81640625" style="2" bestFit="1" customWidth="1"/>
    <col min="15096" max="15096" width="15.54296875" style="2" bestFit="1" customWidth="1"/>
    <col min="15097" max="15097" width="16.1796875" style="2" customWidth="1"/>
    <col min="15098" max="15098" width="1.26953125" style="2" customWidth="1"/>
    <col min="15099" max="15099" width="17.81640625" style="2" bestFit="1" customWidth="1"/>
    <col min="15100" max="15100" width="15.54296875" style="2" bestFit="1" customWidth="1"/>
    <col min="15101" max="15101" width="16.1796875" style="2" customWidth="1"/>
    <col min="15102" max="15102" width="1.7265625" style="2" customWidth="1"/>
    <col min="15103" max="15104" width="15.453125" style="2" bestFit="1" customWidth="1"/>
    <col min="15105" max="15105" width="18.453125" style="2" customWidth="1"/>
    <col min="15106" max="15106" width="1.26953125" style="2" customWidth="1"/>
    <col min="15107" max="15108" width="15.453125" style="2" bestFit="1" customWidth="1"/>
    <col min="15109" max="15109" width="18.453125" style="2" customWidth="1"/>
    <col min="15110" max="15110" width="1.26953125" style="2" customWidth="1"/>
    <col min="15111" max="15112" width="15.453125" style="2" bestFit="1" customWidth="1"/>
    <col min="15113" max="15113" width="18.453125" style="2" customWidth="1"/>
    <col min="15114" max="15114" width="1.26953125" style="2" customWidth="1"/>
    <col min="15115" max="15116" width="15.453125" style="2" customWidth="1"/>
    <col min="15117" max="15117" width="18.453125" style="2" customWidth="1"/>
    <col min="15118" max="15118" width="1.26953125" style="2" customWidth="1"/>
    <col min="15119" max="15126" width="11.453125" style="2" customWidth="1"/>
    <col min="15127" max="15129" width="18.7265625" style="2" bestFit="1" customWidth="1"/>
    <col min="15130" max="15130" width="13.54296875" style="2" bestFit="1" customWidth="1"/>
    <col min="15131" max="15131" width="13.1796875" style="2" bestFit="1" customWidth="1"/>
    <col min="15132" max="15132" width="13.54296875" style="2" bestFit="1" customWidth="1"/>
    <col min="15133" max="15133" width="13.1796875" style="2" bestFit="1" customWidth="1"/>
    <col min="15134" max="15134" width="13.54296875" style="2" bestFit="1" customWidth="1"/>
    <col min="15135" max="15135" width="13.1796875" style="2" bestFit="1" customWidth="1"/>
    <col min="15136" max="15136" width="13.54296875" style="2" bestFit="1" customWidth="1"/>
    <col min="15137" max="15137" width="13.1796875" style="2" bestFit="1" customWidth="1"/>
    <col min="15138" max="15138" width="13.54296875" style="2" bestFit="1" customWidth="1"/>
    <col min="15139" max="15139" width="13.1796875" style="2" bestFit="1" customWidth="1"/>
    <col min="15140" max="15348" width="11.453125" style="2"/>
    <col min="15349" max="15349" width="27.453125" style="2" customWidth="1"/>
    <col min="15350" max="15350" width="1.453125" style="2" customWidth="1"/>
    <col min="15351" max="15351" width="17.81640625" style="2" bestFit="1" customWidth="1"/>
    <col min="15352" max="15352" width="15.54296875" style="2" bestFit="1" customWidth="1"/>
    <col min="15353" max="15353" width="16.1796875" style="2" customWidth="1"/>
    <col min="15354" max="15354" width="1.26953125" style="2" customWidth="1"/>
    <col min="15355" max="15355" width="17.81640625" style="2" bestFit="1" customWidth="1"/>
    <col min="15356" max="15356" width="15.54296875" style="2" bestFit="1" customWidth="1"/>
    <col min="15357" max="15357" width="16.1796875" style="2" customWidth="1"/>
    <col min="15358" max="15358" width="1.7265625" style="2" customWidth="1"/>
    <col min="15359" max="15360" width="15.453125" style="2" bestFit="1" customWidth="1"/>
    <col min="15361" max="15361" width="18.453125" style="2" customWidth="1"/>
    <col min="15362" max="15362" width="1.26953125" style="2" customWidth="1"/>
    <col min="15363" max="15364" width="15.453125" style="2" bestFit="1" customWidth="1"/>
    <col min="15365" max="15365" width="18.453125" style="2" customWidth="1"/>
    <col min="15366" max="15366" width="1.26953125" style="2" customWidth="1"/>
    <col min="15367" max="15368" width="15.453125" style="2" bestFit="1" customWidth="1"/>
    <col min="15369" max="15369" width="18.453125" style="2" customWidth="1"/>
    <col min="15370" max="15370" width="1.26953125" style="2" customWidth="1"/>
    <col min="15371" max="15372" width="15.453125" style="2" customWidth="1"/>
    <col min="15373" max="15373" width="18.453125" style="2" customWidth="1"/>
    <col min="15374" max="15374" width="1.26953125" style="2" customWidth="1"/>
    <col min="15375" max="15382" width="11.453125" style="2" customWidth="1"/>
    <col min="15383" max="15385" width="18.7265625" style="2" bestFit="1" customWidth="1"/>
    <col min="15386" max="15386" width="13.54296875" style="2" bestFit="1" customWidth="1"/>
    <col min="15387" max="15387" width="13.1796875" style="2" bestFit="1" customWidth="1"/>
    <col min="15388" max="15388" width="13.54296875" style="2" bestFit="1" customWidth="1"/>
    <col min="15389" max="15389" width="13.1796875" style="2" bestFit="1" customWidth="1"/>
    <col min="15390" max="15390" width="13.54296875" style="2" bestFit="1" customWidth="1"/>
    <col min="15391" max="15391" width="13.1796875" style="2" bestFit="1" customWidth="1"/>
    <col min="15392" max="15392" width="13.54296875" style="2" bestFit="1" customWidth="1"/>
    <col min="15393" max="15393" width="13.1796875" style="2" bestFit="1" customWidth="1"/>
    <col min="15394" max="15394" width="13.54296875" style="2" bestFit="1" customWidth="1"/>
    <col min="15395" max="15395" width="13.1796875" style="2" bestFit="1" customWidth="1"/>
    <col min="15396" max="15604" width="11.453125" style="2"/>
    <col min="15605" max="15605" width="27.453125" style="2" customWidth="1"/>
    <col min="15606" max="15606" width="1.453125" style="2" customWidth="1"/>
    <col min="15607" max="15607" width="17.81640625" style="2" bestFit="1" customWidth="1"/>
    <col min="15608" max="15608" width="15.54296875" style="2" bestFit="1" customWidth="1"/>
    <col min="15609" max="15609" width="16.1796875" style="2" customWidth="1"/>
    <col min="15610" max="15610" width="1.26953125" style="2" customWidth="1"/>
    <col min="15611" max="15611" width="17.81640625" style="2" bestFit="1" customWidth="1"/>
    <col min="15612" max="15612" width="15.54296875" style="2" bestFit="1" customWidth="1"/>
    <col min="15613" max="15613" width="16.1796875" style="2" customWidth="1"/>
    <col min="15614" max="15614" width="1.7265625" style="2" customWidth="1"/>
    <col min="15615" max="15616" width="15.453125" style="2" bestFit="1" customWidth="1"/>
    <col min="15617" max="15617" width="18.453125" style="2" customWidth="1"/>
    <col min="15618" max="15618" width="1.26953125" style="2" customWidth="1"/>
    <col min="15619" max="15620" width="15.453125" style="2" bestFit="1" customWidth="1"/>
    <col min="15621" max="15621" width="18.453125" style="2" customWidth="1"/>
    <col min="15622" max="15622" width="1.26953125" style="2" customWidth="1"/>
    <col min="15623" max="15624" width="15.453125" style="2" bestFit="1" customWidth="1"/>
    <col min="15625" max="15625" width="18.453125" style="2" customWidth="1"/>
    <col min="15626" max="15626" width="1.26953125" style="2" customWidth="1"/>
    <col min="15627" max="15628" width="15.453125" style="2" customWidth="1"/>
    <col min="15629" max="15629" width="18.453125" style="2" customWidth="1"/>
    <col min="15630" max="15630" width="1.26953125" style="2" customWidth="1"/>
    <col min="15631" max="15638" width="11.453125" style="2" customWidth="1"/>
    <col min="15639" max="15641" width="18.7265625" style="2" bestFit="1" customWidth="1"/>
    <col min="15642" max="15642" width="13.54296875" style="2" bestFit="1" customWidth="1"/>
    <col min="15643" max="15643" width="13.1796875" style="2" bestFit="1" customWidth="1"/>
    <col min="15644" max="15644" width="13.54296875" style="2" bestFit="1" customWidth="1"/>
    <col min="15645" max="15645" width="13.1796875" style="2" bestFit="1" customWidth="1"/>
    <col min="15646" max="15646" width="13.54296875" style="2" bestFit="1" customWidth="1"/>
    <col min="15647" max="15647" width="13.1796875" style="2" bestFit="1" customWidth="1"/>
    <col min="15648" max="15648" width="13.54296875" style="2" bestFit="1" customWidth="1"/>
    <col min="15649" max="15649" width="13.1796875" style="2" bestFit="1" customWidth="1"/>
    <col min="15650" max="15650" width="13.54296875" style="2" bestFit="1" customWidth="1"/>
    <col min="15651" max="15651" width="13.1796875" style="2" bestFit="1" customWidth="1"/>
    <col min="15652" max="15860" width="11.453125" style="2"/>
    <col min="15861" max="15861" width="27.453125" style="2" customWidth="1"/>
    <col min="15862" max="15862" width="1.453125" style="2" customWidth="1"/>
    <col min="15863" max="15863" width="17.81640625" style="2" bestFit="1" customWidth="1"/>
    <col min="15864" max="15864" width="15.54296875" style="2" bestFit="1" customWidth="1"/>
    <col min="15865" max="15865" width="16.1796875" style="2" customWidth="1"/>
    <col min="15866" max="15866" width="1.26953125" style="2" customWidth="1"/>
    <col min="15867" max="15867" width="17.81640625" style="2" bestFit="1" customWidth="1"/>
    <col min="15868" max="15868" width="15.54296875" style="2" bestFit="1" customWidth="1"/>
    <col min="15869" max="15869" width="16.1796875" style="2" customWidth="1"/>
    <col min="15870" max="15870" width="1.7265625" style="2" customWidth="1"/>
    <col min="15871" max="15872" width="15.453125" style="2" bestFit="1" customWidth="1"/>
    <col min="15873" max="15873" width="18.453125" style="2" customWidth="1"/>
    <col min="15874" max="15874" width="1.26953125" style="2" customWidth="1"/>
    <col min="15875" max="15876" width="15.453125" style="2" bestFit="1" customWidth="1"/>
    <col min="15877" max="15877" width="18.453125" style="2" customWidth="1"/>
    <col min="15878" max="15878" width="1.26953125" style="2" customWidth="1"/>
    <col min="15879" max="15880" width="15.453125" style="2" bestFit="1" customWidth="1"/>
    <col min="15881" max="15881" width="18.453125" style="2" customWidth="1"/>
    <col min="15882" max="15882" width="1.26953125" style="2" customWidth="1"/>
    <col min="15883" max="15884" width="15.453125" style="2" customWidth="1"/>
    <col min="15885" max="15885" width="18.453125" style="2" customWidth="1"/>
    <col min="15886" max="15886" width="1.26953125" style="2" customWidth="1"/>
    <col min="15887" max="15894" width="11.453125" style="2" customWidth="1"/>
    <col min="15895" max="15897" width="18.7265625" style="2" bestFit="1" customWidth="1"/>
    <col min="15898" max="15898" width="13.54296875" style="2" bestFit="1" customWidth="1"/>
    <col min="15899" max="15899" width="13.1796875" style="2" bestFit="1" customWidth="1"/>
    <col min="15900" max="15900" width="13.54296875" style="2" bestFit="1" customWidth="1"/>
    <col min="15901" max="15901" width="13.1796875" style="2" bestFit="1" customWidth="1"/>
    <col min="15902" max="15902" width="13.54296875" style="2" bestFit="1" customWidth="1"/>
    <col min="15903" max="15903" width="13.1796875" style="2" bestFit="1" customWidth="1"/>
    <col min="15904" max="15904" width="13.54296875" style="2" bestFit="1" customWidth="1"/>
    <col min="15905" max="15905" width="13.1796875" style="2" bestFit="1" customWidth="1"/>
    <col min="15906" max="15906" width="13.54296875" style="2" bestFit="1" customWidth="1"/>
    <col min="15907" max="15907" width="13.1796875" style="2" bestFit="1" customWidth="1"/>
    <col min="15908" max="16116" width="11.453125" style="2"/>
    <col min="16117" max="16117" width="27.453125" style="2" customWidth="1"/>
    <col min="16118" max="16118" width="1.453125" style="2" customWidth="1"/>
    <col min="16119" max="16119" width="17.81640625" style="2" bestFit="1" customWidth="1"/>
    <col min="16120" max="16120" width="15.54296875" style="2" bestFit="1" customWidth="1"/>
    <col min="16121" max="16121" width="16.1796875" style="2" customWidth="1"/>
    <col min="16122" max="16122" width="1.26953125" style="2" customWidth="1"/>
    <col min="16123" max="16123" width="17.81640625" style="2" bestFit="1" customWidth="1"/>
    <col min="16124" max="16124" width="15.54296875" style="2" bestFit="1" customWidth="1"/>
    <col min="16125" max="16125" width="16.1796875" style="2" customWidth="1"/>
    <col min="16126" max="16126" width="1.7265625" style="2" customWidth="1"/>
    <col min="16127" max="16128" width="15.453125" style="2" bestFit="1" customWidth="1"/>
    <col min="16129" max="16129" width="18.453125" style="2" customWidth="1"/>
    <col min="16130" max="16130" width="1.26953125" style="2" customWidth="1"/>
    <col min="16131" max="16132" width="15.453125" style="2" bestFit="1" customWidth="1"/>
    <col min="16133" max="16133" width="18.453125" style="2" customWidth="1"/>
    <col min="16134" max="16134" width="1.26953125" style="2" customWidth="1"/>
    <col min="16135" max="16136" width="15.453125" style="2" bestFit="1" customWidth="1"/>
    <col min="16137" max="16137" width="18.453125" style="2" customWidth="1"/>
    <col min="16138" max="16138" width="1.26953125" style="2" customWidth="1"/>
    <col min="16139" max="16140" width="15.453125" style="2" customWidth="1"/>
    <col min="16141" max="16141" width="18.453125" style="2" customWidth="1"/>
    <col min="16142" max="16142" width="1.26953125" style="2" customWidth="1"/>
    <col min="16143" max="16150" width="11.453125" style="2" customWidth="1"/>
    <col min="16151" max="16153" width="18.7265625" style="2" bestFit="1" customWidth="1"/>
    <col min="16154" max="16154" width="13.54296875" style="2" bestFit="1" customWidth="1"/>
    <col min="16155" max="16155" width="13.1796875" style="2" bestFit="1" customWidth="1"/>
    <col min="16156" max="16156" width="13.54296875" style="2" bestFit="1" customWidth="1"/>
    <col min="16157" max="16157" width="13.1796875" style="2" bestFit="1" customWidth="1"/>
    <col min="16158" max="16158" width="13.54296875" style="2" bestFit="1" customWidth="1"/>
    <col min="16159" max="16159" width="13.1796875" style="2" bestFit="1" customWidth="1"/>
    <col min="16160" max="16160" width="13.54296875" style="2" bestFit="1" customWidth="1"/>
    <col min="16161" max="16161" width="13.1796875" style="2" bestFit="1" customWidth="1"/>
    <col min="16162" max="16162" width="13.54296875" style="2" bestFit="1" customWidth="1"/>
    <col min="16163" max="16163" width="13.1796875" style="2" bestFit="1" customWidth="1"/>
    <col min="16164" max="16384" width="11.453125" style="2"/>
  </cols>
  <sheetData>
    <row r="2" spans="1:35" ht="45.5" x14ac:dyDescent="0.25">
      <c r="A2" s="1">
        <f>C13</f>
        <v>46082</v>
      </c>
      <c r="B2" s="1"/>
      <c r="C2" s="1"/>
      <c r="D2" s="1"/>
      <c r="E2" s="1"/>
      <c r="F2" s="1"/>
      <c r="G2" s="1"/>
      <c r="H2" s="1"/>
      <c r="I2" s="1"/>
      <c r="J2" s="1"/>
      <c r="K2" s="1"/>
      <c r="L2" s="1"/>
      <c r="M2" s="1"/>
      <c r="N2" s="1"/>
      <c r="O2" s="1"/>
      <c r="P2" s="1"/>
      <c r="Q2" s="1"/>
      <c r="R2" s="1"/>
      <c r="S2" s="1"/>
      <c r="T2" s="1"/>
      <c r="U2" s="1"/>
      <c r="V2" s="1"/>
      <c r="W2" s="1"/>
      <c r="X2" s="1"/>
      <c r="Y2" s="1"/>
    </row>
    <row r="4" spans="1:35" ht="7.5" customHeight="1" x14ac:dyDescent="0.25"/>
    <row r="5" spans="1:35" ht="7.5" customHeight="1" x14ac:dyDescent="0.25"/>
    <row r="6" spans="1:35" ht="7.5" customHeight="1" x14ac:dyDescent="0.25"/>
    <row r="7" spans="1:35" ht="7.5" customHeight="1" x14ac:dyDescent="0.25"/>
    <row r="9" spans="1:35" ht="30.75" customHeight="1" x14ac:dyDescent="0.25">
      <c r="A9" s="762" t="s">
        <v>0</v>
      </c>
      <c r="B9" s="762"/>
      <c r="C9" s="762"/>
      <c r="D9" s="762"/>
      <c r="E9" s="762"/>
      <c r="F9" s="762"/>
      <c r="G9" s="762"/>
      <c r="H9" s="762"/>
      <c r="I9" s="762"/>
      <c r="J9" s="762"/>
      <c r="K9" s="762"/>
      <c r="L9" s="762"/>
      <c r="M9" s="762"/>
      <c r="N9" s="762"/>
      <c r="O9" s="762"/>
      <c r="P9" s="762"/>
      <c r="Q9" s="762"/>
      <c r="R9" s="762"/>
      <c r="S9" s="762"/>
      <c r="T9" s="762"/>
      <c r="U9" s="762"/>
      <c r="V9" s="762"/>
      <c r="W9" s="762"/>
      <c r="X9" s="762"/>
      <c r="Y9" s="762"/>
    </row>
    <row r="11" spans="1:35" ht="25" x14ac:dyDescent="0.5">
      <c r="C11" s="761" t="s">
        <v>72</v>
      </c>
      <c r="D11" s="761"/>
      <c r="E11" s="761"/>
      <c r="F11" s="3"/>
      <c r="G11" s="761" t="s">
        <v>73</v>
      </c>
      <c r="H11" s="761"/>
      <c r="I11" s="761"/>
      <c r="J11" s="3"/>
      <c r="K11" s="761" t="s">
        <v>84</v>
      </c>
      <c r="L11" s="761"/>
      <c r="M11" s="761"/>
      <c r="N11" s="3"/>
      <c r="O11" s="761" t="s">
        <v>59</v>
      </c>
      <c r="P11" s="761"/>
      <c r="Q11" s="761"/>
      <c r="R11" s="3"/>
      <c r="S11" s="761" t="s">
        <v>60</v>
      </c>
      <c r="T11" s="761"/>
      <c r="U11" s="761"/>
      <c r="V11" s="3"/>
      <c r="W11" s="761" t="s">
        <v>61</v>
      </c>
      <c r="X11" s="761"/>
      <c r="Y11" s="761"/>
    </row>
    <row r="12" spans="1:35" ht="6.75" customHeight="1" x14ac:dyDescent="0.4">
      <c r="C12" s="562"/>
      <c r="D12" s="562"/>
      <c r="E12" s="562"/>
      <c r="G12" s="562"/>
      <c r="H12" s="562"/>
      <c r="I12" s="562"/>
      <c r="K12" s="562"/>
      <c r="L12" s="562"/>
      <c r="M12" s="562"/>
      <c r="O12" s="562"/>
      <c r="P12" s="562"/>
      <c r="Q12" s="562"/>
      <c r="S12" s="562"/>
      <c r="T12" s="562"/>
      <c r="U12" s="562"/>
      <c r="W12" s="562"/>
      <c r="X12" s="562"/>
      <c r="Y12" s="562"/>
    </row>
    <row r="13" spans="1:35" ht="24.75" customHeight="1" x14ac:dyDescent="0.5">
      <c r="A13" s="4"/>
      <c r="B13" s="5"/>
      <c r="C13" s="559">
        <f>'Syn prin concurents'!E13</f>
        <v>46082</v>
      </c>
      <c r="D13" s="558">
        <f>C13-360</f>
        <v>45722</v>
      </c>
      <c r="E13" s="560" t="s">
        <v>62</v>
      </c>
      <c r="F13" s="3"/>
      <c r="G13" s="559">
        <f>C13</f>
        <v>46082</v>
      </c>
      <c r="H13" s="558">
        <f>G13-360</f>
        <v>45722</v>
      </c>
      <c r="I13" s="560" t="s">
        <v>62</v>
      </c>
      <c r="J13" s="3"/>
      <c r="K13" s="559">
        <f>G13</f>
        <v>46082</v>
      </c>
      <c r="L13" s="558">
        <f>H13</f>
        <v>45722</v>
      </c>
      <c r="M13" s="560" t="s">
        <v>62</v>
      </c>
      <c r="N13" s="3"/>
      <c r="O13" s="559">
        <f>K13</f>
        <v>46082</v>
      </c>
      <c r="P13" s="558">
        <f>L13</f>
        <v>45722</v>
      </c>
      <c r="Q13" s="560" t="s">
        <v>62</v>
      </c>
      <c r="R13" s="3"/>
      <c r="S13" s="559">
        <f>O13</f>
        <v>46082</v>
      </c>
      <c r="T13" s="558">
        <f>P13</f>
        <v>45722</v>
      </c>
      <c r="U13" s="560" t="s">
        <v>62</v>
      </c>
      <c r="V13" s="3"/>
      <c r="W13" s="559">
        <f>S13</f>
        <v>46082</v>
      </c>
      <c r="X13" s="558">
        <f>T13</f>
        <v>45722</v>
      </c>
      <c r="Y13" s="560" t="s">
        <v>62</v>
      </c>
      <c r="Z13" s="36" t="s">
        <v>1</v>
      </c>
      <c r="AA13" s="36"/>
      <c r="AB13" s="36" t="s">
        <v>13</v>
      </c>
      <c r="AC13" s="36"/>
      <c r="AD13" s="36" t="s">
        <v>65</v>
      </c>
      <c r="AE13" s="36"/>
      <c r="AF13" s="36" t="s">
        <v>78</v>
      </c>
      <c r="AG13" s="36"/>
      <c r="AH13" s="36" t="s">
        <v>79</v>
      </c>
      <c r="AI13" s="36"/>
    </row>
    <row r="14" spans="1:35" ht="6.75" customHeight="1" x14ac:dyDescent="0.4">
      <c r="C14" s="562"/>
      <c r="D14" s="562"/>
      <c r="E14" s="562"/>
      <c r="G14" s="562"/>
      <c r="H14" s="562"/>
      <c r="I14" s="562"/>
      <c r="K14" s="562"/>
      <c r="L14" s="562"/>
      <c r="M14" s="562"/>
      <c r="O14" s="562"/>
      <c r="P14" s="562"/>
      <c r="Q14" s="562"/>
      <c r="S14" s="562"/>
      <c r="T14" s="562"/>
      <c r="U14" s="562"/>
      <c r="W14" s="562"/>
      <c r="X14" s="562"/>
      <c r="Y14" s="562"/>
    </row>
    <row r="15" spans="1:35" ht="6" customHeight="1" x14ac:dyDescent="0.25">
      <c r="A15" s="563"/>
      <c r="B15" s="563"/>
      <c r="C15" s="563"/>
      <c r="D15" s="563"/>
      <c r="E15" s="563"/>
      <c r="G15" s="563"/>
      <c r="H15" s="563"/>
      <c r="I15" s="563"/>
      <c r="K15" s="563"/>
      <c r="L15" s="563"/>
      <c r="M15" s="563"/>
      <c r="O15" s="563"/>
      <c r="P15" s="563"/>
      <c r="Q15" s="563"/>
      <c r="S15" s="563"/>
      <c r="T15" s="563"/>
      <c r="U15" s="563"/>
      <c r="W15" s="563"/>
      <c r="X15" s="563"/>
      <c r="Y15" s="563"/>
    </row>
    <row r="16" spans="1:35" ht="26" x14ac:dyDescent="0.6">
      <c r="A16" s="6" t="s">
        <v>10</v>
      </c>
      <c r="B16" s="7"/>
      <c r="C16" s="48">
        <f>WAFASALAF!$B$12</f>
        <v>459172.33399999997</v>
      </c>
      <c r="D16" s="48">
        <f>WAFASALAF!$C$12</f>
        <v>467803.11499999999</v>
      </c>
      <c r="E16" s="49">
        <f>IF(D16=0,0,C16/D16-1)</f>
        <v>-1.8449601388396131E-2</v>
      </c>
      <c r="F16" s="10"/>
      <c r="G16" s="48">
        <f>WAFASALAF!$B$13</f>
        <v>951200.32100000011</v>
      </c>
      <c r="H16" s="48">
        <f>WAFASALAF!$C$13</f>
        <v>926717.39599999995</v>
      </c>
      <c r="I16" s="49">
        <f>IF(H16=0,0,G16/H16-1)</f>
        <v>2.641897638446844E-2</v>
      </c>
      <c r="J16" s="10"/>
      <c r="K16" s="48">
        <f>WAFASALAF!$B$24+WAFASALAF!$B$25+WAFASALAF!$B$26+WAFASALAF!$B$27</f>
        <v>662385.77300000004</v>
      </c>
      <c r="L16" s="48">
        <f>WAFASALAF!$C$24+WAFASALAF!$C$25+WAFASALAF!$C$26+WAFASALAF!$C$27</f>
        <v>716594.402</v>
      </c>
      <c r="M16" s="49">
        <f>IF(L16=0,0,K16/L16-1)</f>
        <v>-7.5647575321136751E-2</v>
      </c>
      <c r="N16" s="10"/>
      <c r="O16" s="8">
        <f>WAFASALAF!$B$18</f>
        <v>259295.33900000001</v>
      </c>
      <c r="P16" s="8">
        <f>WAFASALAF!$C$18</f>
        <v>162726.734</v>
      </c>
      <c r="Q16" s="9">
        <f>IF(P16=0,0,O16/P16-1)</f>
        <v>0.59344031940074471</v>
      </c>
      <c r="R16" s="10"/>
      <c r="S16" s="8">
        <f>WAFASALAF!$B$28</f>
        <v>4779.0460000000003</v>
      </c>
      <c r="T16" s="8">
        <f>WAFASALAF!$C$28</f>
        <v>5315.21</v>
      </c>
      <c r="U16" s="9">
        <f>IF(T16=0,0,S16/T16-1)</f>
        <v>-0.10087353086707762</v>
      </c>
      <c r="V16" s="10"/>
      <c r="W16" s="48">
        <f>S16+O16+K16+G16+C16</f>
        <v>2336832.8130000001</v>
      </c>
      <c r="X16" s="48">
        <f>T16+P16+L16+H16+D16</f>
        <v>2279156.8569999998</v>
      </c>
      <c r="Y16" s="49">
        <f>IF(X16=0,0,W16/X16-1)</f>
        <v>2.5305830014665132E-2</v>
      </c>
      <c r="Z16" s="35">
        <f>C16+G16-'Syn prin concurents'!E18</f>
        <v>0</v>
      </c>
      <c r="AA16" s="35">
        <f>D16+H16-'Syn prin concurents'!F18</f>
        <v>0</v>
      </c>
      <c r="AB16" s="35">
        <f>K16-'Syn prin concurents'!I18</f>
        <v>0</v>
      </c>
      <c r="AC16" s="35">
        <f>L16-'Syn prin concurents'!J18</f>
        <v>0</v>
      </c>
      <c r="AD16" s="35">
        <f>O16-'Syn prin concurents'!M18</f>
        <v>0</v>
      </c>
      <c r="AE16" s="35">
        <f>P16-'Syn prin concurents'!N18</f>
        <v>0</v>
      </c>
      <c r="AF16" s="35">
        <f>S16-'Syn prin concurents'!Q18</f>
        <v>0</v>
      </c>
      <c r="AG16" s="35">
        <f>T16-'Syn prin concurents'!R18</f>
        <v>0</v>
      </c>
      <c r="AH16" s="35">
        <f>W16-'Syn prin concurents'!U18</f>
        <v>0</v>
      </c>
      <c r="AI16" s="35">
        <f>X16-'Syn prin concurents'!V18</f>
        <v>0</v>
      </c>
    </row>
    <row r="17" spans="1:35" ht="18.5" x14ac:dyDescent="0.45">
      <c r="A17" s="11" t="s">
        <v>67</v>
      </c>
      <c r="B17" s="12"/>
      <c r="C17" s="13">
        <f>C16/C$30</f>
        <v>0.13308894918814212</v>
      </c>
      <c r="D17" s="13">
        <f>D16/D$30</f>
        <v>0.14882279302496221</v>
      </c>
      <c r="E17" s="14">
        <f>(C17-D17)*100</f>
        <v>-1.5733843836820083</v>
      </c>
      <c r="F17" s="15"/>
      <c r="G17" s="13">
        <f>G16/G$30</f>
        <v>0.27109255157427764</v>
      </c>
      <c r="H17" s="13">
        <f>H16/H$30</f>
        <v>0.28130835387410291</v>
      </c>
      <c r="I17" s="14">
        <f>(G17-H17)*100</f>
        <v>-1.0215802299825272</v>
      </c>
      <c r="J17" s="15"/>
      <c r="K17" s="13">
        <f>K16/K$30</f>
        <v>0.37004574783373417</v>
      </c>
      <c r="L17" s="13">
        <f>L16/L$30</f>
        <v>0.34591583425594064</v>
      </c>
      <c r="M17" s="14">
        <f>(K17-L17)*100</f>
        <v>2.4129913577793536</v>
      </c>
      <c r="N17" s="15"/>
      <c r="O17" s="13">
        <f>O16/O$30</f>
        <v>0.99495650703895477</v>
      </c>
      <c r="P17" s="13">
        <f>P16/P$30</f>
        <v>0.98184501776087263</v>
      </c>
      <c r="Q17" s="14">
        <f>(O17-P17)*100</f>
        <v>1.3111489278082145</v>
      </c>
      <c r="R17" s="15"/>
      <c r="S17" s="13">
        <f>S16/S$30</f>
        <v>0.79358884688781328</v>
      </c>
      <c r="T17" s="13">
        <f>T16/T$30</f>
        <v>0.89505427536136695</v>
      </c>
      <c r="U17" s="14">
        <f>(S17-T17)*100</f>
        <v>-10.146542847355366</v>
      </c>
      <c r="V17" s="15"/>
      <c r="W17" s="13">
        <f>W16/W$30</f>
        <v>0.25920098534248082</v>
      </c>
      <c r="X17" s="13">
        <f>X16/X$30</f>
        <v>0.26254759263017746</v>
      </c>
      <c r="Y17" s="14">
        <f>(W17-X17)*100</f>
        <v>-0.33466072876966457</v>
      </c>
      <c r="Z17" s="35">
        <f>C17+G17-'Syn prin concurents'!E19</f>
        <v>0.20150919964519778</v>
      </c>
      <c r="AA17" s="35">
        <f>D17+H17-'Syn prin concurents'!F19</f>
        <v>0.21352868899507546</v>
      </c>
      <c r="AB17" s="35">
        <f>K17-'Syn prin concurents'!I19</f>
        <v>0</v>
      </c>
      <c r="AC17" s="35">
        <f>L17-'Syn prin concurents'!J19</f>
        <v>0</v>
      </c>
      <c r="AD17" s="35">
        <f>O17-'Syn prin concurents'!M19</f>
        <v>0</v>
      </c>
      <c r="AE17" s="35">
        <f>P17-'Syn prin concurents'!N19</f>
        <v>0</v>
      </c>
      <c r="AF17" s="35">
        <f>S17-'Syn prin concurents'!Q19</f>
        <v>0</v>
      </c>
      <c r="AG17" s="35">
        <f>T17-'Syn prin concurents'!R19</f>
        <v>0</v>
      </c>
      <c r="AH17" s="35">
        <f>W17-'Syn prin concurents'!U19</f>
        <v>0</v>
      </c>
      <c r="AI17" s="35">
        <f>X17-'Syn prin concurents'!V19</f>
        <v>1.476211204365363E-5</v>
      </c>
    </row>
    <row r="18" spans="1:35" ht="25" x14ac:dyDescent="0.5">
      <c r="A18" s="16" t="s">
        <v>2</v>
      </c>
      <c r="B18" s="7"/>
      <c r="C18" s="50">
        <f>SOFAC!$B$12</f>
        <v>1477587.7146600005</v>
      </c>
      <c r="D18" s="50">
        <f>SOFAC!$C$12</f>
        <v>1209540.0634300001</v>
      </c>
      <c r="E18" s="51">
        <f>IF(D18=0,0,C18/D18-1)</f>
        <v>0.22161122176463821</v>
      </c>
      <c r="F18" s="3"/>
      <c r="G18" s="50">
        <f>SOFAC!$B$13</f>
        <v>1393341.4098533413</v>
      </c>
      <c r="H18" s="50">
        <f>SOFAC!$C$13</f>
        <v>1165306.3545366684</v>
      </c>
      <c r="I18" s="51">
        <f>IF(H18=0,0,G18/H18-1)</f>
        <v>0.19568678607896262</v>
      </c>
      <c r="J18" s="3"/>
      <c r="K18" s="50">
        <f>SOFAC!$B$24+SOFAC!$B$25+SOFAC!$B$26+SOFAC!$B$27</f>
        <v>427944.80401999998</v>
      </c>
      <c r="L18" s="50">
        <f>SOFAC!$C$24+SOFAC!$C$25+SOFAC!$C$26+SOFAC!$C$27</f>
        <v>365996.13644999999</v>
      </c>
      <c r="M18" s="51">
        <f>IF(L18=0,0,K18/L18-1)</f>
        <v>0.16926044130103279</v>
      </c>
      <c r="N18" s="3"/>
      <c r="O18" s="50">
        <f>SOFAC!$B$18</f>
        <v>1143.1022999999998</v>
      </c>
      <c r="P18" s="50">
        <f>SOFAC!$C$18</f>
        <v>2242.694</v>
      </c>
      <c r="Q18" s="51">
        <f>IF(P18=0,0,O18/P18-1)</f>
        <v>-0.49029947910860783</v>
      </c>
      <c r="R18" s="3"/>
      <c r="S18" s="50">
        <f>SOFAC!$B$28</f>
        <v>0</v>
      </c>
      <c r="T18" s="50">
        <f>SOFAC!$C$28</f>
        <v>0</v>
      </c>
      <c r="U18" s="51">
        <f>IF(T18=0,0,S18/T18-1)</f>
        <v>0</v>
      </c>
      <c r="V18" s="3"/>
      <c r="W18" s="50">
        <f>S18+O18+K18+G18+C18</f>
        <v>3300017.0308333421</v>
      </c>
      <c r="X18" s="50">
        <f>T18+P18+L18+H18+D18</f>
        <v>2743085.2484166687</v>
      </c>
      <c r="Y18" s="51">
        <f>IF(X18=0,0,W18/X18-1)</f>
        <v>0.20303116089379247</v>
      </c>
      <c r="Z18" s="35">
        <f>C18+G18-'Syn prin concurents'!E16</f>
        <v>0</v>
      </c>
      <c r="AA18" s="35">
        <f>D18+H18-'Syn prin concurents'!F16</f>
        <v>0</v>
      </c>
      <c r="AB18" s="35">
        <f>K18-'Syn prin concurents'!I16</f>
        <v>0</v>
      </c>
      <c r="AC18" s="35">
        <f>L18-'Syn prin concurents'!J16</f>
        <v>0</v>
      </c>
      <c r="AD18" s="35">
        <f>O18-'Syn prin concurents'!M16</f>
        <v>0</v>
      </c>
      <c r="AE18" s="35">
        <f>P18-'Syn prin concurents'!N16</f>
        <v>0</v>
      </c>
      <c r="AF18" s="35">
        <f>S18-'Syn prin concurents'!Q16</f>
        <v>0</v>
      </c>
      <c r="AG18" s="35">
        <f>T18-'Syn prin concurents'!R16</f>
        <v>0</v>
      </c>
      <c r="AH18" s="35">
        <f>W18-'Syn prin concurents'!U16</f>
        <v>0</v>
      </c>
      <c r="AI18" s="35">
        <f>X18-'Syn prin concurents'!V16</f>
        <v>0</v>
      </c>
    </row>
    <row r="19" spans="1:35" ht="18.5" x14ac:dyDescent="0.45">
      <c r="A19" s="19" t="s">
        <v>67</v>
      </c>
      <c r="B19" s="12"/>
      <c r="C19" s="21">
        <f>C18/C$30</f>
        <v>0.42827187466701311</v>
      </c>
      <c r="D19" s="21">
        <f>D18/D$30</f>
        <v>0.38479250082642685</v>
      </c>
      <c r="E19" s="22">
        <f>(C19-D19)*100</f>
        <v>4.3479373840586257</v>
      </c>
      <c r="F19" s="15"/>
      <c r="G19" s="21">
        <f>G18/G$30</f>
        <v>0.39710297575818798</v>
      </c>
      <c r="H19" s="21">
        <f>H18/H$30</f>
        <v>0.3537328788352021</v>
      </c>
      <c r="I19" s="22">
        <f>(G19-H19)*100</f>
        <v>4.3370096922985883</v>
      </c>
      <c r="J19" s="15"/>
      <c r="K19" s="21">
        <f>K18/K$30</f>
        <v>0.23907390751754823</v>
      </c>
      <c r="L19" s="21">
        <f>L18/L$30</f>
        <v>0.17667436212340498</v>
      </c>
      <c r="M19" s="22">
        <f>(K19-L19)*100</f>
        <v>6.2399545394143248</v>
      </c>
      <c r="N19" s="15"/>
      <c r="O19" s="21">
        <f>O18/O$30</f>
        <v>4.386261149091443E-3</v>
      </c>
      <c r="P19" s="21">
        <f>P18/P$30</f>
        <v>1.3531752749749175E-2</v>
      </c>
      <c r="Q19" s="22">
        <f>(O19-P19)*100</f>
        <v>-0.91454916006577325</v>
      </c>
      <c r="R19" s="15"/>
      <c r="S19" s="21">
        <f>S18/S$30</f>
        <v>0</v>
      </c>
      <c r="T19" s="21">
        <f>T18/T$30</f>
        <v>0</v>
      </c>
      <c r="U19" s="22">
        <f>(S19-T19)*100</f>
        <v>0</v>
      </c>
      <c r="V19" s="15"/>
      <c r="W19" s="21">
        <f>W18/W$30</f>
        <v>0.36603716846172607</v>
      </c>
      <c r="X19" s="21">
        <f>X18/X$30</f>
        <v>0.31598984779797834</v>
      </c>
      <c r="Y19" s="22">
        <f>(W19-X19)*100</f>
        <v>5.004732066374773</v>
      </c>
      <c r="Z19" s="35">
        <f>C19+G19-'Syn prin concurents'!E17</f>
        <v>0.41281877175564508</v>
      </c>
      <c r="AA19" s="35">
        <f>D19+H19-'Syn prin concurents'!F17</f>
        <v>0.36965481288366492</v>
      </c>
      <c r="AB19" s="35">
        <f>K19-'Syn prin concurents'!I17</f>
        <v>0</v>
      </c>
      <c r="AC19" s="35">
        <f>L19-'Syn prin concurents'!J17</f>
        <v>0</v>
      </c>
      <c r="AD19" s="35">
        <f>O19-'Syn prin concurents'!M17</f>
        <v>0</v>
      </c>
      <c r="AE19" s="35">
        <f>P19-'Syn prin concurents'!N17</f>
        <v>0</v>
      </c>
      <c r="AF19" s="35">
        <f>S19-'Syn prin concurents'!Q17</f>
        <v>0</v>
      </c>
      <c r="AG19" s="35">
        <f>T19-'Syn prin concurents'!R17</f>
        <v>0</v>
      </c>
      <c r="AH19" s="35">
        <f>W19-'Syn prin concurents'!U17</f>
        <v>0</v>
      </c>
      <c r="AI19" s="35">
        <f>X19-'Syn prin concurents'!V17</f>
        <v>1.7766978897493235E-5</v>
      </c>
    </row>
    <row r="20" spans="1:35" ht="25.5" x14ac:dyDescent="0.55000000000000004">
      <c r="A20" s="6" t="s">
        <v>5</v>
      </c>
      <c r="B20" s="296"/>
      <c r="C20" s="310">
        <f>VIVALIS!$B$12</f>
        <v>346945.91100000002</v>
      </c>
      <c r="D20" s="310">
        <f>VIVALIS!$C$12</f>
        <v>544967.05900000001</v>
      </c>
      <c r="E20" s="311">
        <f>IF(D20=0,0,C20/D20-1)</f>
        <v>-0.36336351845442461</v>
      </c>
      <c r="F20" s="3"/>
      <c r="G20" s="310">
        <f>VIVALIS!$B$13</f>
        <v>434119.86899999995</v>
      </c>
      <c r="H20" s="310">
        <f>VIVALIS!$C$13</f>
        <v>489315.14800000004</v>
      </c>
      <c r="I20" s="311">
        <f>IF(H20=0,0,G20/H20-1)</f>
        <v>-0.11280108377106712</v>
      </c>
      <c r="J20" s="3"/>
      <c r="K20" s="310">
        <f>VIVALIS!$B$24+VIVALIS!$B$25+VIVALIS!$B$26+VIVALIS!$B$27</f>
        <v>212657.49100000004</v>
      </c>
      <c r="L20" s="310">
        <f>VIVALIS!$C$24+VIVALIS!$C$25+VIVALIS!$C$26+VIVALIS!$C$27</f>
        <v>324761.02799999999</v>
      </c>
      <c r="M20" s="311">
        <f>IF(L20=0,0,K20/L20-1)</f>
        <v>-0.34518777604066442</v>
      </c>
      <c r="N20" s="3"/>
      <c r="O20" s="310">
        <f>VIVALIS!$B$18</f>
        <v>0</v>
      </c>
      <c r="P20" s="310">
        <f>VIVALIS!$C$18</f>
        <v>0</v>
      </c>
      <c r="Q20" s="311">
        <f>IF(P20=0,0,O20/P20-1)</f>
        <v>0</v>
      </c>
      <c r="R20" s="3"/>
      <c r="S20" s="310">
        <f>VIVALIS!$B$28</f>
        <v>0</v>
      </c>
      <c r="T20" s="310">
        <f>VIVALIS!$C$28</f>
        <v>0</v>
      </c>
      <c r="U20" s="311">
        <f>IF(T20=0,0,S20/T20-1)</f>
        <v>0</v>
      </c>
      <c r="V20" s="3"/>
      <c r="W20" s="310">
        <f>S20+O20+K20+G20+C20</f>
        <v>993723.27099999995</v>
      </c>
      <c r="X20" s="310">
        <f>T20+P20+L20+H20+D20</f>
        <v>1359043.2349999999</v>
      </c>
      <c r="Y20" s="311">
        <f>IF(X20=0,0,W20/X20-1)</f>
        <v>-0.26880672710901643</v>
      </c>
      <c r="Z20" s="35">
        <f>C20+G20-'Syn prin concurents'!E20</f>
        <v>0</v>
      </c>
      <c r="AA20" s="35">
        <f>D20+H20-'Syn prin concurents'!F20</f>
        <v>1.0000000474974513E-3</v>
      </c>
      <c r="AB20" s="35">
        <f>K20-'Syn prin concurents'!I20</f>
        <v>0</v>
      </c>
      <c r="AC20" s="35">
        <f>L20-'Syn prin concurents'!J20</f>
        <v>0</v>
      </c>
      <c r="AD20" s="35">
        <f>O20-'Syn prin concurents'!M20</f>
        <v>0</v>
      </c>
      <c r="AE20" s="35">
        <f>P20-'Syn prin concurents'!N20</f>
        <v>0</v>
      </c>
      <c r="AF20" s="35">
        <f>S20-'Syn prin concurents'!Q20</f>
        <v>0</v>
      </c>
      <c r="AG20" s="35">
        <f>T20-'Syn prin concurents'!R20</f>
        <v>0</v>
      </c>
      <c r="AH20" s="35">
        <f>W20-'Syn prin concurents'!U20</f>
        <v>0</v>
      </c>
      <c r="AI20" s="35">
        <f>X20-'Syn prin concurents'!V20</f>
        <v>9.9999993108212948E-4</v>
      </c>
    </row>
    <row r="21" spans="1:35" ht="18.5" x14ac:dyDescent="0.45">
      <c r="A21" s="11" t="s">
        <v>67</v>
      </c>
      <c r="B21" s="299"/>
      <c r="C21" s="300">
        <f>C20/C$30</f>
        <v>0.10056064640887682</v>
      </c>
      <c r="D21" s="300">
        <f>D20/D$30</f>
        <v>0.17337105552830567</v>
      </c>
      <c r="E21" s="301">
        <f>(C21-D21)*100</f>
        <v>-7.2810409119428847</v>
      </c>
      <c r="F21" s="15"/>
      <c r="G21" s="300">
        <f>G20/G$30</f>
        <v>0.12372437264589731</v>
      </c>
      <c r="H21" s="300">
        <f>H20/H$30</f>
        <v>0.14853334943713853</v>
      </c>
      <c r="I21" s="301">
        <f>(G21-H21)*100</f>
        <v>-2.480897679124122</v>
      </c>
      <c r="J21" s="15"/>
      <c r="K21" s="300">
        <f>K20/K$30</f>
        <v>0.11880237091013215</v>
      </c>
      <c r="L21" s="300">
        <f>L20/L$30</f>
        <v>0.15676927090261708</v>
      </c>
      <c r="M21" s="301">
        <f>(K21-L21)*100</f>
        <v>-3.7966899992484926</v>
      </c>
      <c r="N21" s="15"/>
      <c r="O21" s="300">
        <f>O20/O$30</f>
        <v>0</v>
      </c>
      <c r="P21" s="300">
        <f>P20/P$30</f>
        <v>0</v>
      </c>
      <c r="Q21" s="301">
        <f>(O21-P21)*100</f>
        <v>0</v>
      </c>
      <c r="R21" s="15"/>
      <c r="S21" s="300">
        <f>S20/S$30</f>
        <v>0</v>
      </c>
      <c r="T21" s="300">
        <f>T20/T$30</f>
        <v>0</v>
      </c>
      <c r="U21" s="301">
        <f>(S21-T21)*100</f>
        <v>0</v>
      </c>
      <c r="V21" s="15"/>
      <c r="W21" s="300">
        <f>W20/W$30</f>
        <v>0.1102235682279223</v>
      </c>
      <c r="X21" s="300">
        <f>X20/X$30</f>
        <v>0.15655505610932091</v>
      </c>
      <c r="Y21" s="301">
        <f>(W21-X21)*100</f>
        <v>-4.6331487881398612</v>
      </c>
      <c r="Z21" s="35">
        <f>C21+G21-'Syn prin concurents'!E21</f>
        <v>0.11204489698822863</v>
      </c>
      <c r="AA21" s="35">
        <f>D21+H21-'Syn prin concurents'!F21</f>
        <v>0.16125558967816545</v>
      </c>
      <c r="AB21" s="35">
        <f>K21-'Syn prin concurents'!I21</f>
        <v>0</v>
      </c>
      <c r="AC21" s="35">
        <f>L21-'Syn prin concurents'!J21</f>
        <v>0</v>
      </c>
      <c r="AD21" s="35">
        <f>O21-'Syn prin concurents'!M21</f>
        <v>0</v>
      </c>
      <c r="AE21" s="35">
        <f>P21-'Syn prin concurents'!N21</f>
        <v>0</v>
      </c>
      <c r="AF21" s="35">
        <f>S21-'Syn prin concurents'!Q21</f>
        <v>0</v>
      </c>
      <c r="AG21" s="35">
        <f>T21-'Syn prin concurents'!R21</f>
        <v>0</v>
      </c>
      <c r="AH21" s="35">
        <f>W21-'Syn prin concurents'!U21</f>
        <v>0</v>
      </c>
      <c r="AI21" s="35">
        <f>X21-'Syn prin concurents'!V21</f>
        <v>8.8026460216827918E-6</v>
      </c>
    </row>
    <row r="22" spans="1:35" ht="26" x14ac:dyDescent="0.6">
      <c r="A22" s="6" t="s">
        <v>6</v>
      </c>
      <c r="B22" s="7"/>
      <c r="C22" s="48">
        <f>EQDOM!$B$12</f>
        <v>234377.663</v>
      </c>
      <c r="D22" s="48">
        <f>EQDOM!$C$12</f>
        <v>168230.65100000001</v>
      </c>
      <c r="E22" s="49">
        <f>IF(D22=0,0,C22/D22-1)</f>
        <v>0.39319239155770713</v>
      </c>
      <c r="F22" s="10"/>
      <c r="G22" s="48">
        <f>EQDOM!$B$13+EQDOM!$B$17</f>
        <v>420953.54300000001</v>
      </c>
      <c r="H22" s="48">
        <f>EQDOM!$C$13+EQDOM!$C$17</f>
        <v>375553.52</v>
      </c>
      <c r="I22" s="49">
        <f>IF(H22=0,0,G22/H22-1)</f>
        <v>0.12088829043594096</v>
      </c>
      <c r="J22" s="10"/>
      <c r="K22" s="48">
        <f>EQDOM!$B$24+EQDOM!$B$25+EQDOM!$B$26+EQDOM!$B$27</f>
        <v>284808.21899999998</v>
      </c>
      <c r="L22" s="48">
        <f>EQDOM!$C$24+EQDOM!$C$25+EQDOM!$C$26+EQDOM!$C$27</f>
        <v>375445.18700000003</v>
      </c>
      <c r="M22" s="49">
        <f>IF(L22=0,0,K22/L22-1)</f>
        <v>-0.24141198539322339</v>
      </c>
      <c r="N22" s="10"/>
      <c r="O22" s="8">
        <f>EQDOM!$B$18</f>
        <v>171.28100000000001</v>
      </c>
      <c r="P22" s="8">
        <f>EQDOM!$C$18</f>
        <v>766.23400000000004</v>
      </c>
      <c r="Q22" s="9">
        <f>IF(P22=0,0,O22/P22-1)</f>
        <v>-0.7764638478584871</v>
      </c>
      <c r="R22" s="10"/>
      <c r="S22" s="8">
        <f>EQDOM!$B$28</f>
        <v>0</v>
      </c>
      <c r="T22" s="8">
        <f>EQDOM!$C$28</f>
        <v>0</v>
      </c>
      <c r="U22" s="9">
        <f>IF(T22=0,0,S22/T22-1)</f>
        <v>0</v>
      </c>
      <c r="V22" s="10"/>
      <c r="W22" s="48">
        <f>S22+O22+K22+G22+C22</f>
        <v>940310.70600000001</v>
      </c>
      <c r="X22" s="48">
        <f>T22+P22+L22+H22+D22</f>
        <v>919995.59200000018</v>
      </c>
      <c r="Y22" s="49">
        <f>IF(X22=0,0,W22/X22-1)</f>
        <v>2.2081751452565523E-2</v>
      </c>
      <c r="Z22" s="35">
        <f>C22+G22-'Syn prin concurents'!E22</f>
        <v>0</v>
      </c>
      <c r="AA22" s="35">
        <f>D22+H22-'Syn prin concurents'!F22</f>
        <v>1.0000000474974513E-3</v>
      </c>
      <c r="AB22" s="35">
        <f>K22-'Syn prin concurents'!I22</f>
        <v>0</v>
      </c>
      <c r="AC22" s="35">
        <f>L22-'Syn prin concurents'!J22</f>
        <v>0</v>
      </c>
      <c r="AD22" s="35">
        <f>O22-'Syn prin concurents'!M22</f>
        <v>0</v>
      </c>
      <c r="AE22" s="35">
        <f>P22-'Syn prin concurents'!N22</f>
        <v>0</v>
      </c>
      <c r="AF22" s="35">
        <f>S22-'Syn prin concurents'!Q22</f>
        <v>0</v>
      </c>
      <c r="AG22" s="35">
        <f>T22-'Syn prin concurents'!R22</f>
        <v>0</v>
      </c>
      <c r="AH22" s="35">
        <f>W22-'Syn prin concurents'!U22</f>
        <v>0</v>
      </c>
      <c r="AI22" s="35">
        <f>X22-'Syn prin concurents'!V22</f>
        <v>1.0000001639127731E-3</v>
      </c>
    </row>
    <row r="23" spans="1:35" ht="18.5" x14ac:dyDescent="0.45">
      <c r="A23" s="11" t="s">
        <v>67</v>
      </c>
      <c r="B23" s="12"/>
      <c r="C23" s="13">
        <f>C22/C$30</f>
        <v>6.7933267255257807E-2</v>
      </c>
      <c r="D23" s="13">
        <f>D22/D$30</f>
        <v>5.3519428476288898E-2</v>
      </c>
      <c r="E23" s="14">
        <f>(C23-D23)*100</f>
        <v>1.4413838778968908</v>
      </c>
      <c r="F23" s="15"/>
      <c r="G23" s="13">
        <f>G22/G$30</f>
        <v>0.11997196336743288</v>
      </c>
      <c r="H23" s="13">
        <f>H22/H$30</f>
        <v>0.11400060359158835</v>
      </c>
      <c r="I23" s="14">
        <f>(G23-H23)*100</f>
        <v>0.59713597758445225</v>
      </c>
      <c r="J23" s="15"/>
      <c r="K23" s="13">
        <f>K22/K$30</f>
        <v>0.15910980381073028</v>
      </c>
      <c r="L23" s="13">
        <f>L22/L$30</f>
        <v>0.18123562606128571</v>
      </c>
      <c r="M23" s="14">
        <f>(K23-L23)*100</f>
        <v>-2.2125822250555425</v>
      </c>
      <c r="N23" s="15"/>
      <c r="O23" s="13">
        <f>O22/O$30</f>
        <v>6.5723181195377839E-4</v>
      </c>
      <c r="P23" s="13">
        <f>P22/P$30</f>
        <v>4.6232294893780914E-3</v>
      </c>
      <c r="Q23" s="14">
        <f>(O23-P23)*100</f>
        <v>-0.39659976774243133</v>
      </c>
      <c r="R23" s="15"/>
      <c r="S23" s="13">
        <f>S22/S$30</f>
        <v>0</v>
      </c>
      <c r="T23" s="13">
        <f>T22/T$30</f>
        <v>0</v>
      </c>
      <c r="U23" s="14">
        <f>(S23-T23)*100</f>
        <v>0</v>
      </c>
      <c r="V23" s="15"/>
      <c r="W23" s="13">
        <f>W22/W$30</f>
        <v>0.10429905818139665</v>
      </c>
      <c r="X23" s="13">
        <f>X22/X$30</f>
        <v>0.10597894004887046</v>
      </c>
      <c r="Y23" s="14">
        <f>(W23-X23)*100</f>
        <v>-0.16798818674738092</v>
      </c>
      <c r="Z23" s="35">
        <f>C23+G23-'Syn prin concurents'!E23</f>
        <v>9.3733322905191555E-2</v>
      </c>
      <c r="AA23" s="35">
        <f>D23+H23-'Syn prin concurents'!F23</f>
        <v>8.3057317563363972E-2</v>
      </c>
      <c r="AB23" s="35">
        <f>K23-'Syn prin concurents'!I23</f>
        <v>0</v>
      </c>
      <c r="AC23" s="35">
        <f>L23-'Syn prin concurents'!J23</f>
        <v>0</v>
      </c>
      <c r="AD23" s="35">
        <f>O23-'Syn prin concurents'!M23</f>
        <v>0</v>
      </c>
      <c r="AE23" s="35">
        <f>P23-'Syn prin concurents'!N23</f>
        <v>0</v>
      </c>
      <c r="AF23" s="35">
        <f>S23-'Syn prin concurents'!Q23</f>
        <v>0</v>
      </c>
      <c r="AG23" s="35">
        <f>T23-'Syn prin concurents'!R23</f>
        <v>0</v>
      </c>
      <c r="AH23" s="35">
        <f>W23-'Syn prin concurents'!U23</f>
        <v>0</v>
      </c>
      <c r="AI23" s="35">
        <f>X23-'Syn prin concurents'!V23</f>
        <v>5.9589319181541089E-6</v>
      </c>
    </row>
    <row r="24" spans="1:35" ht="26" x14ac:dyDescent="0.6">
      <c r="A24" s="6" t="s">
        <v>4</v>
      </c>
      <c r="B24" s="7"/>
      <c r="C24" s="48">
        <f>'RCI '!$B$12</f>
        <v>669033.28399999999</v>
      </c>
      <c r="D24" s="48">
        <f>'RCI '!$C$12</f>
        <v>524957.66599999997</v>
      </c>
      <c r="E24" s="49">
        <f>IF(D24=0,0,C24/D24-1)</f>
        <v>0.27445187932544646</v>
      </c>
      <c r="F24" s="10"/>
      <c r="G24" s="48">
        <f>'RCI '!$B$13</f>
        <v>209701.78000000003</v>
      </c>
      <c r="H24" s="48">
        <f>'RCI '!$C$13+'RCI '!$C$17</f>
        <v>251180.28499999997</v>
      </c>
      <c r="I24" s="49">
        <f>IF(H24=0,0,G24/H24-1)</f>
        <v>-0.16513439739110081</v>
      </c>
      <c r="J24" s="10"/>
      <c r="K24" s="48">
        <f>'RCI '!$B$24+'RCI '!$B$25+'RCI '!$B$26+'RCI '!$B$27</f>
        <v>0</v>
      </c>
      <c r="L24" s="48">
        <f>'RCI '!$C$24+'RCI '!$C$25+'RCI '!$C$26+'RCI '!$C$27</f>
        <v>0</v>
      </c>
      <c r="M24" s="49">
        <f>IF(L24=0,0,K24/L24-1)</f>
        <v>0</v>
      </c>
      <c r="N24" s="10"/>
      <c r="O24" s="8">
        <f>'RCI '!$B$18</f>
        <v>0</v>
      </c>
      <c r="P24" s="8">
        <f>'RCI '!$C$18</f>
        <v>0</v>
      </c>
      <c r="Q24" s="9">
        <f>IF(P24=0,0,O24/P24-1)</f>
        <v>0</v>
      </c>
      <c r="R24" s="10"/>
      <c r="S24" s="8">
        <f>'RCI '!$B$28</f>
        <v>0</v>
      </c>
      <c r="T24" s="8">
        <f>'RCI '!$C$28</f>
        <v>0</v>
      </c>
      <c r="U24" s="9">
        <f>IF(T24=0,0,S24/T24-1)</f>
        <v>0</v>
      </c>
      <c r="V24" s="10"/>
      <c r="W24" s="48">
        <f>S24+O24+K24+G24+C24</f>
        <v>878735.06400000001</v>
      </c>
      <c r="X24" s="48">
        <f>T24+P24+L24+H24+D24</f>
        <v>776137.95099999988</v>
      </c>
      <c r="Y24" s="49">
        <f>IF(X24=0,0,W24/X24-1)</f>
        <v>0.13218927494501576</v>
      </c>
      <c r="Z24" s="35">
        <f>C24+G24-'Syn prin concurents'!E24</f>
        <v>0</v>
      </c>
      <c r="AA24" s="35">
        <f>D24+H24-'Syn prin concurents'!F24</f>
        <v>0</v>
      </c>
      <c r="AB24" s="35">
        <f>K24-'Syn prin concurents'!I24</f>
        <v>0</v>
      </c>
      <c r="AC24" s="35">
        <f>L24-'Syn prin concurents'!J24</f>
        <v>0</v>
      </c>
      <c r="AD24" s="35">
        <f>O24-'Syn prin concurents'!M24</f>
        <v>0</v>
      </c>
      <c r="AE24" s="35">
        <f>P24-'Syn prin concurents'!N24</f>
        <v>0</v>
      </c>
      <c r="AF24" s="35">
        <f>S24-'Syn prin concurents'!Q24</f>
        <v>0</v>
      </c>
      <c r="AG24" s="35">
        <f>T24-'Syn prin concurents'!R24</f>
        <v>0</v>
      </c>
      <c r="AH24" s="35">
        <f>W24-'Syn prin concurents'!U24</f>
        <v>0</v>
      </c>
      <c r="AI24" s="35">
        <f>X24-'Syn prin concurents'!V24</f>
        <v>0</v>
      </c>
    </row>
    <row r="25" spans="1:35" ht="18.5" x14ac:dyDescent="0.45">
      <c r="A25" s="11" t="s">
        <v>67</v>
      </c>
      <c r="B25" s="12"/>
      <c r="C25" s="13">
        <f>C24/C$30</f>
        <v>0.19391616207315285</v>
      </c>
      <c r="D25" s="13">
        <f>D24/D$30</f>
        <v>0.16700544218048918</v>
      </c>
      <c r="E25" s="14">
        <f>(C25-D25)*100</f>
        <v>2.6910719892663666</v>
      </c>
      <c r="F25" s="15"/>
      <c r="G25" s="13">
        <f>G24/G$30</f>
        <v>5.9765108731358207E-2</v>
      </c>
      <c r="H25" s="13">
        <f>H24/H$30</f>
        <v>7.6246666787485262E-2</v>
      </c>
      <c r="I25" s="14">
        <f>(G25-H25)*100</f>
        <v>-1.6481558056127055</v>
      </c>
      <c r="J25" s="15"/>
      <c r="K25" s="13">
        <f>K24/K$30</f>
        <v>0</v>
      </c>
      <c r="L25" s="13">
        <f>L24/L$30</f>
        <v>0</v>
      </c>
      <c r="M25" s="14">
        <f>(K25-L25)*100</f>
        <v>0</v>
      </c>
      <c r="N25" s="15"/>
      <c r="O25" s="13">
        <f>O24/O$30</f>
        <v>0</v>
      </c>
      <c r="P25" s="13">
        <f>P24/P$30</f>
        <v>0</v>
      </c>
      <c r="Q25" s="14">
        <f>(O25-P25)*100</f>
        <v>0</v>
      </c>
      <c r="R25" s="15"/>
      <c r="S25" s="13">
        <f>S24/S$30</f>
        <v>0</v>
      </c>
      <c r="T25" s="13">
        <f>T24/T$30</f>
        <v>0</v>
      </c>
      <c r="U25" s="14">
        <f>(S25-T25)*100</f>
        <v>0</v>
      </c>
      <c r="V25" s="15"/>
      <c r="W25" s="13">
        <f>W24/W$30</f>
        <v>9.7469101416536794E-2</v>
      </c>
      <c r="X25" s="13">
        <f>X24/X$30</f>
        <v>8.940725161505135E-2</v>
      </c>
      <c r="Y25" s="14">
        <f>(W25-X25)*100</f>
        <v>0.80618498014854434</v>
      </c>
      <c r="Z25" s="35">
        <f>C25+G25-'Syn prin concurents'!E25</f>
        <v>0.12740595139733685</v>
      </c>
      <c r="AA25" s="35">
        <f>D25+H25-'Syn prin concurents'!F25</f>
        <v>0.12269928343899497</v>
      </c>
      <c r="AB25" s="35">
        <f>K25-'Syn prin concurents'!I25</f>
        <v>0</v>
      </c>
      <c r="AC25" s="35">
        <f>L25-'Syn prin concurents'!J25</f>
        <v>0</v>
      </c>
      <c r="AD25" s="35">
        <f>O25-'Syn prin concurents'!M25</f>
        <v>0</v>
      </c>
      <c r="AE25" s="35">
        <f>P25-'Syn prin concurents'!N25</f>
        <v>0</v>
      </c>
      <c r="AF25" s="35">
        <f>S25-'Syn prin concurents'!Q25</f>
        <v>0</v>
      </c>
      <c r="AG25" s="35">
        <f>T25-'Syn prin concurents'!R25</f>
        <v>0</v>
      </c>
      <c r="AH25" s="35">
        <f>W25-'Syn prin concurents'!U25</f>
        <v>0</v>
      </c>
      <c r="AI25" s="35">
        <f>X25-'Syn prin concurents'!V25</f>
        <v>5.0270499631355214E-6</v>
      </c>
    </row>
    <row r="26" spans="1:35" ht="26" x14ac:dyDescent="0.6">
      <c r="A26" s="6" t="s">
        <v>7</v>
      </c>
      <c r="B26" s="7"/>
      <c r="C26" s="48">
        <f>SALAFIN!$B$12</f>
        <v>52268.239000000001</v>
      </c>
      <c r="D26" s="48">
        <f>SALAFIN!$C$12</f>
        <v>57604.135999999999</v>
      </c>
      <c r="E26" s="49">
        <f>IF(D26=0,0,C26/D26-1)</f>
        <v>-9.2630449313570118E-2</v>
      </c>
      <c r="F26" s="10"/>
      <c r="G26" s="48">
        <f>SALAFIN!$B$13</f>
        <v>98756.197</v>
      </c>
      <c r="H26" s="48">
        <f>SALAFIN!$C$13</f>
        <v>84957.421999999991</v>
      </c>
      <c r="I26" s="49">
        <f>IF(H26=0,0,G26/H26-1)</f>
        <v>0.1624198884000978</v>
      </c>
      <c r="J26" s="10"/>
      <c r="K26" s="48">
        <f>SALAFIN!$B$24+SALAFIN!$B$25+SALAFIN!$B$26+SALAFIN!$B$27</f>
        <v>100851.571</v>
      </c>
      <c r="L26" s="48">
        <f>SALAFIN!$C$24+SALAFIN!$C$25+SALAFIN!$C$26+SALAFIN!$C$27</f>
        <v>126212.977</v>
      </c>
      <c r="M26" s="49">
        <f>IF(L26=0,0,K26/L26-1)</f>
        <v>-0.20094135011172432</v>
      </c>
      <c r="N26" s="10"/>
      <c r="O26" s="8">
        <f>SALAFIN!$B$18</f>
        <v>0</v>
      </c>
      <c r="P26" s="8">
        <f>SALAFIN!$C$18</f>
        <v>0</v>
      </c>
      <c r="Q26" s="9">
        <f>IF(P26=0,0,O26/P26-1)</f>
        <v>0</v>
      </c>
      <c r="R26" s="10"/>
      <c r="S26" s="8">
        <f>SALAFIN!$B$28</f>
        <v>1243.0219999999999</v>
      </c>
      <c r="T26" s="8">
        <f>SALAFIN!$C$28</f>
        <v>623.21199999999999</v>
      </c>
      <c r="U26" s="9">
        <f>IF(T26=0,0,S26/T26-1)</f>
        <v>0.99454118341752085</v>
      </c>
      <c r="V26" s="10"/>
      <c r="W26" s="48">
        <f>S26+O26+K26+G26+C26</f>
        <v>253119.02899999998</v>
      </c>
      <c r="X26" s="48">
        <f>T26+P26+L26+H26+D26</f>
        <v>269397.74699999997</v>
      </c>
      <c r="Y26" s="49">
        <f>IF(X26=0,0,W26/X26-1)</f>
        <v>-6.0426333112577946E-2</v>
      </c>
      <c r="Z26" s="35">
        <f>C26+G26-'Syn prin concurents'!E26</f>
        <v>0</v>
      </c>
      <c r="AA26" s="35">
        <f>D26+H26-'Syn prin concurents'!F26</f>
        <v>0</v>
      </c>
      <c r="AB26" s="35">
        <f>K26-'Syn prin concurents'!I26</f>
        <v>0</v>
      </c>
      <c r="AC26" s="35">
        <f>L26-'Syn prin concurents'!J26</f>
        <v>0</v>
      </c>
      <c r="AD26" s="35">
        <f>O26-'Syn prin concurents'!M26</f>
        <v>0</v>
      </c>
      <c r="AE26" s="35">
        <f>P26-'Syn prin concurents'!N26</f>
        <v>0</v>
      </c>
      <c r="AF26" s="35">
        <f>S26-'Syn prin concurents'!Q26</f>
        <v>0</v>
      </c>
      <c r="AG26" s="35">
        <f>T26-'Syn prin concurents'!R26</f>
        <v>0</v>
      </c>
      <c r="AH26" s="35">
        <f>W26-'Syn prin concurents'!U26</f>
        <v>0</v>
      </c>
      <c r="AI26" s="35">
        <f>X26-'Syn prin concurents'!V26</f>
        <v>0</v>
      </c>
    </row>
    <row r="27" spans="1:35" ht="18.5" x14ac:dyDescent="0.45">
      <c r="A27" s="11" t="s">
        <v>67</v>
      </c>
      <c r="B27" s="12"/>
      <c r="C27" s="13">
        <f>C26/C$30</f>
        <v>1.5149704129222797E-2</v>
      </c>
      <c r="D27" s="13">
        <f>D26/D$30</f>
        <v>1.8325676196725996E-2</v>
      </c>
      <c r="E27" s="14">
        <f>(C27-D27)*100</f>
        <v>-0.31759720675031983</v>
      </c>
      <c r="F27" s="15"/>
      <c r="G27" s="13">
        <f>G26/G$30</f>
        <v>2.8145563912716574E-2</v>
      </c>
      <c r="H27" s="13">
        <f>H26/H$30</f>
        <v>2.5789126906826186E-2</v>
      </c>
      <c r="I27" s="14">
        <f>(G27-H27)*100</f>
        <v>0.23564370058903883</v>
      </c>
      <c r="J27" s="15"/>
      <c r="K27" s="13">
        <f>K26/K$30</f>
        <v>5.6341329376502075E-2</v>
      </c>
      <c r="L27" s="13">
        <f>L26/L$30</f>
        <v>6.0925772111851982E-2</v>
      </c>
      <c r="M27" s="14">
        <f>(K27-L27)*100</f>
        <v>-0.45844427353499073</v>
      </c>
      <c r="N27" s="15"/>
      <c r="O27" s="13">
        <f>O26/O$30</f>
        <v>0</v>
      </c>
      <c r="P27" s="13">
        <f>P26/P$30</f>
        <v>0</v>
      </c>
      <c r="Q27" s="14">
        <f>(O27-P27)*100</f>
        <v>0</v>
      </c>
      <c r="R27" s="15"/>
      <c r="S27" s="13">
        <f>S26/S$30</f>
        <v>0.20641115311218669</v>
      </c>
      <c r="T27" s="13">
        <f>T26/T$30</f>
        <v>0.10494572463863294</v>
      </c>
      <c r="U27" s="14">
        <f>(S27-T27)*100</f>
        <v>10.146542847355375</v>
      </c>
      <c r="V27" s="15"/>
      <c r="W27" s="13">
        <f>W26/W$30</f>
        <v>2.8075907425103405E-2</v>
      </c>
      <c r="X27" s="13">
        <f>X26/X$30</f>
        <v>3.1033287471027102E-2</v>
      </c>
      <c r="Y27" s="14">
        <f>(W27-X27)*100</f>
        <v>-0.29573800459236976</v>
      </c>
      <c r="Z27" s="35">
        <f>C27+G27-'Syn prin concurents'!E27</f>
        <v>2.1592869133013691E-2</v>
      </c>
      <c r="AA27" s="35">
        <f>D27+H27-'Syn prin concurents'!F27</f>
        <v>2.1971576365869456E-2</v>
      </c>
      <c r="AB27" s="35">
        <f>K27-'Syn prin concurents'!I27</f>
        <v>0</v>
      </c>
      <c r="AC27" s="35">
        <f>L27-'Syn prin concurents'!J27</f>
        <v>0</v>
      </c>
      <c r="AD27" s="35">
        <f>O27-'Syn prin concurents'!M27</f>
        <v>0</v>
      </c>
      <c r="AE27" s="35">
        <f>P27-'Syn prin concurents'!N27</f>
        <v>0</v>
      </c>
      <c r="AF27" s="35">
        <f>S27-'Syn prin concurents'!Q27</f>
        <v>0</v>
      </c>
      <c r="AG27" s="35">
        <f>T27-'Syn prin concurents'!R27</f>
        <v>0</v>
      </c>
      <c r="AH27" s="35">
        <f>W27-'Syn prin concurents'!U27</f>
        <v>0</v>
      </c>
      <c r="AI27" s="35">
        <f>X27-'Syn prin concurents'!V27</f>
        <v>1.7448907534863001E-6</v>
      </c>
    </row>
    <row r="28" spans="1:35" ht="26" x14ac:dyDescent="0.6">
      <c r="A28" s="6" t="s">
        <v>11</v>
      </c>
      <c r="B28" s="7"/>
      <c r="C28" s="48">
        <f>'AXA CREDIT'!$B$12</f>
        <v>242.441</v>
      </c>
      <c r="D28" s="48">
        <f>'AXA CREDIT'!$C$12</f>
        <v>1251.827</v>
      </c>
      <c r="E28" s="49">
        <f>IF(D28=0,0,C28/D28-1)</f>
        <v>-0.80633026768075777</v>
      </c>
      <c r="F28" s="10"/>
      <c r="G28" s="48">
        <f>'AXA CREDIT'!$B$13</f>
        <v>692.85500000000002</v>
      </c>
      <c r="H28" s="48">
        <f>'AXA CREDIT'!$C$13</f>
        <v>1281.5550000000001</v>
      </c>
      <c r="I28" s="49">
        <f>IF(H28=0,0,G28/H28-1)</f>
        <v>-0.45936381973461926</v>
      </c>
      <c r="J28" s="10"/>
      <c r="K28" s="48">
        <f>'AXA CREDIT'!$B$24+'AXA CREDIT'!$B$25+'AXA CREDIT'!$B$26+'AXA CREDIT'!$B$27</f>
        <v>93308.448999999993</v>
      </c>
      <c r="L28" s="48">
        <f>'AXA CREDIT'!$C$24+'AXA CREDIT'!$C$25+'AXA CREDIT'!$C$26+'AXA CREDIT'!$C$27</f>
        <v>151048.95299999998</v>
      </c>
      <c r="M28" s="49">
        <f>IF(L28=0,0,K28/L28-1)</f>
        <v>-0.3822635169142814</v>
      </c>
      <c r="N28" s="10"/>
      <c r="O28" s="8">
        <f>'AXA CREDIT'!$B$18</f>
        <v>0</v>
      </c>
      <c r="P28" s="8">
        <f>'AXA CREDIT'!$C$18</f>
        <v>0</v>
      </c>
      <c r="Q28" s="9">
        <f>IF(P28=0,0,O28/P28-1)</f>
        <v>0</v>
      </c>
      <c r="R28" s="10"/>
      <c r="S28" s="8">
        <f>'AXA CREDIT'!$B$28</f>
        <v>0</v>
      </c>
      <c r="T28" s="8">
        <f>'AXA CREDIT'!$C$28</f>
        <v>0</v>
      </c>
      <c r="U28" s="9">
        <f>IF(T28=0,0,S28/T28-1)</f>
        <v>0</v>
      </c>
      <c r="V28" s="10"/>
      <c r="W28" s="48">
        <f>S28+O28+K28+G28+C28</f>
        <v>94243.744999999995</v>
      </c>
      <c r="X28" s="48">
        <f>T28+P28+L28+H28+D28</f>
        <v>153582.33499999996</v>
      </c>
      <c r="Y28" s="49">
        <f>IF(X28=0,0,W28/X28-1)</f>
        <v>-0.38636337961654232</v>
      </c>
      <c r="Z28" s="35">
        <f>C28+G28-'Syn prin concurents'!E28</f>
        <v>0</v>
      </c>
      <c r="AA28" s="35">
        <f>D28+H28-'Syn prin concurents'!F28</f>
        <v>-488.12699999999995</v>
      </c>
      <c r="AB28" s="35">
        <f>K28-'Syn prin concurents'!I28</f>
        <v>0</v>
      </c>
      <c r="AC28" s="35">
        <f>L28-'Syn prin concurents'!J28</f>
        <v>0</v>
      </c>
      <c r="AD28" s="35">
        <f>O28-'Syn prin concurents'!M28</f>
        <v>0</v>
      </c>
      <c r="AE28" s="35">
        <f>P28-'Syn prin concurents'!N28</f>
        <v>0</v>
      </c>
      <c r="AF28" s="35">
        <f>S28-'Syn prin concurents'!Q28</f>
        <v>0</v>
      </c>
      <c r="AG28" s="35">
        <f>T28-'Syn prin concurents'!R28</f>
        <v>0</v>
      </c>
      <c r="AH28" s="35">
        <f>W28-'Syn prin concurents'!U28</f>
        <v>0</v>
      </c>
      <c r="AI28" s="35">
        <f>X28-'Syn prin concurents'!V28</f>
        <v>-488.12700000000768</v>
      </c>
    </row>
    <row r="29" spans="1:35" ht="19" thickBot="1" x14ac:dyDescent="0.5">
      <c r="A29" s="11" t="s">
        <v>67</v>
      </c>
      <c r="B29" s="12"/>
      <c r="C29" s="13">
        <f>C28/C$30</f>
        <v>7.0270387697448625E-5</v>
      </c>
      <c r="D29" s="13">
        <f>D28/D$30</f>
        <v>3.9824529711406337E-4</v>
      </c>
      <c r="E29" s="14">
        <f>(C29-D29)*100</f>
        <v>-3.2797490941661477E-2</v>
      </c>
      <c r="F29" s="15"/>
      <c r="G29" s="13">
        <f>G28/G$30</f>
        <v>1.9746401012936174E-4</v>
      </c>
      <c r="H29" s="13">
        <f>H28/H$30</f>
        <v>3.890205676565567E-4</v>
      </c>
      <c r="I29" s="14">
        <f>(G29-H29)*100</f>
        <v>-1.9155655752719495E-2</v>
      </c>
      <c r="J29" s="15"/>
      <c r="K29" s="13">
        <f>K28/K$30</f>
        <v>5.2127319451667695E-2</v>
      </c>
      <c r="L29" s="13">
        <f>L28/L$30</f>
        <v>7.2914642431830448E-2</v>
      </c>
      <c r="M29" s="14">
        <f>(K29-L29)*100</f>
        <v>-2.0787322980162752</v>
      </c>
      <c r="N29" s="15"/>
      <c r="O29" s="13">
        <f>O28/O$30</f>
        <v>0</v>
      </c>
      <c r="P29" s="13">
        <f>P28/P$30</f>
        <v>0</v>
      </c>
      <c r="Q29" s="14">
        <f>(O29-P29)*100</f>
        <v>0</v>
      </c>
      <c r="R29" s="15"/>
      <c r="S29" s="13">
        <f>S28/S$30</f>
        <v>0</v>
      </c>
      <c r="T29" s="13">
        <f>T28/T$30</f>
        <v>0</v>
      </c>
      <c r="U29" s="14">
        <f>(S29-T29)*100</f>
        <v>0</v>
      </c>
      <c r="V29" s="15"/>
      <c r="W29" s="13">
        <f>W28/W$30</f>
        <v>1.0453495616147657E-2</v>
      </c>
      <c r="X29" s="13">
        <f>X28/X$30</f>
        <v>1.7691925064713277E-2</v>
      </c>
      <c r="Y29" s="14">
        <f>(W29-X29)*100</f>
        <v>-0.72384294485656198</v>
      </c>
      <c r="Z29" s="35">
        <f>C29+G29-'Syn prin concurents'!E29</f>
        <v>1.3333120171143105E-4</v>
      </c>
      <c r="AA29" s="35">
        <f>D29+H29-'Syn prin concurents'!F29</f>
        <v>3.1795310040710906E-4</v>
      </c>
      <c r="AB29" s="35">
        <f>K29-'Syn prin concurents'!I29</f>
        <v>0</v>
      </c>
      <c r="AC29" s="35">
        <f>L29-'Syn prin concurents'!J29</f>
        <v>0</v>
      </c>
      <c r="AD29" s="35">
        <f>O29-'Syn prin concurents'!M29</f>
        <v>0</v>
      </c>
      <c r="AE29" s="35">
        <f>P29-'Syn prin concurents'!N29</f>
        <v>0</v>
      </c>
      <c r="AF29" s="35">
        <f>S29-'Syn prin concurents'!Q29</f>
        <v>0</v>
      </c>
      <c r="AG29" s="35">
        <f>T29-'Syn prin concurents'!R29</f>
        <v>0</v>
      </c>
      <c r="AH29" s="35">
        <f>W29-'Syn prin concurents'!U29</f>
        <v>0</v>
      </c>
      <c r="AI29" s="35">
        <f>X29-'Syn prin concurents'!V29</f>
        <v>-5.5231899874951668E-5</v>
      </c>
    </row>
    <row r="30" spans="1:35" ht="29" thickBot="1" x14ac:dyDescent="0.7">
      <c r="A30" s="23" t="s">
        <v>8</v>
      </c>
      <c r="B30" s="52"/>
      <c r="C30" s="53">
        <f>GLOBAL!$B$12</f>
        <v>3450116.1576600005</v>
      </c>
      <c r="D30" s="53">
        <f>GLOBAL!$C$12</f>
        <v>3143356.64243</v>
      </c>
      <c r="E30" s="54">
        <f>IF(D30=0,0,C30/D30-1)</f>
        <v>9.7589790190927062E-2</v>
      </c>
      <c r="F30" s="55"/>
      <c r="G30" s="53">
        <f>GLOBAL!$B$13+GLOBAL!$B$17</f>
        <v>3508765.9748533415</v>
      </c>
      <c r="H30" s="53">
        <f>GLOBAL!$C$13+GLOBAL!$C$17</f>
        <v>3294311.6805366687</v>
      </c>
      <c r="I30" s="54">
        <f>IF(H30=0,0,G30/H30-1)</f>
        <v>6.5098361998867205E-2</v>
      </c>
      <c r="J30" s="55"/>
      <c r="K30" s="53">
        <f>GLOBAL!$B$24+GLOBAL!$B$25+GLOBAL!$B$26+GLOBAL!$B$27</f>
        <v>1790010.4970199999</v>
      </c>
      <c r="L30" s="53">
        <f>GLOBAL!$C$24+GLOBAL!$C$25+GLOBAL!$C$26+GLOBAL!$C$27</f>
        <v>2071586.0074499999</v>
      </c>
      <c r="M30" s="54">
        <f>IF(L30=0,0,K30/L30-1)</f>
        <v>-0.13592267442306338</v>
      </c>
      <c r="N30" s="55"/>
      <c r="O30" s="53">
        <f>GLOBAL!$B$18</f>
        <v>260609.72229999999</v>
      </c>
      <c r="P30" s="53">
        <f>GLOBAL!$C$18</f>
        <v>165735.66200000001</v>
      </c>
      <c r="Q30" s="54">
        <f>IF(P30=0,0,O30/P30-1)</f>
        <v>0.57244203905855806</v>
      </c>
      <c r="R30" s="55"/>
      <c r="S30" s="53">
        <f>GLOBAL!$B$28</f>
        <v>6022.0680000000002</v>
      </c>
      <c r="T30" s="53">
        <f>GLOBAL!$C$28</f>
        <v>5938.4220000000005</v>
      </c>
      <c r="U30" s="54">
        <f>IF(T30=0,0,S30/T30-1)</f>
        <v>1.40855601033405E-2</v>
      </c>
      <c r="V30" s="55"/>
      <c r="W30" s="53">
        <f>S30+O30+K30+G30+C30</f>
        <v>9015524.4198333416</v>
      </c>
      <c r="X30" s="53">
        <f>T30+P30+L30+H30+D30</f>
        <v>8680928.4144166689</v>
      </c>
      <c r="Y30" s="54">
        <f>IF(X30=0,0,W30/X30-1)</f>
        <v>3.8543804238841517E-2</v>
      </c>
      <c r="Z30" s="35">
        <f>C30+G30-'Syn prin concurents'!E30</f>
        <v>0</v>
      </c>
      <c r="AA30" s="35">
        <f>D30+H30-'Syn prin concurents'!F30</f>
        <v>-488.125</v>
      </c>
      <c r="AB30" s="35">
        <f>K30-'Syn prin concurents'!I30</f>
        <v>0</v>
      </c>
      <c r="AC30" s="35">
        <f>L30-'Syn prin concurents'!J30</f>
        <v>0</v>
      </c>
      <c r="AD30" s="35">
        <f>O30-'Syn prin concurents'!M30</f>
        <v>0</v>
      </c>
      <c r="AE30" s="35">
        <f>P30-'Syn prin concurents'!N30</f>
        <v>0</v>
      </c>
      <c r="AF30" s="35">
        <f>S30-'Syn prin concurents'!Q30</f>
        <v>0</v>
      </c>
      <c r="AG30" s="35">
        <f>T30-'Syn prin concurents'!R30</f>
        <v>0</v>
      </c>
      <c r="AH30" s="35">
        <f>W30-'Syn prin concurents'!U30</f>
        <v>0</v>
      </c>
      <c r="AI30" s="35">
        <f>X30-'Syn prin concurents'!V30</f>
        <v>-488.125</v>
      </c>
    </row>
    <row r="31" spans="1:35" ht="14" x14ac:dyDescent="0.25">
      <c r="A31" s="221"/>
      <c r="C31" s="26"/>
      <c r="G31" s="26"/>
      <c r="K31" s="26"/>
      <c r="L31" s="27"/>
      <c r="M31" s="28"/>
    </row>
    <row r="32" spans="1:35" ht="27.5" x14ac:dyDescent="0.25">
      <c r="A32" s="762" t="s">
        <v>80</v>
      </c>
      <c r="B32" s="762"/>
      <c r="C32" s="762"/>
      <c r="D32" s="762"/>
      <c r="E32" s="762"/>
      <c r="F32" s="762"/>
      <c r="G32" s="762"/>
      <c r="H32" s="762"/>
      <c r="I32" s="762"/>
      <c r="J32" s="762"/>
      <c r="K32" s="762"/>
      <c r="L32" s="762"/>
      <c r="M32" s="762"/>
      <c r="N32" s="762"/>
      <c r="O32" s="762"/>
      <c r="P32" s="762"/>
      <c r="Q32" s="762"/>
      <c r="R32" s="762"/>
      <c r="S32" s="762"/>
      <c r="T32" s="762"/>
      <c r="U32" s="762"/>
      <c r="V32" s="762"/>
      <c r="W32" s="762"/>
      <c r="X32" s="762"/>
      <c r="Y32" s="762"/>
    </row>
    <row r="34" spans="1:35" ht="25" x14ac:dyDescent="0.5">
      <c r="C34" s="761" t="s">
        <v>72</v>
      </c>
      <c r="D34" s="761"/>
      <c r="E34" s="761"/>
      <c r="F34" s="3"/>
      <c r="G34" s="761" t="s">
        <v>73</v>
      </c>
      <c r="H34" s="761"/>
      <c r="I34" s="761"/>
      <c r="J34" s="3"/>
      <c r="K34" s="761" t="s">
        <v>84</v>
      </c>
      <c r="L34" s="761"/>
      <c r="M34" s="761"/>
      <c r="N34" s="3"/>
      <c r="O34" s="761" t="s">
        <v>59</v>
      </c>
      <c r="P34" s="761"/>
      <c r="Q34" s="761"/>
      <c r="R34" s="3"/>
      <c r="S34" s="761" t="s">
        <v>60</v>
      </c>
      <c r="T34" s="761"/>
      <c r="U34" s="761"/>
      <c r="V34" s="3"/>
      <c r="W34" s="761" t="s">
        <v>61</v>
      </c>
      <c r="X34" s="761"/>
      <c r="Y34" s="761"/>
    </row>
    <row r="35" spans="1:35" ht="6.75" customHeight="1" x14ac:dyDescent="0.4">
      <c r="C35" s="562"/>
      <c r="D35" s="562"/>
      <c r="E35" s="562"/>
      <c r="G35" s="562"/>
      <c r="H35" s="562"/>
      <c r="I35" s="562"/>
      <c r="K35" s="562"/>
      <c r="L35" s="562"/>
      <c r="M35" s="562"/>
      <c r="O35" s="562"/>
      <c r="P35" s="562"/>
      <c r="Q35" s="562"/>
      <c r="S35" s="562"/>
      <c r="T35" s="562"/>
      <c r="U35" s="562"/>
      <c r="W35" s="562"/>
      <c r="X35" s="562"/>
      <c r="Y35" s="562"/>
    </row>
    <row r="36" spans="1:35" ht="24.75" customHeight="1" x14ac:dyDescent="0.5">
      <c r="A36" s="4"/>
      <c r="B36" s="5"/>
      <c r="C36" s="559">
        <f>C13</f>
        <v>46082</v>
      </c>
      <c r="D36" s="558">
        <v>43435</v>
      </c>
      <c r="E36" s="560" t="s">
        <v>62</v>
      </c>
      <c r="F36" s="3"/>
      <c r="G36" s="559">
        <f>G13</f>
        <v>46082</v>
      </c>
      <c r="H36" s="558">
        <f>D36</f>
        <v>43435</v>
      </c>
      <c r="I36" s="560" t="s">
        <v>62</v>
      </c>
      <c r="J36" s="3"/>
      <c r="K36" s="559">
        <f>G36</f>
        <v>46082</v>
      </c>
      <c r="L36" s="558">
        <f>H36</f>
        <v>43435</v>
      </c>
      <c r="M36" s="560" t="s">
        <v>62</v>
      </c>
      <c r="N36" s="3"/>
      <c r="O36" s="559">
        <f>O13</f>
        <v>46082</v>
      </c>
      <c r="P36" s="558">
        <f>L36</f>
        <v>43435</v>
      </c>
      <c r="Q36" s="560" t="s">
        <v>62</v>
      </c>
      <c r="R36" s="3"/>
      <c r="S36" s="559">
        <f>O36</f>
        <v>46082</v>
      </c>
      <c r="T36" s="558">
        <f>P36</f>
        <v>43435</v>
      </c>
      <c r="U36" s="560" t="s">
        <v>62</v>
      </c>
      <c r="V36" s="3"/>
      <c r="W36" s="559">
        <f>S36</f>
        <v>46082</v>
      </c>
      <c r="X36" s="558">
        <f>T36</f>
        <v>43435</v>
      </c>
      <c r="Y36" s="560" t="s">
        <v>62</v>
      </c>
    </row>
    <row r="37" spans="1:35" ht="6.75" customHeight="1" x14ac:dyDescent="0.4">
      <c r="C37" s="562"/>
      <c r="D37" s="562"/>
      <c r="E37" s="562"/>
      <c r="G37" s="562"/>
      <c r="H37" s="562"/>
      <c r="I37" s="562"/>
      <c r="K37" s="562"/>
      <c r="L37" s="562"/>
      <c r="M37" s="562"/>
      <c r="O37" s="562"/>
      <c r="P37" s="562"/>
      <c r="Q37" s="562"/>
      <c r="S37" s="562"/>
      <c r="T37" s="562"/>
      <c r="U37" s="562"/>
      <c r="W37" s="562"/>
      <c r="X37" s="562"/>
      <c r="Y37" s="562"/>
    </row>
    <row r="38" spans="1:35" ht="6" customHeight="1" x14ac:dyDescent="0.25">
      <c r="A38" s="563"/>
      <c r="B38" s="563"/>
      <c r="C38" s="563"/>
      <c r="D38" s="563"/>
      <c r="E38" s="563"/>
      <c r="G38" s="563"/>
      <c r="H38" s="563"/>
      <c r="I38" s="563"/>
      <c r="K38" s="563"/>
      <c r="L38" s="563"/>
      <c r="M38" s="563"/>
      <c r="O38" s="563"/>
      <c r="P38" s="563"/>
      <c r="Q38" s="563"/>
      <c r="S38" s="563"/>
      <c r="T38" s="563"/>
      <c r="U38" s="563"/>
      <c r="W38" s="563"/>
      <c r="X38" s="563"/>
      <c r="Y38" s="563"/>
    </row>
    <row r="39" spans="1:35" ht="26" x14ac:dyDescent="0.6">
      <c r="A39" s="6" t="s">
        <v>10</v>
      </c>
      <c r="B39" s="7"/>
      <c r="C39" s="48">
        <f>WAFASALAF!$B$42</f>
        <v>3152663.0060000001</v>
      </c>
      <c r="D39" s="48" t="e">
        <f>#REF!</f>
        <v>#REF!</v>
      </c>
      <c r="E39" s="49" t="e">
        <f>IF(D39=0,0,C39/D39-1)</f>
        <v>#REF!</v>
      </c>
      <c r="F39" s="10"/>
      <c r="G39" s="48">
        <f>WAFASALAF!$B$43+WAFASALAF!$B$45</f>
        <v>12532088.526000001</v>
      </c>
      <c r="H39" s="48" t="e">
        <f>#REF!</f>
        <v>#REF!</v>
      </c>
      <c r="I39" s="49" t="e">
        <f>IF(H39=0,0,G39/H39-1)</f>
        <v>#REF!</v>
      </c>
      <c r="J39" s="10"/>
      <c r="K39" s="48">
        <f>WAFASALAF!$B$51+WAFASALAF!$B$52+WAFASALAF!$B$53+WAFASALAF!$B$54</f>
        <v>8793278.6119999997</v>
      </c>
      <c r="L39" s="48" t="e">
        <f>#REF!+#REF!+#REF!+#REF!</f>
        <v>#REF!</v>
      </c>
      <c r="M39" s="49" t="e">
        <f>IF(L39=0,0,K39/L39-1)</f>
        <v>#REF!</v>
      </c>
      <c r="N39" s="10"/>
      <c r="O39" s="8">
        <f>WAFASALAF!$B$48-WAFASALAF!$B$41</f>
        <v>605147.41100000031</v>
      </c>
      <c r="P39" s="48" t="e">
        <f>#REF!</f>
        <v>#REF!</v>
      </c>
      <c r="Q39" s="9" t="e">
        <f>IF(P39=0,0,O39/P39-1)</f>
        <v>#REF!</v>
      </c>
      <c r="R39" s="10"/>
      <c r="S39" s="8">
        <f>WAFASALAF!$B$55</f>
        <v>74028.191999999995</v>
      </c>
      <c r="T39" s="48" t="e">
        <f>#REF!</f>
        <v>#REF!</v>
      </c>
      <c r="U39" s="9" t="e">
        <f>IF(T39=0,0,S39/T39-1)</f>
        <v>#REF!</v>
      </c>
      <c r="V39" s="10"/>
      <c r="W39" s="48">
        <f>S39+O39+K39+G39+C39</f>
        <v>25157205.747000001</v>
      </c>
      <c r="X39" s="48" t="e">
        <f>T39+P39+L39+H39+D39</f>
        <v>#REF!</v>
      </c>
      <c r="Y39" s="49" t="e">
        <f>IF(X39=0,0,W39/X39-1)</f>
        <v>#REF!</v>
      </c>
      <c r="Z39" s="35">
        <f>C39+G39-'Syn prin concurents'!E40</f>
        <v>0</v>
      </c>
      <c r="AA39" s="35" t="e">
        <f>D39+H39-'Syn prin concurents'!F40</f>
        <v>#REF!</v>
      </c>
      <c r="AB39" s="35">
        <f>K39-'Syn prin concurents'!I40</f>
        <v>0</v>
      </c>
      <c r="AC39" s="35" t="e">
        <f>L39-'Syn prin concurents'!J40</f>
        <v>#REF!</v>
      </c>
      <c r="AD39" s="35">
        <f>O39-'Syn prin concurents'!M40</f>
        <v>0</v>
      </c>
      <c r="AE39" s="35" t="e">
        <f>P39-'Syn prin concurents'!N40</f>
        <v>#REF!</v>
      </c>
      <c r="AF39" s="35">
        <f>S39-'Syn prin concurents'!Q40</f>
        <v>0</v>
      </c>
      <c r="AG39" s="35" t="e">
        <f>T39-'Syn prin concurents'!R40</f>
        <v>#REF!</v>
      </c>
      <c r="AH39" s="35">
        <f>W39-'Syn prin concurents'!U40</f>
        <v>0</v>
      </c>
      <c r="AI39" s="35" t="e">
        <f>X39-'Syn prin concurents'!V40</f>
        <v>#REF!</v>
      </c>
    </row>
    <row r="40" spans="1:35" ht="18.5" x14ac:dyDescent="0.45">
      <c r="A40" s="11" t="s">
        <v>67</v>
      </c>
      <c r="B40" s="12"/>
      <c r="C40" s="13">
        <f>C39/C$53</f>
        <v>0.15335335965448305</v>
      </c>
      <c r="D40" s="13" t="e">
        <f>D39/D$53</f>
        <v>#REF!</v>
      </c>
      <c r="E40" s="14" t="e">
        <f>(C40-D40)*100</f>
        <v>#REF!</v>
      </c>
      <c r="F40" s="15"/>
      <c r="G40" s="13">
        <f>G39/G$53</f>
        <v>0.34964910746553435</v>
      </c>
      <c r="H40" s="13" t="e">
        <f>H39/H$53</f>
        <v>#REF!</v>
      </c>
      <c r="I40" s="14" t="e">
        <f>(G40-H40)*100</f>
        <v>#REF!</v>
      </c>
      <c r="J40" s="15"/>
      <c r="K40" s="13">
        <f>K39/K$53</f>
        <v>0.33905708577092208</v>
      </c>
      <c r="L40" s="13" t="e">
        <f>L39/L$53</f>
        <v>#REF!</v>
      </c>
      <c r="M40" s="14" t="e">
        <f>(K40-L40)*100</f>
        <v>#REF!</v>
      </c>
      <c r="N40" s="15"/>
      <c r="O40" s="13">
        <f>O39/O$53</f>
        <v>0.99022624291293904</v>
      </c>
      <c r="P40" s="13" t="e">
        <f>P39/P$53</f>
        <v>#REF!</v>
      </c>
      <c r="Q40" s="14" t="e">
        <f>(O40-P40)*100</f>
        <v>#REF!</v>
      </c>
      <c r="R40" s="15"/>
      <c r="S40" s="13">
        <f>S39/S$53</f>
        <v>0.32790681765354163</v>
      </c>
      <c r="T40" s="13" t="e">
        <f>T39/T$53</f>
        <v>#REF!</v>
      </c>
      <c r="U40" s="14" t="e">
        <f>(S40-T40)*100</f>
        <v>#REF!</v>
      </c>
      <c r="V40" s="15"/>
      <c r="W40" s="13">
        <f>W39/W$53</f>
        <v>0.30247405830561547</v>
      </c>
      <c r="X40" s="13" t="e">
        <f>X39/X$53</f>
        <v>#REF!</v>
      </c>
      <c r="Y40" s="14" t="e">
        <f>(W40-X40)*100</f>
        <v>#REF!</v>
      </c>
      <c r="Z40" s="35">
        <f>C40+G40-'Syn prin concurents'!E41</f>
        <v>0.22490433737452459</v>
      </c>
      <c r="AA40" s="35" t="e">
        <f>D40+H40-'Syn prin concurents'!F41</f>
        <v>#REF!</v>
      </c>
      <c r="AB40" s="35">
        <f>K40-'Syn prin concurents'!I41</f>
        <v>0</v>
      </c>
      <c r="AC40" s="35" t="e">
        <f>L40-'Syn prin concurents'!J41</f>
        <v>#REF!</v>
      </c>
      <c r="AD40" s="35">
        <f>O40-'Syn prin concurents'!M41</f>
        <v>0</v>
      </c>
      <c r="AE40" s="35" t="e">
        <f>P40-'Syn prin concurents'!N41</f>
        <v>#REF!</v>
      </c>
      <c r="AF40" s="35">
        <f>S40-'Syn prin concurents'!Q41</f>
        <v>0</v>
      </c>
      <c r="AG40" s="35" t="e">
        <f>T40-'Syn prin concurents'!R41</f>
        <v>#REF!</v>
      </c>
      <c r="AH40" s="35">
        <f>W40-'Syn prin concurents'!U41</f>
        <v>0</v>
      </c>
      <c r="AI40" s="35" t="e">
        <f>X40-'Syn prin concurents'!V41</f>
        <v>#REF!</v>
      </c>
    </row>
    <row r="41" spans="1:35" ht="25" x14ac:dyDescent="0.5">
      <c r="A41" s="16" t="s">
        <v>2</v>
      </c>
      <c r="B41" s="7"/>
      <c r="C41" s="50">
        <f>SOFAC!$B$42</f>
        <v>5385317.5980803072</v>
      </c>
      <c r="D41" s="50" t="e">
        <f>#REF!</f>
        <v>#REF!</v>
      </c>
      <c r="E41" s="51" t="e">
        <f>IF(D41=0,0,C41/D41-1)</f>
        <v>#REF!</v>
      </c>
      <c r="F41" s="3"/>
      <c r="G41" s="50">
        <f>SOFAC!$B$43+SOFAC!$B$45</f>
        <v>10260660.953036683</v>
      </c>
      <c r="H41" s="50" t="e">
        <f>#REF!</f>
        <v>#REF!</v>
      </c>
      <c r="I41" s="51" t="e">
        <f>IF(H41=0,0,G41/H41-1)</f>
        <v>#REF!</v>
      </c>
      <c r="J41" s="3"/>
      <c r="K41" s="50">
        <f>SOFAC!$B$51+SOFAC!$B$52+SOFAC!$B$53+SOFAC!$B$54</f>
        <v>3875022.7334800041</v>
      </c>
      <c r="L41" s="50" t="e">
        <f>#REF!+#REF!+#REF!+#REF!</f>
        <v>#REF!</v>
      </c>
      <c r="M41" s="51" t="e">
        <f>IF(L41=0,0,K41/L41-1)</f>
        <v>#REF!</v>
      </c>
      <c r="N41" s="3"/>
      <c r="O41" s="50">
        <f>SOFAC!$B$48-SOFAC!$B$41</f>
        <v>4423.4978800006211</v>
      </c>
      <c r="P41" s="50" t="e">
        <f>#REF!</f>
        <v>#REF!</v>
      </c>
      <c r="Q41" s="51" t="e">
        <f>IF(P41=0,0,O41/P41-1)</f>
        <v>#REF!</v>
      </c>
      <c r="R41" s="3"/>
      <c r="S41" s="50">
        <f>[8]EQDOM!$B$55</f>
        <v>0</v>
      </c>
      <c r="T41" s="50" t="e">
        <f>#REF!</f>
        <v>#REF!</v>
      </c>
      <c r="U41" s="51" t="e">
        <f>IF(T41=0,0,S41/T41-1)</f>
        <v>#REF!</v>
      </c>
      <c r="V41" s="3"/>
      <c r="W41" s="50">
        <f>S41+O41+K41+G41+C41</f>
        <v>19525424.782476995</v>
      </c>
      <c r="X41" s="50" t="e">
        <f>T41+P41+L41+H41+D41</f>
        <v>#REF!</v>
      </c>
      <c r="Y41" s="51" t="e">
        <f>IF(X41=0,0,W41/X41-1)</f>
        <v>#REF!</v>
      </c>
      <c r="Z41" s="35">
        <f>C41+G41-'Syn prin concurents'!E42</f>
        <v>0</v>
      </c>
      <c r="AA41" s="35" t="e">
        <f>D41+H41-'Syn prin concurents'!F42</f>
        <v>#REF!</v>
      </c>
      <c r="AB41" s="35">
        <f>K41-'Syn prin concurents'!I42</f>
        <v>0</v>
      </c>
      <c r="AC41" s="35" t="e">
        <f>L41-'Syn prin concurents'!J42</f>
        <v>#REF!</v>
      </c>
      <c r="AD41" s="35">
        <f>O41-'Syn prin concurents'!M42</f>
        <v>0</v>
      </c>
      <c r="AE41" s="35" t="e">
        <f>P41-'Syn prin concurents'!N42</f>
        <v>#REF!</v>
      </c>
      <c r="AF41" s="35">
        <f>S41-'Syn prin concurents'!Q42</f>
        <v>0</v>
      </c>
      <c r="AG41" s="35" t="e">
        <f>T41-'Syn prin concurents'!R42</f>
        <v>#REF!</v>
      </c>
      <c r="AH41" s="35">
        <f>W41-'Syn prin concurents'!U42</f>
        <v>0</v>
      </c>
      <c r="AI41" s="35" t="e">
        <f>X41-'Syn prin concurents'!V42</f>
        <v>#REF!</v>
      </c>
    </row>
    <row r="42" spans="1:35" ht="18.5" x14ac:dyDescent="0.45">
      <c r="A42" s="19" t="s">
        <v>67</v>
      </c>
      <c r="B42" s="12"/>
      <c r="C42" s="21">
        <f>C41/C$53</f>
        <v>0.26195522480528199</v>
      </c>
      <c r="D42" s="21" t="e">
        <f>D41/D$53</f>
        <v>#REF!</v>
      </c>
      <c r="E42" s="22" t="e">
        <f>(C42-D42)*100</f>
        <v>#REF!</v>
      </c>
      <c r="F42" s="15"/>
      <c r="G42" s="21">
        <f>G41/G$53</f>
        <v>0.28627558262077146</v>
      </c>
      <c r="H42" s="21" t="e">
        <f>H41/H$53</f>
        <v>#REF!</v>
      </c>
      <c r="I42" s="22" t="e">
        <f>(G42-H42)*100</f>
        <v>#REF!</v>
      </c>
      <c r="J42" s="15"/>
      <c r="K42" s="21">
        <f>K41/K$53</f>
        <v>0.14941570411709854</v>
      </c>
      <c r="L42" s="21" t="e">
        <f>L41/L$53</f>
        <v>#REF!</v>
      </c>
      <c r="M42" s="22" t="e">
        <f>(K42-L42)*100</f>
        <v>#REF!</v>
      </c>
      <c r="N42" s="15"/>
      <c r="O42" s="21">
        <f>O41/O$53</f>
        <v>7.2383416116876742E-3</v>
      </c>
      <c r="P42" s="21" t="e">
        <f>P41/P$53</f>
        <v>#REF!</v>
      </c>
      <c r="Q42" s="22" t="e">
        <f>(O42-P42)*100</f>
        <v>#REF!</v>
      </c>
      <c r="R42" s="15"/>
      <c r="S42" s="21">
        <f>S41/S$53</f>
        <v>0</v>
      </c>
      <c r="T42" s="21" t="e">
        <f>T41/T$53</f>
        <v>#REF!</v>
      </c>
      <c r="U42" s="22" t="e">
        <f>(S42-T42)*100</f>
        <v>#REF!</v>
      </c>
      <c r="V42" s="15"/>
      <c r="W42" s="21">
        <f>W41/W$53</f>
        <v>0.23476114690524161</v>
      </c>
      <c r="X42" s="21" t="e">
        <f>X41/X$53</f>
        <v>#REF!</v>
      </c>
      <c r="Y42" s="22" t="e">
        <f>(W42-X42)*100</f>
        <v>#REF!</v>
      </c>
      <c r="Z42" s="35">
        <f>C42+G42-'Syn prin concurents'!E43</f>
        <v>0.27082014113487324</v>
      </c>
      <c r="AA42" s="35" t="e">
        <f>D42+H42-'Syn prin concurents'!F43</f>
        <v>#REF!</v>
      </c>
      <c r="AB42" s="35">
        <f>K42-'Syn prin concurents'!I43</f>
        <v>0</v>
      </c>
      <c r="AC42" s="35" t="e">
        <f>L42-'Syn prin concurents'!J43</f>
        <v>#REF!</v>
      </c>
      <c r="AD42" s="35">
        <f>O42-'Syn prin concurents'!M43</f>
        <v>0</v>
      </c>
      <c r="AE42" s="35" t="e">
        <f>P42-'Syn prin concurents'!N43</f>
        <v>#REF!</v>
      </c>
      <c r="AF42" s="35">
        <f>S42-'Syn prin concurents'!Q43</f>
        <v>0</v>
      </c>
      <c r="AG42" s="35" t="e">
        <f>T42-'Syn prin concurents'!R43</f>
        <v>#REF!</v>
      </c>
      <c r="AH42" s="35">
        <f>W42-'Syn prin concurents'!U43</f>
        <v>0</v>
      </c>
      <c r="AI42" s="35" t="e">
        <f>X42-'Syn prin concurents'!V43</f>
        <v>#REF!</v>
      </c>
    </row>
    <row r="43" spans="1:35" ht="25.5" x14ac:dyDescent="0.55000000000000004">
      <c r="A43" s="6" t="s">
        <v>5</v>
      </c>
      <c r="B43" s="296"/>
      <c r="C43" s="310">
        <f>VIVALIS!$B$42</f>
        <v>5328526.4189999998</v>
      </c>
      <c r="D43" s="310" t="e">
        <f>#REF!</f>
        <v>#REF!</v>
      </c>
      <c r="E43" s="311" t="e">
        <f>IF(D43=0,0,C43/D43-1)</f>
        <v>#REF!</v>
      </c>
      <c r="F43" s="3"/>
      <c r="G43" s="310">
        <f>VIVALIS!$B$43+VIVALIS!$B$45</f>
        <v>5567651.8490000004</v>
      </c>
      <c r="H43" s="310" t="e">
        <f>#REF!</f>
        <v>#REF!</v>
      </c>
      <c r="I43" s="311" t="e">
        <f>IF(H43=0,0,G43/H43-1)</f>
        <v>#REF!</v>
      </c>
      <c r="J43" s="3"/>
      <c r="K43" s="310">
        <f>VIVALIS!$B$51+VIVALIS!$B$52+VIVALIS!$B$53+VIVALIS!$B$54</f>
        <v>5436494.0010000002</v>
      </c>
      <c r="L43" s="310" t="e">
        <f>#REF!+#REF!+#REF!+#REF!</f>
        <v>#REF!</v>
      </c>
      <c r="M43" s="311" t="e">
        <f>IF(L43=0,0,K43/L43-1)</f>
        <v>#REF!</v>
      </c>
      <c r="N43" s="3"/>
      <c r="O43" s="310">
        <f>VIVALIS!$B$48-VIVALIS!$B$41</f>
        <v>0</v>
      </c>
      <c r="P43" s="310" t="e">
        <f>#REF!</f>
        <v>#REF!</v>
      </c>
      <c r="Q43" s="311" t="e">
        <f>IF(P43=0,0,O43/P43-1)</f>
        <v>#REF!</v>
      </c>
      <c r="R43" s="3"/>
      <c r="S43" s="310">
        <f>[8]SOFAC!$B$55</f>
        <v>0</v>
      </c>
      <c r="T43" s="310" t="e">
        <f>#REF!</f>
        <v>#REF!</v>
      </c>
      <c r="U43" s="311" t="e">
        <f>IF(T43=0,0,S43/T43-1)</f>
        <v>#REF!</v>
      </c>
      <c r="V43" s="3"/>
      <c r="W43" s="310">
        <f>S43+O43+K43+G43+C43</f>
        <v>16332672.269000001</v>
      </c>
      <c r="X43" s="310" t="e">
        <f>T43+P43+L43+H43+D43</f>
        <v>#REF!</v>
      </c>
      <c r="Y43" s="311" t="e">
        <f>IF(X43=0,0,W43/X43-1)</f>
        <v>#REF!</v>
      </c>
      <c r="Z43" s="35">
        <f>C43+G43-'Syn prin concurents'!E44</f>
        <v>0</v>
      </c>
      <c r="AA43" s="35" t="e">
        <f>D43+H43-'Syn prin concurents'!F44</f>
        <v>#REF!</v>
      </c>
      <c r="AB43" s="35">
        <f>K43-'Syn prin concurents'!I44</f>
        <v>0</v>
      </c>
      <c r="AC43" s="35" t="e">
        <f>L43-'Syn prin concurents'!J44</f>
        <v>#REF!</v>
      </c>
      <c r="AD43" s="35">
        <f>O43-'Syn prin concurents'!M44</f>
        <v>0</v>
      </c>
      <c r="AE43" s="35" t="e">
        <f>P43-'Syn prin concurents'!N44</f>
        <v>#REF!</v>
      </c>
      <c r="AF43" s="35">
        <f>S43-'Syn prin concurents'!Q44</f>
        <v>0</v>
      </c>
      <c r="AG43" s="35" t="e">
        <f>T43-'Syn prin concurents'!R44</f>
        <v>#REF!</v>
      </c>
      <c r="AH43" s="35">
        <f>W43-'Syn prin concurents'!U44</f>
        <v>0</v>
      </c>
      <c r="AI43" s="35" t="e">
        <f>X43-'Syn prin concurents'!V44</f>
        <v>#REF!</v>
      </c>
    </row>
    <row r="44" spans="1:35" ht="18.5" x14ac:dyDescent="0.45">
      <c r="A44" s="11" t="s">
        <v>67</v>
      </c>
      <c r="B44" s="299"/>
      <c r="C44" s="300">
        <f>C43/C$53</f>
        <v>0.25919276078863013</v>
      </c>
      <c r="D44" s="300" t="e">
        <f>D43/D$53</f>
        <v>#REF!</v>
      </c>
      <c r="E44" s="301" t="e">
        <f>(C44-D44)*100</f>
        <v>#REF!</v>
      </c>
      <c r="F44" s="15"/>
      <c r="G44" s="300">
        <f>G43/G$53</f>
        <v>0.15533919151966274</v>
      </c>
      <c r="H44" s="300" t="e">
        <f>H43/H$53</f>
        <v>#REF!</v>
      </c>
      <c r="I44" s="301" t="e">
        <f>(G44-H44)*100</f>
        <v>#REF!</v>
      </c>
      <c r="J44" s="15"/>
      <c r="K44" s="300">
        <f>K43/K$53</f>
        <v>0.20962395189829117</v>
      </c>
      <c r="L44" s="300" t="e">
        <f>L43/L$53</f>
        <v>#REF!</v>
      </c>
      <c r="M44" s="301" t="e">
        <f>(K44-L44)*100</f>
        <v>#REF!</v>
      </c>
      <c r="N44" s="15"/>
      <c r="O44" s="300">
        <f>O43/O$53</f>
        <v>0</v>
      </c>
      <c r="P44" s="300" t="e">
        <f>P43/P$53</f>
        <v>#REF!</v>
      </c>
      <c r="Q44" s="301" t="e">
        <f>(O44-P44)*100</f>
        <v>#REF!</v>
      </c>
      <c r="R44" s="15"/>
      <c r="S44" s="300">
        <f>S43/S$53</f>
        <v>0</v>
      </c>
      <c r="T44" s="300" t="e">
        <f>T43/T$53</f>
        <v>#REF!</v>
      </c>
      <c r="U44" s="301" t="e">
        <f>(S44-T44)*100</f>
        <v>#REF!</v>
      </c>
      <c r="V44" s="15"/>
      <c r="W44" s="300">
        <f>W43/W$53</f>
        <v>0.19637354457655282</v>
      </c>
      <c r="X44" s="300" t="e">
        <f>X43/X$53</f>
        <v>#REF!</v>
      </c>
      <c r="Y44" s="301" t="e">
        <f>(W44-X44)*100</f>
        <v>#REF!</v>
      </c>
      <c r="Z44" s="35">
        <f>C44+G44-'Syn prin concurents'!E45</f>
        <v>0.22133751173828703</v>
      </c>
      <c r="AA44" s="35" t="e">
        <f>D44+H44-'Syn prin concurents'!F45</f>
        <v>#REF!</v>
      </c>
      <c r="AB44" s="35">
        <f>K44-'Syn prin concurents'!I45</f>
        <v>0</v>
      </c>
      <c r="AC44" s="35" t="e">
        <f>L44-'Syn prin concurents'!J45</f>
        <v>#REF!</v>
      </c>
      <c r="AD44" s="35">
        <f>O44-'Syn prin concurents'!M45</f>
        <v>0</v>
      </c>
      <c r="AE44" s="35" t="e">
        <f>P44-'Syn prin concurents'!N45</f>
        <v>#REF!</v>
      </c>
      <c r="AF44" s="35">
        <f>S44-'Syn prin concurents'!Q45</f>
        <v>0</v>
      </c>
      <c r="AG44" s="35" t="e">
        <f>T44-'Syn prin concurents'!R45</f>
        <v>#REF!</v>
      </c>
      <c r="AH44" s="35">
        <f>W44-'Syn prin concurents'!U45</f>
        <v>0</v>
      </c>
      <c r="AI44" s="35" t="e">
        <f>X44-'Syn prin concurents'!V45</f>
        <v>#REF!</v>
      </c>
    </row>
    <row r="45" spans="1:35" ht="26" x14ac:dyDescent="0.6">
      <c r="A45" s="6" t="s">
        <v>6</v>
      </c>
      <c r="B45" s="7"/>
      <c r="C45" s="48">
        <f>EQDOM!$B$42</f>
        <v>1034633.931</v>
      </c>
      <c r="D45" s="48" t="e">
        <f>#REF!</f>
        <v>#REF!</v>
      </c>
      <c r="E45" s="49" t="e">
        <f>IF(D45=0,0,C45/D45-1)</f>
        <v>#REF!</v>
      </c>
      <c r="F45" s="10"/>
      <c r="G45" s="48">
        <f>EQDOM!$B$43+EQDOM!$B$45</f>
        <v>4275128.4129999997</v>
      </c>
      <c r="H45" s="48" t="e">
        <f>#REF!</f>
        <v>#REF!</v>
      </c>
      <c r="I45" s="49" t="e">
        <f>IF(H45=0,0,G45/H45-1)</f>
        <v>#REF!</v>
      </c>
      <c r="J45" s="10"/>
      <c r="K45" s="48">
        <f>EQDOM!$B$51+EQDOM!$B$52+EQDOM!$B$53+EQDOM!$B$54</f>
        <v>4681801.3040000005</v>
      </c>
      <c r="L45" s="48" t="e">
        <f>#REF!+#REF!+#REF!+#REF!</f>
        <v>#REF!</v>
      </c>
      <c r="M45" s="49" t="e">
        <f>IF(L45=0,0,K45/L45-1)</f>
        <v>#REF!</v>
      </c>
      <c r="N45" s="10"/>
      <c r="O45" s="8">
        <f>EQDOM!$B$48-EQDOM!$B$41</f>
        <v>1549.4440000001341</v>
      </c>
      <c r="P45" s="48" t="e">
        <f>#REF!</f>
        <v>#REF!</v>
      </c>
      <c r="Q45" s="9" t="e">
        <f>IF(P45=0,0,O45/P45-1)</f>
        <v>#REF!</v>
      </c>
      <c r="R45" s="10"/>
      <c r="S45" s="8">
        <f>EQDOM!$B$55</f>
        <v>0</v>
      </c>
      <c r="T45" s="48" t="e">
        <f>#REF!</f>
        <v>#REF!</v>
      </c>
      <c r="U45" s="9" t="e">
        <f>IF(T45=0,0,S45/T45-1)</f>
        <v>#REF!</v>
      </c>
      <c r="V45" s="10"/>
      <c r="W45" s="48">
        <f>S45+O45+K45+G45+C45</f>
        <v>9993113.0920000002</v>
      </c>
      <c r="X45" s="48" t="e">
        <f>T45+P45+L45+H45+D45</f>
        <v>#REF!</v>
      </c>
      <c r="Y45" s="49" t="e">
        <f>IF(X45=0,0,W45/X45-1)</f>
        <v>#REF!</v>
      </c>
      <c r="Z45" s="35">
        <f>C45+G45-'Syn prin concurents'!E46</f>
        <v>0</v>
      </c>
      <c r="AA45" s="35" t="e">
        <f>D45+H45-'Syn prin concurents'!F46</f>
        <v>#REF!</v>
      </c>
      <c r="AB45" s="35">
        <f>K45-'Syn prin concurents'!I46</f>
        <v>0</v>
      </c>
      <c r="AC45" s="35" t="e">
        <f>L45-'Syn prin concurents'!J46</f>
        <v>#REF!</v>
      </c>
      <c r="AD45" s="35">
        <f>O45-'Syn prin concurents'!M46</f>
        <v>0</v>
      </c>
      <c r="AE45" s="35" t="e">
        <f>P45-'Syn prin concurents'!N46</f>
        <v>#REF!</v>
      </c>
      <c r="AF45" s="35">
        <f>S45-'Syn prin concurents'!Q46</f>
        <v>0</v>
      </c>
      <c r="AG45" s="35" t="e">
        <f>T45-'Syn prin concurents'!R46</f>
        <v>#REF!</v>
      </c>
      <c r="AH45" s="35">
        <f>W45-'Syn prin concurents'!U46</f>
        <v>0</v>
      </c>
      <c r="AI45" s="35" t="e">
        <f>X45-'Syn prin concurents'!V46</f>
        <v>#REF!</v>
      </c>
    </row>
    <row r="46" spans="1:35" ht="18.5" x14ac:dyDescent="0.45">
      <c r="A46" s="11" t="s">
        <v>67</v>
      </c>
      <c r="B46" s="12"/>
      <c r="C46" s="13">
        <f>C45/C$53</f>
        <v>5.032716437799143E-2</v>
      </c>
      <c r="D46" s="13" t="e">
        <f>D45/D$53</f>
        <v>#REF!</v>
      </c>
      <c r="E46" s="14" t="e">
        <f>(C46-D46)*100</f>
        <v>#REF!</v>
      </c>
      <c r="F46" s="15"/>
      <c r="G46" s="13">
        <f>G45/G$53</f>
        <v>0.11927739185729369</v>
      </c>
      <c r="H46" s="13" t="e">
        <f>H45/H$53</f>
        <v>#REF!</v>
      </c>
      <c r="I46" s="14" t="e">
        <f>(G46-H46)*100</f>
        <v>#REF!</v>
      </c>
      <c r="J46" s="15"/>
      <c r="K46" s="13">
        <f>K45/K$53</f>
        <v>0.18052400888633904</v>
      </c>
      <c r="L46" s="13" t="e">
        <f>L45/L$53</f>
        <v>#REF!</v>
      </c>
      <c r="M46" s="14" t="e">
        <f>(K46-L46)*100</f>
        <v>#REF!</v>
      </c>
      <c r="N46" s="15"/>
      <c r="O46" s="13">
        <f>O45/O$53</f>
        <v>2.5354154753611394E-3</v>
      </c>
      <c r="P46" s="13" t="e">
        <f>P45/P$53</f>
        <v>#REF!</v>
      </c>
      <c r="Q46" s="14" t="e">
        <f>(O46-P46)*100</f>
        <v>#REF!</v>
      </c>
      <c r="R46" s="15"/>
      <c r="S46" s="13">
        <f>S45/S$53</f>
        <v>0</v>
      </c>
      <c r="T46" s="13" t="e">
        <f>T45/T$53</f>
        <v>#REF!</v>
      </c>
      <c r="U46" s="14" t="e">
        <f>(S46-T46)*100</f>
        <v>#REF!</v>
      </c>
      <c r="V46" s="15"/>
      <c r="W46" s="13">
        <f>W45/W$53</f>
        <v>0.12015076326211903</v>
      </c>
      <c r="X46" s="13" t="e">
        <f>X45/X$53</f>
        <v>#REF!</v>
      </c>
      <c r="Y46" s="14" t="e">
        <f>(W46-X46)*100</f>
        <v>#REF!</v>
      </c>
      <c r="Z46" s="35">
        <f>C46+G46-'Syn prin concurents'!E47</f>
        <v>7.5459935949345885E-2</v>
      </c>
      <c r="AA46" s="35" t="e">
        <f>D46+H46-'Syn prin concurents'!F47</f>
        <v>#REF!</v>
      </c>
      <c r="AB46" s="35">
        <f>K46-'Syn prin concurents'!I47</f>
        <v>0</v>
      </c>
      <c r="AC46" s="35" t="e">
        <f>L46-'Syn prin concurents'!J47</f>
        <v>#REF!</v>
      </c>
      <c r="AD46" s="35">
        <f>O46-'Syn prin concurents'!M47</f>
        <v>0</v>
      </c>
      <c r="AE46" s="35" t="e">
        <f>P46-'Syn prin concurents'!N47</f>
        <v>#REF!</v>
      </c>
      <c r="AF46" s="35">
        <f>S46-'Syn prin concurents'!Q47</f>
        <v>0</v>
      </c>
      <c r="AG46" s="35" t="e">
        <f>T46-'Syn prin concurents'!R47</f>
        <v>#REF!</v>
      </c>
      <c r="AH46" s="35">
        <f>W46-'Syn prin concurents'!U47</f>
        <v>0</v>
      </c>
      <c r="AI46" s="35" t="e">
        <f>X46-'Syn prin concurents'!V47</f>
        <v>#REF!</v>
      </c>
    </row>
    <row r="47" spans="1:35" ht="26" x14ac:dyDescent="0.6">
      <c r="A47" s="6" t="s">
        <v>4</v>
      </c>
      <c r="B47" s="7"/>
      <c r="C47" s="48">
        <f>'RCI '!$B$42</f>
        <v>4247236.4879999999</v>
      </c>
      <c r="D47" s="48" t="e">
        <f>#REF!</f>
        <v>#REF!</v>
      </c>
      <c r="E47" s="49" t="e">
        <f>IF(D47=0,0,C47/D47-1)</f>
        <v>#REF!</v>
      </c>
      <c r="F47" s="10"/>
      <c r="G47" s="48">
        <f>'RCI '!$B$43+'RCI '!$B$45</f>
        <v>2033188.1189999999</v>
      </c>
      <c r="H47" s="48" t="e">
        <f>#REF!</f>
        <v>#REF!</v>
      </c>
      <c r="I47" s="49" t="e">
        <f>IF(H47=0,0,G47/H47-1)</f>
        <v>#REF!</v>
      </c>
      <c r="J47" s="10"/>
      <c r="K47" s="48">
        <f>'RCI '!$B$51+'RCI '!$B$52+'RCI '!$B$53+'RCI '!$B$54</f>
        <v>0</v>
      </c>
      <c r="L47" s="48" t="e">
        <f>#REF!+#REF!+#REF!+#REF!</f>
        <v>#REF!</v>
      </c>
      <c r="M47" s="49" t="e">
        <f>IF(L47=0,0,K47/L47-1)</f>
        <v>#REF!</v>
      </c>
      <c r="N47" s="10"/>
      <c r="O47" s="8">
        <f>'RCI '!$B$48-'RCI '!$B$41</f>
        <v>0</v>
      </c>
      <c r="P47" s="48" t="e">
        <f>#REF!</f>
        <v>#REF!</v>
      </c>
      <c r="Q47" s="9" t="e">
        <f>IF(P47=0,0,O47/P47-1)</f>
        <v>#REF!</v>
      </c>
      <c r="R47" s="10"/>
      <c r="S47" s="8">
        <f>[8]VIVALIS!$B$55</f>
        <v>0</v>
      </c>
      <c r="T47" s="48" t="e">
        <f>#REF!</f>
        <v>#REF!</v>
      </c>
      <c r="U47" s="9" t="e">
        <f>IF(T47=0,0,S47/T47-1)</f>
        <v>#REF!</v>
      </c>
      <c r="V47" s="10"/>
      <c r="W47" s="48">
        <f>S47+O47+K47+G47+C47</f>
        <v>6280424.6069999998</v>
      </c>
      <c r="X47" s="48" t="e">
        <f>T47+P47+L47+H47+D47</f>
        <v>#REF!</v>
      </c>
      <c r="Y47" s="49" t="e">
        <f>IF(X47=0,0,W47/X47-1)</f>
        <v>#REF!</v>
      </c>
      <c r="Z47" s="35">
        <f>C47+G47-'Syn prin concurents'!E48</f>
        <v>0</v>
      </c>
      <c r="AA47" s="35" t="e">
        <f>D47+H47-'Syn prin concurents'!F48</f>
        <v>#REF!</v>
      </c>
      <c r="AB47" s="35">
        <f>K47-'Syn prin concurents'!I48</f>
        <v>0</v>
      </c>
      <c r="AC47" s="35" t="e">
        <f>L47-'Syn prin concurents'!J48</f>
        <v>#REF!</v>
      </c>
      <c r="AD47" s="35">
        <f>O47-'Syn prin concurents'!M48</f>
        <v>0</v>
      </c>
      <c r="AE47" s="35" t="e">
        <f>P47-'Syn prin concurents'!N48</f>
        <v>#REF!</v>
      </c>
      <c r="AF47" s="35">
        <f>S47-'Syn prin concurents'!Q48</f>
        <v>0</v>
      </c>
      <c r="AG47" s="35" t="e">
        <f>T47-'Syn prin concurents'!R48</f>
        <v>#REF!</v>
      </c>
      <c r="AH47" s="35">
        <f>W47-'Syn prin concurents'!U48</f>
        <v>0</v>
      </c>
      <c r="AI47" s="35" t="e">
        <f>X47-'Syn prin concurents'!V48</f>
        <v>#REF!</v>
      </c>
    </row>
    <row r="48" spans="1:35" ht="18.5" x14ac:dyDescent="0.45">
      <c r="A48" s="11" t="s">
        <v>67</v>
      </c>
      <c r="B48" s="12"/>
      <c r="C48" s="13">
        <f>C47/C$53</f>
        <v>0.20659613267968399</v>
      </c>
      <c r="D48" s="13" t="e">
        <f>D47/D$53</f>
        <v>#REF!</v>
      </c>
      <c r="E48" s="14" t="e">
        <f>(C48-D48)*100</f>
        <v>#REF!</v>
      </c>
      <c r="F48" s="15"/>
      <c r="G48" s="13">
        <f>G47/G$53</f>
        <v>5.6726571125234854E-2</v>
      </c>
      <c r="H48" s="13" t="e">
        <f>H47/H$53</f>
        <v>#REF!</v>
      </c>
      <c r="I48" s="14" t="e">
        <f>(G48-H48)*100</f>
        <v>#REF!</v>
      </c>
      <c r="J48" s="15"/>
      <c r="K48" s="13">
        <f>K47/K$53</f>
        <v>0</v>
      </c>
      <c r="L48" s="13" t="e">
        <f>L47/L$53</f>
        <v>#REF!</v>
      </c>
      <c r="M48" s="14" t="e">
        <f>(K48-L48)*100</f>
        <v>#REF!</v>
      </c>
      <c r="N48" s="15"/>
      <c r="O48" s="13">
        <f>O47/O$53</f>
        <v>0</v>
      </c>
      <c r="P48" s="13" t="e">
        <f>P47/P$53</f>
        <v>#REF!</v>
      </c>
      <c r="Q48" s="14" t="e">
        <f>(O48-P48)*100</f>
        <v>#REF!</v>
      </c>
      <c r="R48" s="15"/>
      <c r="S48" s="13">
        <f>S47/S$53</f>
        <v>0</v>
      </c>
      <c r="T48" s="13" t="e">
        <f>T47/T$53</f>
        <v>#REF!</v>
      </c>
      <c r="U48" s="14" t="e">
        <f>(S48-T48)*100</f>
        <v>#REF!</v>
      </c>
      <c r="V48" s="15"/>
      <c r="W48" s="13">
        <f>W47/W$53</f>
        <v>7.5511785285942393E-2</v>
      </c>
      <c r="X48" s="13" t="e">
        <f>X47/X$53</f>
        <v>#REF!</v>
      </c>
      <c r="Y48" s="14" t="e">
        <f>(W48-X48)*100</f>
        <v>#REF!</v>
      </c>
      <c r="Z48" s="35">
        <f>C48+G48-'Syn prin concurents'!E49</f>
        <v>0.15196777837617273</v>
      </c>
      <c r="AA48" s="35" t="e">
        <f>D48+H48-'Syn prin concurents'!F49</f>
        <v>#REF!</v>
      </c>
      <c r="AB48" s="35">
        <f>K48-'Syn prin concurents'!I49</f>
        <v>0</v>
      </c>
      <c r="AC48" s="35" t="e">
        <f>L48-'Syn prin concurents'!J49</f>
        <v>#REF!</v>
      </c>
      <c r="AD48" s="35">
        <f>O48-'Syn prin concurents'!M49</f>
        <v>0</v>
      </c>
      <c r="AE48" s="35" t="e">
        <f>P48-'Syn prin concurents'!N49</f>
        <v>#REF!</v>
      </c>
      <c r="AF48" s="35">
        <f>S48-'Syn prin concurents'!Q49</f>
        <v>0</v>
      </c>
      <c r="AG48" s="35" t="e">
        <f>T48-'Syn prin concurents'!R49</f>
        <v>#REF!</v>
      </c>
      <c r="AH48" s="35">
        <f>W48-'Syn prin concurents'!U49</f>
        <v>0</v>
      </c>
      <c r="AI48" s="35" t="e">
        <f>X48-'Syn prin concurents'!V49</f>
        <v>#REF!</v>
      </c>
    </row>
    <row r="49" spans="1:35" ht="26" x14ac:dyDescent="0.6">
      <c r="A49" s="6" t="s">
        <v>7</v>
      </c>
      <c r="B49" s="7"/>
      <c r="C49" s="48">
        <f>SALAFIN!$B$42</f>
        <v>229567.07699999999</v>
      </c>
      <c r="D49" s="48" t="e">
        <f>#REF!</f>
        <v>#REF!</v>
      </c>
      <c r="E49" s="49" t="e">
        <f>IF(D49=0,0,C49/D49-1)</f>
        <v>#REF!</v>
      </c>
      <c r="F49" s="10"/>
      <c r="G49" s="48">
        <f>SALAFIN!$B$43+SALAFIN!$B$45</f>
        <v>1165356.6179999998</v>
      </c>
      <c r="H49" s="48" t="e">
        <f>#REF!</f>
        <v>#REF!</v>
      </c>
      <c r="I49" s="49" t="e">
        <f>IF(H49=0,0,G49/H49-1)</f>
        <v>#REF!</v>
      </c>
      <c r="J49" s="10"/>
      <c r="K49" s="48">
        <f>SALAFIN!$B$51+SALAFIN!$B$52+SALAFIN!$B$53+SALAFIN!$B$54</f>
        <v>959308.06299999997</v>
      </c>
      <c r="L49" s="48" t="e">
        <f>#REF!+#REF!+#REF!+#REF!</f>
        <v>#REF!</v>
      </c>
      <c r="M49" s="49" t="e">
        <f>IF(L49=0,0,K49/L49-1)</f>
        <v>#REF!</v>
      </c>
      <c r="N49" s="10"/>
      <c r="O49" s="8">
        <f>SALAFIN!$B$48-SALAFIN!$B$41</f>
        <v>0</v>
      </c>
      <c r="P49" s="48" t="e">
        <f>#REF!</f>
        <v>#REF!</v>
      </c>
      <c r="Q49" s="9" t="e">
        <f>IF(P49=0,0,O49/P49-1)</f>
        <v>#REF!</v>
      </c>
      <c r="R49" s="10"/>
      <c r="S49" s="8">
        <f>SALAFIN!$B$55</f>
        <v>151731.652</v>
      </c>
      <c r="T49" s="48" t="e">
        <f>#REF!</f>
        <v>#REF!</v>
      </c>
      <c r="U49" s="9" t="e">
        <f>IF(T49=0,0,S49/T49-1)</f>
        <v>#REF!</v>
      </c>
      <c r="V49" s="10"/>
      <c r="W49" s="48">
        <f>S49+O49+K49+G49+C49</f>
        <v>2505963.4099999997</v>
      </c>
      <c r="X49" s="48" t="e">
        <f>T49+P49+L49+H49+D49</f>
        <v>#REF!</v>
      </c>
      <c r="Y49" s="49" t="e">
        <f>IF(X49=0,0,W49/X49-1)</f>
        <v>#REF!</v>
      </c>
      <c r="Z49" s="35">
        <f>C49+G49-'Syn prin concurents'!E50</f>
        <v>0</v>
      </c>
      <c r="AA49" s="35" t="e">
        <f>D49+H49-'Syn prin concurents'!F50</f>
        <v>#REF!</v>
      </c>
      <c r="AB49" s="35">
        <f>K49-'Syn prin concurents'!I50</f>
        <v>0</v>
      </c>
      <c r="AC49" s="35" t="e">
        <f>L49-'Syn prin concurents'!J50</f>
        <v>#REF!</v>
      </c>
      <c r="AD49" s="35">
        <f>O49-'Syn prin concurents'!M50</f>
        <v>0</v>
      </c>
      <c r="AE49" s="35" t="e">
        <f>P49-'Syn prin concurents'!N50</f>
        <v>#REF!</v>
      </c>
      <c r="AF49" s="35">
        <f>S49-'Syn prin concurents'!Q50</f>
        <v>0</v>
      </c>
      <c r="AG49" s="35" t="e">
        <f>T49-'Syn prin concurents'!R50</f>
        <v>#REF!</v>
      </c>
      <c r="AH49" s="35">
        <f>W49-'Syn prin concurents'!U50</f>
        <v>0</v>
      </c>
      <c r="AI49" s="35" t="e">
        <f>X49-'Syn prin concurents'!V50</f>
        <v>#REF!</v>
      </c>
    </row>
    <row r="50" spans="1:35" ht="18.5" x14ac:dyDescent="0.45">
      <c r="A50" s="11" t="s">
        <v>67</v>
      </c>
      <c r="B50" s="12"/>
      <c r="C50" s="13">
        <f>C49/C$53</f>
        <v>1.116671285735555E-2</v>
      </c>
      <c r="D50" s="13" t="e">
        <f>D49/D$53</f>
        <v>#REF!</v>
      </c>
      <c r="E50" s="14" t="e">
        <f>(C50-D50)*100</f>
        <v>#REF!</v>
      </c>
      <c r="F50" s="15"/>
      <c r="G50" s="13">
        <f>G49/G$53</f>
        <v>3.2513806499004108E-2</v>
      </c>
      <c r="H50" s="13" t="e">
        <f>H49/H$53</f>
        <v>#REF!</v>
      </c>
      <c r="I50" s="14" t="e">
        <f>(G50-H50)*100</f>
        <v>#REF!</v>
      </c>
      <c r="J50" s="15"/>
      <c r="K50" s="13">
        <f>K49/K$53</f>
        <v>3.6989638398748387E-2</v>
      </c>
      <c r="L50" s="13" t="e">
        <f>L49/L$53</f>
        <v>#REF!</v>
      </c>
      <c r="M50" s="14" t="e">
        <f>(K50-L50)*100</f>
        <v>#REF!</v>
      </c>
      <c r="N50" s="15"/>
      <c r="O50" s="13">
        <f>O49/O$53</f>
        <v>0</v>
      </c>
      <c r="P50" s="13" t="e">
        <f>P49/P$53</f>
        <v>#REF!</v>
      </c>
      <c r="Q50" s="14" t="e">
        <f>(O50-P50)*100</f>
        <v>#REF!</v>
      </c>
      <c r="R50" s="15"/>
      <c r="S50" s="13">
        <f>S49/S$53</f>
        <v>0.67209318234645843</v>
      </c>
      <c r="T50" s="13" t="e">
        <f>T49/T$53</f>
        <v>#REF!</v>
      </c>
      <c r="U50" s="14" t="e">
        <f>(S50-T50)*100</f>
        <v>#REF!</v>
      </c>
      <c r="V50" s="15"/>
      <c r="W50" s="13">
        <f>W49/W$53</f>
        <v>3.013009195897955E-2</v>
      </c>
      <c r="X50" s="13" t="e">
        <f>X49/X$53</f>
        <v>#REF!</v>
      </c>
      <c r="Y50" s="14" t="e">
        <f>(W50-X50)*100</f>
        <v>#REF!</v>
      </c>
      <c r="Z50" s="35">
        <f>C50+G50-'Syn prin concurents'!E51</f>
        <v>1.894785655798973E-2</v>
      </c>
      <c r="AA50" s="35" t="e">
        <f>D50+H50-'Syn prin concurents'!F51</f>
        <v>#REF!</v>
      </c>
      <c r="AB50" s="35">
        <f>K50-'Syn prin concurents'!I51</f>
        <v>0</v>
      </c>
      <c r="AC50" s="35" t="e">
        <f>L50-'Syn prin concurents'!J51</f>
        <v>#REF!</v>
      </c>
      <c r="AD50" s="35">
        <f>O50-'Syn prin concurents'!M51</f>
        <v>0</v>
      </c>
      <c r="AE50" s="35" t="e">
        <f>P50-'Syn prin concurents'!N51</f>
        <v>#REF!</v>
      </c>
      <c r="AF50" s="35">
        <f>S50-'Syn prin concurents'!Q51</f>
        <v>0</v>
      </c>
      <c r="AG50" s="35" t="e">
        <f>T50-'Syn prin concurents'!R51</f>
        <v>#REF!</v>
      </c>
      <c r="AH50" s="35">
        <f>W50-'Syn prin concurents'!U51</f>
        <v>0</v>
      </c>
      <c r="AI50" s="35" t="e">
        <f>X50-'Syn prin concurents'!V51</f>
        <v>#REF!</v>
      </c>
    </row>
    <row r="51" spans="1:35" ht="26" x14ac:dyDescent="0.6">
      <c r="A51" s="6" t="s">
        <v>11</v>
      </c>
      <c r="B51" s="7"/>
      <c r="C51" s="48">
        <f>'AXA CREDIT'!$B$42</f>
        <v>5644.0749999999998</v>
      </c>
      <c r="D51" s="48" t="e">
        <f>#REF!</f>
        <v>#REF!</v>
      </c>
      <c r="E51" s="49" t="e">
        <f>IF(D51=0,0,C51/D51-1)</f>
        <v>#REF!</v>
      </c>
      <c r="F51" s="10"/>
      <c r="G51" s="48">
        <f>'AXA CREDIT'!$B$43+'AXA CREDIT'!$B$45</f>
        <v>7826.04</v>
      </c>
      <c r="H51" s="48" t="e">
        <f>#REF!</f>
        <v>#REF!</v>
      </c>
      <c r="I51" s="49" t="e">
        <f>IF(H51=0,0,G51/H51-1)</f>
        <v>#REF!</v>
      </c>
      <c r="J51" s="10"/>
      <c r="K51" s="48">
        <f>'AXA CREDIT'!$B$51+'AXA CREDIT'!$B$52+'AXA CREDIT'!$B$53+'AXA CREDIT'!$B$54</f>
        <v>2167039.2949999999</v>
      </c>
      <c r="L51" s="48" t="e">
        <f>#REF!+#REF!+#REF!+#REF!</f>
        <v>#REF!</v>
      </c>
      <c r="M51" s="49" t="e">
        <f>IF(L51=0,0,K51/L51-1)</f>
        <v>#REF!</v>
      </c>
      <c r="N51" s="10"/>
      <c r="O51" s="8">
        <f>'AXA CREDIT'!$B$48-'AXA CREDIT'!$B$41</f>
        <v>0</v>
      </c>
      <c r="P51" s="48" t="e">
        <f>#REF!</f>
        <v>#REF!</v>
      </c>
      <c r="Q51" s="9" t="e">
        <f>IF(P51=0,0,O51/P51-1)</f>
        <v>#REF!</v>
      </c>
      <c r="R51" s="10"/>
      <c r="S51" s="8">
        <f>'AXA CREDIT'!B55</f>
        <v>0</v>
      </c>
      <c r="T51" s="48" t="e">
        <f>#REF!</f>
        <v>#REF!</v>
      </c>
      <c r="U51" s="9" t="e">
        <f>IF(T51=0,0,S51/T51-1)</f>
        <v>#REF!</v>
      </c>
      <c r="V51" s="10"/>
      <c r="W51" s="48">
        <f>S51+O51+K51+G51+C51</f>
        <v>2180509.41</v>
      </c>
      <c r="X51" s="48" t="e">
        <f>T51+P51+L51+H51+D51</f>
        <v>#REF!</v>
      </c>
      <c r="Y51" s="49" t="e">
        <f>IF(X51=0,0,W51/X51-1)</f>
        <v>#REF!</v>
      </c>
      <c r="Z51" s="35">
        <f>C51+G51-'Syn prin concurents'!E52</f>
        <v>0</v>
      </c>
      <c r="AA51" s="35" t="e">
        <f>D51+H51-'Syn prin concurents'!F52</f>
        <v>#REF!</v>
      </c>
      <c r="AB51" s="35">
        <f>K51-'Syn prin concurents'!I52</f>
        <v>0</v>
      </c>
      <c r="AC51" s="35" t="e">
        <f>L51-'Syn prin concurents'!J52</f>
        <v>#REF!</v>
      </c>
      <c r="AD51" s="35">
        <f>O51-'Syn prin concurents'!M52</f>
        <v>0</v>
      </c>
      <c r="AE51" s="35" t="e">
        <f>P51-'Syn prin concurents'!N52</f>
        <v>#REF!</v>
      </c>
      <c r="AF51" s="35">
        <f>S51-'Syn prin concurents'!Q52</f>
        <v>0</v>
      </c>
      <c r="AG51" s="35" t="e">
        <f>T51-'Syn prin concurents'!R52</f>
        <v>#REF!</v>
      </c>
      <c r="AH51" s="35">
        <f>W51-'Syn prin concurents'!U52</f>
        <v>0</v>
      </c>
      <c r="AI51" s="35" t="e">
        <f>X51-'Syn prin concurents'!V52</f>
        <v>#REF!</v>
      </c>
    </row>
    <row r="52" spans="1:35" ht="19" thickBot="1" x14ac:dyDescent="0.5">
      <c r="A52" s="11" t="s">
        <v>67</v>
      </c>
      <c r="B52" s="12"/>
      <c r="C52" s="13">
        <f>C51/(C$53+C$43)</f>
        <v>2.1803002377646967E-4</v>
      </c>
      <c r="D52" s="13" t="e">
        <f>D51/(D$53+D$43)</f>
        <v>#REF!</v>
      </c>
      <c r="E52" s="14" t="e">
        <f>(C52-D52)*100</f>
        <v>#REF!</v>
      </c>
      <c r="F52" s="15"/>
      <c r="G52" s="13">
        <f>G51/(G$53+G$43)</f>
        <v>1.889911760125612E-4</v>
      </c>
      <c r="H52" s="13" t="e">
        <f>H51/(H$53+H$43)</f>
        <v>#REF!</v>
      </c>
      <c r="I52" s="14" t="e">
        <f>(G52-H52)*100</f>
        <v>#REF!</v>
      </c>
      <c r="J52" s="15"/>
      <c r="K52" s="13">
        <f>K51/(K$53+K$43)</f>
        <v>6.9077784431264472E-2</v>
      </c>
      <c r="L52" s="13" t="e">
        <f>L51/(L$53+L$43)</f>
        <v>#REF!</v>
      </c>
      <c r="M52" s="14" t="e">
        <f>(K52-L52)*100</f>
        <v>#REF!</v>
      </c>
      <c r="N52" s="15"/>
      <c r="O52" s="13">
        <f>O51/O$53</f>
        <v>0</v>
      </c>
      <c r="P52" s="13" t="e">
        <f>P51/(P$53+P$43)</f>
        <v>#REF!</v>
      </c>
      <c r="Q52" s="14" t="e">
        <f>(O52-P52)*100</f>
        <v>#REF!</v>
      </c>
      <c r="R52" s="15"/>
      <c r="S52" s="13">
        <f>S51/S$53</f>
        <v>0</v>
      </c>
      <c r="T52" s="13" t="e">
        <f>T51/(T$53+T$43)</f>
        <v>#REF!</v>
      </c>
      <c r="U52" s="14" t="e">
        <f>(S52-T52)*100</f>
        <v>#REF!</v>
      </c>
      <c r="V52" s="15"/>
      <c r="W52" s="13">
        <f>W51/(W$53+W$43)</f>
        <v>2.1913759749991261E-2</v>
      </c>
      <c r="X52" s="13" t="e">
        <f>X51/(X$53+X$43)</f>
        <v>#REF!</v>
      </c>
      <c r="Y52" s="14" t="e">
        <f>(W52-X52)*100</f>
        <v>#REF!</v>
      </c>
      <c r="Z52" s="35">
        <f>C52+G52-'Syn prin concurents'!E53</f>
        <v>1.6818963262559201E-4</v>
      </c>
      <c r="AA52" s="35" t="e">
        <f>D52+H52-'Syn prin concurents'!F53</f>
        <v>#REF!</v>
      </c>
      <c r="AB52" s="35">
        <f>K52-'Syn prin concurents'!I53</f>
        <v>-1.4480358160859907E-2</v>
      </c>
      <c r="AC52" s="35" t="e">
        <f>L52-'Syn prin concurents'!J53</f>
        <v>#REF!</v>
      </c>
      <c r="AD52" s="35">
        <f>O52-'Syn prin concurents'!M53</f>
        <v>0</v>
      </c>
      <c r="AE52" s="35" t="e">
        <f>P52-'Syn prin concurents'!N53</f>
        <v>#REF!</v>
      </c>
      <c r="AF52" s="35">
        <f>S52-'Syn prin concurents'!Q53</f>
        <v>0</v>
      </c>
      <c r="AG52" s="35" t="e">
        <f>T52-'Syn prin concurents'!R53</f>
        <v>#REF!</v>
      </c>
      <c r="AH52" s="35">
        <f>W52-'Syn prin concurents'!U53</f>
        <v>-4.3032826771047736E-3</v>
      </c>
      <c r="AI52" s="35" t="e">
        <f>X52-'Syn prin concurents'!V53</f>
        <v>#REF!</v>
      </c>
    </row>
    <row r="53" spans="1:35" ht="29" thickBot="1" x14ac:dyDescent="0.7">
      <c r="A53" s="23" t="s">
        <v>8</v>
      </c>
      <c r="B53" s="52"/>
      <c r="C53" s="53">
        <f>GLOBAL!$B$42</f>
        <v>20558160.663080309</v>
      </c>
      <c r="D53" s="53" t="e">
        <f>#REF!</f>
        <v>#REF!</v>
      </c>
      <c r="E53" s="54" t="e">
        <f>IF(D53=0,0,C53/D53-1)</f>
        <v>#REF!</v>
      </c>
      <c r="F53" s="55"/>
      <c r="G53" s="218">
        <f>GLOBAL!$B$43+GLOBAL!$B$45</f>
        <v>35841900.518036686</v>
      </c>
      <c r="H53" s="53" t="e">
        <f>#REF!</f>
        <v>#REF!</v>
      </c>
      <c r="I53" s="54" t="e">
        <f>IF(H53=0,0,G53/H53-1)</f>
        <v>#REF!</v>
      </c>
      <c r="J53" s="55"/>
      <c r="K53" s="53">
        <f>GLOBAL!$B$51+GLOBAL!$B$52+GLOBAL!$B$53+GLOBAL!$B$54</f>
        <v>25934507.73048</v>
      </c>
      <c r="L53" s="53" t="e">
        <f>#REF!+#REF!+#REF!+#REF!</f>
        <v>#REF!</v>
      </c>
      <c r="M53" s="54" t="e">
        <f>IF(L53=0,0,K53/L53-1)</f>
        <v>#REF!</v>
      </c>
      <c r="N53" s="55"/>
      <c r="O53" s="53">
        <f>GLOBAL!$B$48-GLOBAL!$B$41</f>
        <v>611120.35288000852</v>
      </c>
      <c r="P53" s="53" t="e">
        <f>#REF!</f>
        <v>#REF!</v>
      </c>
      <c r="Q53" s="54" t="e">
        <f>IF(P53=0,0,O53/P53-1)</f>
        <v>#REF!</v>
      </c>
      <c r="R53" s="55"/>
      <c r="S53" s="53">
        <f>GLOBAL!$B$55</f>
        <v>225759.84399999998</v>
      </c>
      <c r="T53" s="53" t="e">
        <f>#REF!</f>
        <v>#REF!</v>
      </c>
      <c r="U53" s="54" t="e">
        <f>IF(T53=0,0,S53/T53-1)</f>
        <v>#REF!</v>
      </c>
      <c r="V53" s="55"/>
      <c r="W53" s="53">
        <f>S53+O53+K53+G53+C53</f>
        <v>83171449.108476996</v>
      </c>
      <c r="X53" s="53" t="e">
        <f>T53+P53+L53+H53+D53</f>
        <v>#REF!</v>
      </c>
      <c r="Y53" s="54" t="e">
        <f>IF(X53=0,0,W53/X53-1)</f>
        <v>#REF!</v>
      </c>
      <c r="Z53" s="35">
        <f>C53+G53-'Syn prin concurents'!E54</f>
        <v>0</v>
      </c>
      <c r="AA53" s="35" t="e">
        <f>D53+H53-'Syn prin concurents'!F54</f>
        <v>#REF!</v>
      </c>
      <c r="AB53" s="35">
        <f>K53-'Syn prin concurents'!I54</f>
        <v>0</v>
      </c>
      <c r="AC53" s="35" t="e">
        <f>L53-'Syn prin concurents'!J54</f>
        <v>#REF!</v>
      </c>
      <c r="AD53" s="35">
        <f>O53-'Syn prin concurents'!M54</f>
        <v>0</v>
      </c>
      <c r="AE53" s="35" t="e">
        <f>P53-'Syn prin concurents'!N54</f>
        <v>#REF!</v>
      </c>
      <c r="AF53" s="35">
        <f>S53-'Syn prin concurents'!Q54</f>
        <v>0</v>
      </c>
      <c r="AG53" s="35" t="e">
        <f>T53-'Syn prin concurents'!R54</f>
        <v>#REF!</v>
      </c>
      <c r="AH53" s="35">
        <f>W53-'Syn prin concurents'!U54</f>
        <v>0</v>
      </c>
      <c r="AI53" s="35" t="e">
        <f>X53-'Syn prin concurents'!V54</f>
        <v>#REF!</v>
      </c>
    </row>
    <row r="54" spans="1:35" ht="14" x14ac:dyDescent="0.25">
      <c r="A54" s="221"/>
    </row>
    <row r="55" spans="1:35" ht="27.5" x14ac:dyDescent="0.25">
      <c r="A55" s="762" t="s">
        <v>85</v>
      </c>
      <c r="B55" s="762"/>
      <c r="C55" s="762"/>
      <c r="D55" s="762"/>
      <c r="E55" s="762"/>
      <c r="F55" s="762"/>
      <c r="G55" s="762"/>
      <c r="H55" s="762"/>
      <c r="I55" s="762"/>
      <c r="J55" s="762"/>
      <c r="K55" s="762"/>
      <c r="L55" s="762"/>
      <c r="M55" s="762"/>
      <c r="N55" s="762"/>
      <c r="O55" s="762"/>
      <c r="P55" s="762"/>
      <c r="Q55" s="762"/>
      <c r="R55" s="762"/>
      <c r="S55" s="762"/>
      <c r="T55" s="762"/>
      <c r="U55" s="762"/>
      <c r="V55" s="762"/>
      <c r="W55" s="762"/>
      <c r="X55" s="762"/>
      <c r="Y55" s="762"/>
    </row>
    <row r="57" spans="1:35" ht="25" x14ac:dyDescent="0.5">
      <c r="C57" s="761" t="s">
        <v>72</v>
      </c>
      <c r="D57" s="761"/>
      <c r="E57" s="761"/>
      <c r="F57" s="3"/>
      <c r="G57" s="761" t="s">
        <v>73</v>
      </c>
      <c r="H57" s="761"/>
      <c r="I57" s="761"/>
      <c r="J57" s="3"/>
      <c r="K57" s="761" t="s">
        <v>84</v>
      </c>
      <c r="L57" s="761"/>
      <c r="M57" s="761"/>
      <c r="N57" s="3"/>
      <c r="O57" s="761" t="s">
        <v>59</v>
      </c>
      <c r="P57" s="761"/>
      <c r="Q57" s="761"/>
      <c r="R57" s="3"/>
      <c r="S57" s="761" t="s">
        <v>60</v>
      </c>
      <c r="T57" s="761"/>
      <c r="U57" s="761"/>
      <c r="V57" s="3"/>
      <c r="W57" s="761" t="s">
        <v>61</v>
      </c>
      <c r="X57" s="761"/>
      <c r="Y57" s="761"/>
    </row>
    <row r="58" spans="1:35" ht="6.75" customHeight="1" x14ac:dyDescent="0.4">
      <c r="C58" s="562"/>
      <c r="D58" s="562"/>
      <c r="E58" s="562"/>
      <c r="G58" s="562"/>
      <c r="H58" s="562"/>
      <c r="I58" s="562"/>
      <c r="K58" s="562"/>
      <c r="L58" s="562"/>
      <c r="M58" s="562"/>
      <c r="O58" s="562"/>
      <c r="P58" s="562"/>
      <c r="Q58" s="562"/>
      <c r="S58" s="562"/>
      <c r="T58" s="562"/>
      <c r="U58" s="562"/>
      <c r="W58" s="562"/>
      <c r="X58" s="562"/>
      <c r="Y58" s="562"/>
    </row>
    <row r="59" spans="1:35" ht="24.75" customHeight="1" x14ac:dyDescent="0.5">
      <c r="A59" s="4"/>
      <c r="B59" s="5"/>
      <c r="C59" s="559">
        <f>C36</f>
        <v>46082</v>
      </c>
      <c r="D59" s="558">
        <f>D36</f>
        <v>43435</v>
      </c>
      <c r="E59" s="560" t="s">
        <v>62</v>
      </c>
      <c r="F59" s="3"/>
      <c r="G59" s="559">
        <f>G36</f>
        <v>46082</v>
      </c>
      <c r="H59" s="558">
        <f>H36</f>
        <v>43435</v>
      </c>
      <c r="I59" s="560" t="s">
        <v>62</v>
      </c>
      <c r="J59" s="3"/>
      <c r="K59" s="559">
        <f>G59</f>
        <v>46082</v>
      </c>
      <c r="L59" s="558">
        <f>H59</f>
        <v>43435</v>
      </c>
      <c r="M59" s="560" t="s">
        <v>62</v>
      </c>
      <c r="N59" s="3"/>
      <c r="O59" s="559">
        <f>K59</f>
        <v>46082</v>
      </c>
      <c r="P59" s="558">
        <f>L59</f>
        <v>43435</v>
      </c>
      <c r="Q59" s="560" t="s">
        <v>62</v>
      </c>
      <c r="R59" s="3"/>
      <c r="S59" s="559">
        <f>O59</f>
        <v>46082</v>
      </c>
      <c r="T59" s="558">
        <f>P59</f>
        <v>43435</v>
      </c>
      <c r="U59" s="560" t="s">
        <v>62</v>
      </c>
      <c r="V59" s="3"/>
      <c r="W59" s="559">
        <f>S59</f>
        <v>46082</v>
      </c>
      <c r="X59" s="558">
        <f>T59</f>
        <v>43435</v>
      </c>
      <c r="Y59" s="560" t="s">
        <v>62</v>
      </c>
    </row>
    <row r="60" spans="1:35" ht="6.75" customHeight="1" x14ac:dyDescent="0.4">
      <c r="C60" s="562"/>
      <c r="D60" s="562"/>
      <c r="E60" s="562"/>
      <c r="G60" s="562"/>
      <c r="H60" s="562"/>
      <c r="I60" s="562"/>
      <c r="K60" s="562"/>
      <c r="L60" s="562"/>
      <c r="M60" s="562"/>
      <c r="O60" s="562"/>
      <c r="P60" s="562"/>
      <c r="Q60" s="562"/>
      <c r="S60" s="562"/>
      <c r="T60" s="562"/>
      <c r="U60" s="562"/>
      <c r="W60" s="562"/>
      <c r="X60" s="562"/>
      <c r="Y60" s="562"/>
    </row>
    <row r="61" spans="1:35" ht="6" customHeight="1" x14ac:dyDescent="0.25">
      <c r="A61" s="563"/>
      <c r="B61" s="563"/>
      <c r="C61" s="563"/>
      <c r="D61" s="563"/>
      <c r="E61" s="563"/>
      <c r="G61" s="563"/>
      <c r="H61" s="563"/>
      <c r="I61" s="563"/>
      <c r="K61" s="563"/>
      <c r="L61" s="563"/>
      <c r="M61" s="563"/>
      <c r="O61" s="563"/>
      <c r="P61" s="563"/>
      <c r="Q61" s="563"/>
      <c r="S61" s="563"/>
      <c r="T61" s="563"/>
      <c r="U61" s="563"/>
      <c r="W61" s="563"/>
      <c r="X61" s="563"/>
      <c r="Y61" s="563"/>
    </row>
    <row r="62" spans="1:35" ht="26" x14ac:dyDescent="0.6">
      <c r="A62" s="6" t="s">
        <v>10</v>
      </c>
      <c r="B62" s="7"/>
      <c r="C62" s="8">
        <f>WAFASALAF!$B$98</f>
        <v>1070052.33</v>
      </c>
      <c r="D62" s="48" t="e">
        <f>#REF!</f>
        <v>#REF!</v>
      </c>
      <c r="E62" s="9" t="e">
        <f>IF(D62=0,0,C62/D62-1)</f>
        <v>#REF!</v>
      </c>
      <c r="F62" s="10"/>
      <c r="G62" s="8">
        <f>WAFASALAF!$B$100+WAFASALAF!$B$99</f>
        <v>285869.09100000001</v>
      </c>
      <c r="H62" s="48" t="e">
        <f>#REF!</f>
        <v>#REF!</v>
      </c>
      <c r="I62" s="9" t="e">
        <f>IF(H62=0,0,G62/H62-1)</f>
        <v>#REF!</v>
      </c>
      <c r="J62" s="10"/>
      <c r="K62" s="8">
        <f>WAFASALAF!$B$107+WAFASALAF!$B$108+WAFASALAF!$B$109+WAFASALAF!$B$110</f>
        <v>1461907.2880000002</v>
      </c>
      <c r="L62" s="8" t="e">
        <f>#REF!+#REF!+#REF!+#REF!</f>
        <v>#REF!</v>
      </c>
      <c r="M62" s="9" t="e">
        <f>IF(L62=0,0,K62/L62-1)</f>
        <v>#REF!</v>
      </c>
      <c r="N62" s="10"/>
      <c r="O62" s="8">
        <f>WAFASALAF!$B$103-WAFASALAF!$B$97</f>
        <v>68420.01099999994</v>
      </c>
      <c r="P62" s="8" t="e">
        <f>#REF!</f>
        <v>#REF!</v>
      </c>
      <c r="Q62" s="9" t="e">
        <f>IF(P62=0,0,O62/P62-1)</f>
        <v>#REF!</v>
      </c>
      <c r="R62" s="10"/>
      <c r="S62" s="8">
        <f>WAFASALAF!$B$111</f>
        <v>38385.053</v>
      </c>
      <c r="T62" s="8" t="e">
        <f>#REF!</f>
        <v>#REF!</v>
      </c>
      <c r="U62" s="9" t="e">
        <f>IF(T62=0,0,S62/T62-1)</f>
        <v>#REF!</v>
      </c>
      <c r="V62" s="10"/>
      <c r="W62" s="8">
        <f>S62+O62+K62+G62+C62</f>
        <v>2924633.773</v>
      </c>
      <c r="X62" s="8" t="e">
        <f>T62+P62+L62+H62+D62</f>
        <v>#REF!</v>
      </c>
      <c r="Y62" s="9" t="e">
        <f>IF(X62=0,0,W62/X62-1)</f>
        <v>#REF!</v>
      </c>
      <c r="Z62" s="35">
        <f>C62+G62-'Syn prin concurents'!E64</f>
        <v>0</v>
      </c>
      <c r="AA62" s="35" t="e">
        <f>D62+H62-'Syn prin concurents'!F64</f>
        <v>#REF!</v>
      </c>
      <c r="AB62" s="35">
        <f>K62-'Syn prin concurents'!I64</f>
        <v>0</v>
      </c>
      <c r="AC62" s="35" t="e">
        <f>L62-'Syn prin concurents'!J64</f>
        <v>#REF!</v>
      </c>
      <c r="AD62" s="35">
        <f>O62-'Syn prin concurents'!M64</f>
        <v>0</v>
      </c>
      <c r="AE62" s="35" t="e">
        <f>P62-'Syn prin concurents'!N64</f>
        <v>#REF!</v>
      </c>
      <c r="AF62" s="35">
        <f>S62-'Syn prin concurents'!Q64</f>
        <v>0</v>
      </c>
      <c r="AG62" s="35" t="e">
        <f>T62-'Syn prin concurents'!R64</f>
        <v>#REF!</v>
      </c>
      <c r="AH62" s="35">
        <f>W62-'Syn prin concurents'!U64</f>
        <v>0</v>
      </c>
      <c r="AI62" s="35" t="e">
        <f>X62-'Syn prin concurents'!V64</f>
        <v>#REF!</v>
      </c>
    </row>
    <row r="63" spans="1:35" ht="18.5" x14ac:dyDescent="0.45">
      <c r="A63" s="11" t="s">
        <v>67</v>
      </c>
      <c r="B63" s="12"/>
      <c r="C63" s="13">
        <f>C62/C$76</f>
        <v>0.18823677664692162</v>
      </c>
      <c r="D63" s="13" t="e">
        <f>D62/D$53</f>
        <v>#REF!</v>
      </c>
      <c r="E63" s="14" t="e">
        <f>(C63-D63)*100</f>
        <v>#REF!</v>
      </c>
      <c r="F63" s="15"/>
      <c r="G63" s="13">
        <f>G62/G$76</f>
        <v>0.14141514378451001</v>
      </c>
      <c r="H63" s="13" t="e">
        <f>H62/H$53</f>
        <v>#REF!</v>
      </c>
      <c r="I63" s="14" t="e">
        <f>(G63-H63)*100</f>
        <v>#REF!</v>
      </c>
      <c r="J63" s="15"/>
      <c r="K63" s="13">
        <f>K62/K$76</f>
        <v>0.30648923624365038</v>
      </c>
      <c r="L63" s="13" t="e">
        <f>L62/L$53</f>
        <v>#REF!</v>
      </c>
      <c r="M63" s="14" t="e">
        <f>(K63-L63)*100</f>
        <v>#REF!</v>
      </c>
      <c r="N63" s="15"/>
      <c r="O63" s="13">
        <f>O62/O$76</f>
        <v>0.92814373775204262</v>
      </c>
      <c r="P63" s="13" t="e">
        <f>P62/P$53</f>
        <v>#REF!</v>
      </c>
      <c r="Q63" s="14" t="e">
        <f>(O63-P63)*100</f>
        <v>#REF!</v>
      </c>
      <c r="R63" s="15"/>
      <c r="S63" s="13">
        <f>S62/S$76</f>
        <v>0.46361307854010192</v>
      </c>
      <c r="T63" s="13" t="e">
        <f>T62/T$53</f>
        <v>#REF!</v>
      </c>
      <c r="U63" s="14" t="e">
        <f>(S63-T63)*100</f>
        <v>#REF!</v>
      </c>
      <c r="V63" s="15"/>
      <c r="W63" s="13">
        <f>W62/W$76</f>
        <v>0.23151739605702415</v>
      </c>
      <c r="X63" s="13" t="e">
        <f>X62/X$76</f>
        <v>#REF!</v>
      </c>
      <c r="Y63" s="14" t="e">
        <f>(W63-X63)*100</f>
        <v>#REF!</v>
      </c>
      <c r="Z63" s="35">
        <f>C63+G63-'Syn prin concurents'!E65</f>
        <v>0.15369754779331449</v>
      </c>
      <c r="AA63" s="35" t="e">
        <f>D63+H63-'Syn prin concurents'!F65</f>
        <v>#REF!</v>
      </c>
      <c r="AB63" s="35">
        <f>K63-'Syn prin concurents'!I65</f>
        <v>0</v>
      </c>
      <c r="AC63" s="35" t="e">
        <f>L63-'Syn prin concurents'!J65</f>
        <v>#REF!</v>
      </c>
      <c r="AD63" s="35">
        <f>O63-'Syn prin concurents'!M65</f>
        <v>0</v>
      </c>
      <c r="AE63" s="35" t="e">
        <f>P63-'Syn prin concurents'!N65</f>
        <v>#REF!</v>
      </c>
      <c r="AF63" s="35">
        <f>S63-'Syn prin concurents'!Q65</f>
        <v>0</v>
      </c>
      <c r="AG63" s="35" t="e">
        <f>T63-'Syn prin concurents'!R65</f>
        <v>#REF!</v>
      </c>
      <c r="AH63" s="35">
        <f>W63-'Syn prin concurents'!U65</f>
        <v>0</v>
      </c>
      <c r="AI63" s="35" t="e">
        <f>X63-'Syn prin concurents'!V65</f>
        <v>#REF!</v>
      </c>
    </row>
    <row r="64" spans="1:35" ht="25" x14ac:dyDescent="0.5">
      <c r="A64" s="16" t="s">
        <v>2</v>
      </c>
      <c r="B64" s="7"/>
      <c r="C64" s="50">
        <f>SOFAC!$B$98</f>
        <v>1168367.9485099998</v>
      </c>
      <c r="D64" s="50" t="e">
        <f>#REF!</f>
        <v>#REF!</v>
      </c>
      <c r="E64" s="51" t="e">
        <f>IF(D64=0,0,C64/D64-1)</f>
        <v>#REF!</v>
      </c>
      <c r="F64" s="3"/>
      <c r="G64" s="50">
        <f>SOFAC!$B$100+SOFAC!$B$99</f>
        <v>470380.37509000051</v>
      </c>
      <c r="H64" s="50" t="e">
        <f>#REF!</f>
        <v>#REF!</v>
      </c>
      <c r="I64" s="51" t="e">
        <f>IF(H64=0,0,G64/H64-1)</f>
        <v>#REF!</v>
      </c>
      <c r="J64" s="3"/>
      <c r="K64" s="50">
        <f>SOFAC!$B$107+SOFAC!$B$108+SOFAC!$B$109+SOFAC!$B$110</f>
        <v>784208.58958999848</v>
      </c>
      <c r="L64" s="50" t="e">
        <f>#REF!+#REF!+#REF!+#REF!</f>
        <v>#REF!</v>
      </c>
      <c r="M64" s="51" t="e">
        <f>IF(L64=0,0,K64/L64-1)</f>
        <v>#REF!</v>
      </c>
      <c r="N64" s="3"/>
      <c r="O64" s="50">
        <f>SOFAC!$B$103-SOFAC!$B$97</f>
        <v>321.63810999994166</v>
      </c>
      <c r="P64" s="50" t="e">
        <f>#REF!</f>
        <v>#REF!</v>
      </c>
      <c r="Q64" s="51" t="e">
        <f>IF(P64=0,0,O64/P64-1)</f>
        <v>#REF!</v>
      </c>
      <c r="R64" s="3"/>
      <c r="S64" s="50">
        <f>SOFAC!$B$111</f>
        <v>0</v>
      </c>
      <c r="T64" s="50" t="e">
        <f>#REF!</f>
        <v>#REF!</v>
      </c>
      <c r="U64" s="51" t="e">
        <f>IF(T64=0,0,S64/T64-1)</f>
        <v>#REF!</v>
      </c>
      <c r="V64" s="3"/>
      <c r="W64" s="50">
        <f>S64+O64+K64+G64+C64</f>
        <v>2423278.5512999985</v>
      </c>
      <c r="X64" s="50" t="e">
        <f>T64+P64+L64+H64+D64</f>
        <v>#REF!</v>
      </c>
      <c r="Y64" s="51" t="e">
        <f>IF(X64=0,0,W64/X64-1)</f>
        <v>#REF!</v>
      </c>
      <c r="Z64" s="35">
        <f>C64+G64-'Syn prin concurents'!E70</f>
        <v>0</v>
      </c>
      <c r="AA64" s="35" t="e">
        <f>D64+H64-'Syn prin concurents'!F70</f>
        <v>#REF!</v>
      </c>
      <c r="AB64" s="35">
        <f>K64-'Syn prin concurents'!I70</f>
        <v>0</v>
      </c>
      <c r="AC64" s="35" t="e">
        <f>L64-'Syn prin concurents'!J70</f>
        <v>#REF!</v>
      </c>
      <c r="AD64" s="35">
        <f>O64-'Syn prin concurents'!M70</f>
        <v>0</v>
      </c>
      <c r="AE64" s="35" t="e">
        <f>P64-'Syn prin concurents'!N70</f>
        <v>#REF!</v>
      </c>
      <c r="AF64" s="35">
        <f>S64-'Syn prin concurents'!Q70</f>
        <v>0</v>
      </c>
      <c r="AG64" s="35" t="e">
        <f>T64-'Syn prin concurents'!R70</f>
        <v>#REF!</v>
      </c>
      <c r="AH64" s="35">
        <f>W64-'Syn prin concurents'!U70</f>
        <v>0</v>
      </c>
      <c r="AI64" s="35" t="e">
        <f>X64-'Syn prin concurents'!V70</f>
        <v>#REF!</v>
      </c>
    </row>
    <row r="65" spans="1:35" ht="18.5" x14ac:dyDescent="0.45">
      <c r="A65" s="19" t="s">
        <v>67</v>
      </c>
      <c r="B65" s="12"/>
      <c r="C65" s="21">
        <f>C64/C$76</f>
        <v>0.20553183278905512</v>
      </c>
      <c r="D65" s="21" t="e">
        <f>D64/D$53</f>
        <v>#REF!</v>
      </c>
      <c r="E65" s="22" t="e">
        <f>(C65-D65)*100</f>
        <v>#REF!</v>
      </c>
      <c r="F65" s="15"/>
      <c r="G65" s="21">
        <f>G64/G$76</f>
        <v>0.23269010351582278</v>
      </c>
      <c r="H65" s="21" t="e">
        <f>H64/H$53</f>
        <v>#REF!</v>
      </c>
      <c r="I65" s="22" t="e">
        <f>(G65-H65)*100</f>
        <v>#REF!</v>
      </c>
      <c r="J65" s="15"/>
      <c r="K65" s="21">
        <f>K64/K$76</f>
        <v>0.16440953106401701</v>
      </c>
      <c r="L65" s="21" t="e">
        <f>L64/L$53</f>
        <v>#REF!</v>
      </c>
      <c r="M65" s="22" t="e">
        <f>(K65-L65)*100</f>
        <v>#REF!</v>
      </c>
      <c r="N65" s="15"/>
      <c r="O65" s="21">
        <f>O64/O$76</f>
        <v>4.3631445428859803E-3</v>
      </c>
      <c r="P65" s="21" t="e">
        <f>P64/P$53</f>
        <v>#REF!</v>
      </c>
      <c r="Q65" s="22" t="e">
        <f>(O65-P65)*100</f>
        <v>#REF!</v>
      </c>
      <c r="R65" s="15"/>
      <c r="S65" s="21">
        <f>S64/S$76</f>
        <v>0</v>
      </c>
      <c r="T65" s="21" t="e">
        <f>T64/T$53</f>
        <v>#REF!</v>
      </c>
      <c r="U65" s="22" t="e">
        <f>(S65-T65)*100</f>
        <v>#REF!</v>
      </c>
      <c r="V65" s="15"/>
      <c r="W65" s="21">
        <f>W64/W$76</f>
        <v>0.19182953616183021</v>
      </c>
      <c r="X65" s="21" t="e">
        <f>X64/X$76</f>
        <v>#REF!</v>
      </c>
      <c r="Y65" s="22" t="e">
        <f>(W65-X65)*100</f>
        <v>#REF!</v>
      </c>
      <c r="Z65" s="35">
        <f>C65+G65-'Syn prin concurents'!E71</f>
        <v>0.22556585703285922</v>
      </c>
      <c r="AA65" s="35" t="e">
        <f>D65+H65-'Syn prin concurents'!F71</f>
        <v>#REF!</v>
      </c>
      <c r="AB65" s="35">
        <f>K65-'Syn prin concurents'!I71</f>
        <v>0</v>
      </c>
      <c r="AC65" s="35" t="e">
        <f>L65-'Syn prin concurents'!J71</f>
        <v>#REF!</v>
      </c>
      <c r="AD65" s="35">
        <f>O65-'Syn prin concurents'!M71</f>
        <v>0</v>
      </c>
      <c r="AE65" s="35" t="e">
        <f>P65-'Syn prin concurents'!N71</f>
        <v>#REF!</v>
      </c>
      <c r="AF65" s="35">
        <f>S65-'Syn prin concurents'!Q71</f>
        <v>0</v>
      </c>
      <c r="AG65" s="35" t="e">
        <f>T65-'Syn prin concurents'!R71</f>
        <v>#REF!</v>
      </c>
      <c r="AH65" s="35">
        <f>W65-'Syn prin concurents'!U71</f>
        <v>0</v>
      </c>
      <c r="AI65" s="35" t="e">
        <f>X65-'Syn prin concurents'!V71</f>
        <v>#REF!</v>
      </c>
    </row>
    <row r="66" spans="1:35" ht="23.5" x14ac:dyDescent="0.55000000000000004">
      <c r="A66" s="6" t="s">
        <v>5</v>
      </c>
      <c r="B66" s="296"/>
      <c r="C66" s="297">
        <f>VIVALIS!$B$98</f>
        <v>1936369.6839999999</v>
      </c>
      <c r="D66" s="297" t="e">
        <f>#REF!</f>
        <v>#REF!</v>
      </c>
      <c r="E66" s="298" t="e">
        <f>IF(D66=0,0,C66/D66-1)</f>
        <v>#REF!</v>
      </c>
      <c r="F66" s="10"/>
      <c r="G66" s="297">
        <f>VIVALIS!$B$100+VIVALIS!$B$99</f>
        <v>573814.46900000004</v>
      </c>
      <c r="H66" s="297" t="e">
        <f>#REF!</f>
        <v>#REF!</v>
      </c>
      <c r="I66" s="298" t="e">
        <f>IF(H66=0,0,G66/H66-1)</f>
        <v>#REF!</v>
      </c>
      <c r="J66" s="10"/>
      <c r="K66" s="297">
        <f>VIVALIS!$B$107+VIVALIS!$B$108+VIVALIS!$B$109+VIVALIS!$B$110</f>
        <v>633267.11399999994</v>
      </c>
      <c r="L66" s="297" t="e">
        <f>#REF!+#REF!+#REF!+#REF!</f>
        <v>#REF!</v>
      </c>
      <c r="M66" s="298" t="e">
        <f>IF(L66=0,0,K66/L66-1)</f>
        <v>#REF!</v>
      </c>
      <c r="N66" s="10"/>
      <c r="O66" s="297">
        <f>VIVALIS!$B$103-VIVALIS!$B$97</f>
        <v>0</v>
      </c>
      <c r="P66" s="297" t="e">
        <f>#REF!</f>
        <v>#REF!</v>
      </c>
      <c r="Q66" s="298" t="e">
        <f>IF(P66=0,0,O66/P66-1)</f>
        <v>#REF!</v>
      </c>
      <c r="R66" s="10"/>
      <c r="S66" s="297">
        <f>VIVALIS!$B$111</f>
        <v>0</v>
      </c>
      <c r="T66" s="297" t="e">
        <f>#REF!</f>
        <v>#REF!</v>
      </c>
      <c r="U66" s="298" t="e">
        <f>IF(T66=0,0,S66/T66-1)</f>
        <v>#REF!</v>
      </c>
      <c r="V66" s="10"/>
      <c r="W66" s="297">
        <f>S66+O66+K66+G66+C66</f>
        <v>3143451.267</v>
      </c>
      <c r="X66" s="297" t="e">
        <f>T66+P66+L66+H66+D66</f>
        <v>#REF!</v>
      </c>
      <c r="Y66" s="298" t="e">
        <f>IF(X66=0,0,W66/X66-1)</f>
        <v>#REF!</v>
      </c>
      <c r="Z66" s="35">
        <f>C66+G66-'Syn prin concurents'!E68</f>
        <v>0</v>
      </c>
      <c r="AA66" s="35" t="e">
        <f>D66+H66-'Syn prin concurents'!F68</f>
        <v>#REF!</v>
      </c>
      <c r="AB66" s="35">
        <f>K66-'Syn prin concurents'!I68</f>
        <v>0</v>
      </c>
      <c r="AC66" s="35" t="e">
        <f>L66-'Syn prin concurents'!J68</f>
        <v>#REF!</v>
      </c>
      <c r="AD66" s="35">
        <f>O66-'Syn prin concurents'!M68</f>
        <v>0</v>
      </c>
      <c r="AE66" s="35" t="e">
        <f>P66-'Syn prin concurents'!N68</f>
        <v>#REF!</v>
      </c>
      <c r="AF66" s="35">
        <f>S66-'Syn prin concurents'!Q68</f>
        <v>0</v>
      </c>
      <c r="AG66" s="35" t="e">
        <f>T66-'Syn prin concurents'!R68</f>
        <v>#REF!</v>
      </c>
      <c r="AH66" s="35">
        <f>W66-'Syn prin concurents'!U68</f>
        <v>0</v>
      </c>
      <c r="AI66" s="35" t="e">
        <f>X66-'Syn prin concurents'!V68</f>
        <v>#REF!</v>
      </c>
    </row>
    <row r="67" spans="1:35" ht="18.5" x14ac:dyDescent="0.45">
      <c r="A67" s="11" t="s">
        <v>67</v>
      </c>
      <c r="B67" s="299"/>
      <c r="C67" s="300">
        <f>C66/C$76</f>
        <v>0.3406337965854232</v>
      </c>
      <c r="D67" s="300" t="e">
        <f>D66/D$53</f>
        <v>#REF!</v>
      </c>
      <c r="E67" s="301" t="e">
        <f>(C67-D67)*100</f>
        <v>#REF!</v>
      </c>
      <c r="F67" s="15"/>
      <c r="G67" s="300">
        <f>G66/G$76</f>
        <v>0.28385739554916506</v>
      </c>
      <c r="H67" s="300" t="e">
        <f>H66/H$53</f>
        <v>#REF!</v>
      </c>
      <c r="I67" s="301" t="e">
        <f>(G67-H67)*100</f>
        <v>#REF!</v>
      </c>
      <c r="J67" s="15"/>
      <c r="K67" s="300">
        <f>K66/K$76</f>
        <v>0.13276461216197222</v>
      </c>
      <c r="L67" s="300" t="e">
        <f>L66/L$53</f>
        <v>#REF!</v>
      </c>
      <c r="M67" s="301" t="e">
        <f>(K67-L67)*100</f>
        <v>#REF!</v>
      </c>
      <c r="N67" s="15"/>
      <c r="O67" s="300">
        <f>O66/O$76</f>
        <v>0</v>
      </c>
      <c r="P67" s="300" t="e">
        <f>P66/P$53</f>
        <v>#REF!</v>
      </c>
      <c r="Q67" s="301" t="e">
        <f>(O67-P67)*100</f>
        <v>#REF!</v>
      </c>
      <c r="R67" s="15"/>
      <c r="S67" s="300">
        <f>S66/S$76</f>
        <v>0</v>
      </c>
      <c r="T67" s="300" t="e">
        <f>T66/T$53</f>
        <v>#REF!</v>
      </c>
      <c r="U67" s="301" t="e">
        <f>(S67-T67)*100</f>
        <v>#REF!</v>
      </c>
      <c r="V67" s="15"/>
      <c r="W67" s="300">
        <f>W66/W$76</f>
        <v>0.2488392422622801</v>
      </c>
      <c r="X67" s="300" t="e">
        <f>X66/X$76</f>
        <v>#REF!</v>
      </c>
      <c r="Y67" s="301" t="e">
        <f>(W67-X67)*100</f>
        <v>#REF!</v>
      </c>
      <c r="Z67" s="35">
        <f>C67+G67-'Syn prin concurents'!E69</f>
        <v>0.29875116693348297</v>
      </c>
      <c r="AA67" s="35" t="e">
        <f>D67+H67-'Syn prin concurents'!F69</f>
        <v>#REF!</v>
      </c>
      <c r="AB67" s="35">
        <f>K67-'Syn prin concurents'!I69</f>
        <v>0</v>
      </c>
      <c r="AC67" s="35" t="e">
        <f>L67-'Syn prin concurents'!J69</f>
        <v>#REF!</v>
      </c>
      <c r="AD67" s="35">
        <f>O67-'Syn prin concurents'!M69</f>
        <v>0</v>
      </c>
      <c r="AE67" s="35" t="e">
        <f>P67-'Syn prin concurents'!N69</f>
        <v>#REF!</v>
      </c>
      <c r="AF67" s="35">
        <f>S67-'Syn prin concurents'!Q69</f>
        <v>0</v>
      </c>
      <c r="AG67" s="35" t="e">
        <f>T67-'Syn prin concurents'!R69</f>
        <v>#REF!</v>
      </c>
      <c r="AH67" s="35">
        <f>W67-'Syn prin concurents'!U69</f>
        <v>0</v>
      </c>
      <c r="AI67" s="35" t="e">
        <f>X67-'Syn prin concurents'!V69</f>
        <v>#REF!</v>
      </c>
    </row>
    <row r="68" spans="1:35" ht="26" x14ac:dyDescent="0.6">
      <c r="A68" s="6" t="s">
        <v>6</v>
      </c>
      <c r="B68" s="7"/>
      <c r="C68" s="8">
        <f>EQDOM!$B$98</f>
        <v>498745.50199999998</v>
      </c>
      <c r="D68" s="48" t="e">
        <f>#REF!</f>
        <v>#REF!</v>
      </c>
      <c r="E68" s="9" t="e">
        <f>IF(D68=0,0,C68/D68-1)</f>
        <v>#REF!</v>
      </c>
      <c r="F68" s="10"/>
      <c r="G68" s="8">
        <f>EQDOM!$B$100+EQDOM!$B$99</f>
        <v>387140.68599999999</v>
      </c>
      <c r="H68" s="8" t="e">
        <f>#REF!</f>
        <v>#REF!</v>
      </c>
      <c r="I68" s="9" t="e">
        <f>IF(H68=0,0,G68/H68-1)</f>
        <v>#REF!</v>
      </c>
      <c r="J68" s="10"/>
      <c r="K68" s="8">
        <f>EQDOM!$B$107+EQDOM!$B$108+EQDOM!$B$109+EQDOM!$B$110</f>
        <v>900163.571</v>
      </c>
      <c r="L68" s="8" t="e">
        <f>#REF!+#REF!+#REF!+#REF!</f>
        <v>#REF!</v>
      </c>
      <c r="M68" s="9" t="e">
        <f>IF(L68=0,0,K68/L68-1)</f>
        <v>#REF!</v>
      </c>
      <c r="N68" s="10"/>
      <c r="O68" s="8">
        <f>EQDOM!$B$103-EQDOM!$B$97</f>
        <v>4975.39300000004</v>
      </c>
      <c r="P68" s="8" t="e">
        <f>#REF!</f>
        <v>#REF!</v>
      </c>
      <c r="Q68" s="9" t="e">
        <f>IF(P68=0,0,O68/P68-1)</f>
        <v>#REF!</v>
      </c>
      <c r="R68" s="10"/>
      <c r="S68" s="8">
        <f>EQDOM!$B$111</f>
        <v>0</v>
      </c>
      <c r="T68" s="8" t="e">
        <f>#REF!</f>
        <v>#REF!</v>
      </c>
      <c r="U68" s="9" t="e">
        <f>IF(T68=0,0,S68/T68-1)</f>
        <v>#REF!</v>
      </c>
      <c r="V68" s="10"/>
      <c r="W68" s="8">
        <f>S68+O68+K68+G68+C68</f>
        <v>1791025.1519999998</v>
      </c>
      <c r="X68" s="8" t="e">
        <f>T68+P68+L68+H68+D68</f>
        <v>#REF!</v>
      </c>
      <c r="Y68" s="9" t="e">
        <f>IF(X68=0,0,W68/X68-1)</f>
        <v>#REF!</v>
      </c>
      <c r="Z68" s="35">
        <f>C68+G68-'Syn prin concurents'!E66</f>
        <v>0</v>
      </c>
      <c r="AA68" s="35" t="e">
        <f>D68+H68-'Syn prin concurents'!F66</f>
        <v>#REF!</v>
      </c>
      <c r="AB68" s="35">
        <f>K68-'Syn prin concurents'!I66</f>
        <v>0</v>
      </c>
      <c r="AC68" s="35" t="e">
        <f>L68-'Syn prin concurents'!J66</f>
        <v>#REF!</v>
      </c>
      <c r="AD68" s="35">
        <f>O68-'Syn prin concurents'!M66</f>
        <v>0</v>
      </c>
      <c r="AE68" s="35" t="e">
        <f>P68-'Syn prin concurents'!N66</f>
        <v>#REF!</v>
      </c>
      <c r="AF68" s="35">
        <f>S68-'Syn prin concurents'!Q66</f>
        <v>0</v>
      </c>
      <c r="AG68" s="35" t="e">
        <f>T68-'Syn prin concurents'!R66</f>
        <v>#REF!</v>
      </c>
      <c r="AH68" s="35">
        <f>W68-'Syn prin concurents'!U66</f>
        <v>0</v>
      </c>
      <c r="AI68" s="35" t="e">
        <f>X68-'Syn prin concurents'!V66</f>
        <v>#REF!</v>
      </c>
    </row>
    <row r="69" spans="1:35" ht="18.5" x14ac:dyDescent="0.45">
      <c r="A69" s="11" t="s">
        <v>67</v>
      </c>
      <c r="B69" s="12"/>
      <c r="C69" s="13">
        <f>C68/C$76</f>
        <v>8.7736125637547832E-2</v>
      </c>
      <c r="D69" s="13" t="e">
        <f>D68/D$53</f>
        <v>#REF!</v>
      </c>
      <c r="E69" s="14" t="e">
        <f>(C69-D69)*100</f>
        <v>#REF!</v>
      </c>
      <c r="F69" s="15"/>
      <c r="G69" s="13">
        <f>G68/G$76</f>
        <v>0.19151268010126996</v>
      </c>
      <c r="H69" s="13" t="e">
        <f>H68/H$53</f>
        <v>#REF!</v>
      </c>
      <c r="I69" s="14" t="e">
        <f>(G69-H69)*100</f>
        <v>#REF!</v>
      </c>
      <c r="J69" s="15"/>
      <c r="K69" s="13">
        <f>K68/K$76</f>
        <v>0.18871952252703109</v>
      </c>
      <c r="L69" s="13" t="e">
        <f>L68/L$53</f>
        <v>#REF!</v>
      </c>
      <c r="M69" s="14" t="e">
        <f>(K69-L69)*100</f>
        <v>#REF!</v>
      </c>
      <c r="N69" s="15"/>
      <c r="O69" s="13">
        <f>O68/O$76</f>
        <v>6.7493117705073005E-2</v>
      </c>
      <c r="P69" s="13" t="e">
        <f>P68/P$53</f>
        <v>#REF!</v>
      </c>
      <c r="Q69" s="14" t="e">
        <f>(O69-P69)*100</f>
        <v>#REF!</v>
      </c>
      <c r="R69" s="15"/>
      <c r="S69" s="13">
        <f>S68/S$76</f>
        <v>0</v>
      </c>
      <c r="T69" s="13" t="e">
        <f>T68/T$53</f>
        <v>#REF!</v>
      </c>
      <c r="U69" s="14" t="e">
        <f>(S69-T69)*100</f>
        <v>#REF!</v>
      </c>
      <c r="V69" s="15"/>
      <c r="W69" s="13">
        <f>W68/W$76</f>
        <v>0.14177962495397739</v>
      </c>
      <c r="X69" s="13" t="e">
        <f>X68/X$76</f>
        <v>#REF!</v>
      </c>
      <c r="Y69" s="14" t="e">
        <f>(W69-X69)*100</f>
        <v>#REF!</v>
      </c>
      <c r="Z69" s="35">
        <f>C69+G69-'Syn prin concurents'!E67</f>
        <v>0.16428967460911414</v>
      </c>
      <c r="AA69" s="35" t="e">
        <f>D69+H69-'Syn prin concurents'!F67</f>
        <v>#REF!</v>
      </c>
      <c r="AB69" s="35">
        <f>K69-'Syn prin concurents'!I67</f>
        <v>0</v>
      </c>
      <c r="AC69" s="35" t="e">
        <f>L69-'Syn prin concurents'!J67</f>
        <v>#REF!</v>
      </c>
      <c r="AD69" s="35">
        <f>O69-'Syn prin concurents'!M67</f>
        <v>0</v>
      </c>
      <c r="AE69" s="35" t="e">
        <f>P69-'Syn prin concurents'!N67</f>
        <v>#REF!</v>
      </c>
      <c r="AF69" s="35">
        <f>S69-'Syn prin concurents'!Q67</f>
        <v>0</v>
      </c>
      <c r="AG69" s="35" t="e">
        <f>T69-'Syn prin concurents'!R67</f>
        <v>#REF!</v>
      </c>
      <c r="AH69" s="35">
        <f>W69-'Syn prin concurents'!U67</f>
        <v>0</v>
      </c>
      <c r="AI69" s="35" t="e">
        <f>X69-'Syn prin concurents'!V67</f>
        <v>#REF!</v>
      </c>
    </row>
    <row r="70" spans="1:35" ht="26" x14ac:dyDescent="0.6">
      <c r="A70" s="6" t="s">
        <v>4</v>
      </c>
      <c r="B70" s="7"/>
      <c r="C70" s="8">
        <f>'RCI '!$B$98</f>
        <v>729110.04500000004</v>
      </c>
      <c r="D70" s="48" t="e">
        <f>#REF!</f>
        <v>#REF!</v>
      </c>
      <c r="E70" s="9" t="e">
        <f>IF(D70=0,0,C70/D70-1)</f>
        <v>#REF!</v>
      </c>
      <c r="F70" s="10"/>
      <c r="G70" s="8">
        <f>'RCI '!$B$100+'RCI '!$B$99</f>
        <v>131587.07500000001</v>
      </c>
      <c r="H70" s="8" t="e">
        <f>#REF!</f>
        <v>#REF!</v>
      </c>
      <c r="I70" s="9" t="e">
        <f>IF(H70=0,0,G70/H70-1)</f>
        <v>#REF!</v>
      </c>
      <c r="J70" s="10"/>
      <c r="K70" s="8">
        <f>'RCI '!$B$107+'RCI '!$B$108+'RCI '!$B$109+'RCI '!$B$110</f>
        <v>0</v>
      </c>
      <c r="L70" s="8" t="e">
        <f>#REF!+#REF!+#REF!+#REF!</f>
        <v>#REF!</v>
      </c>
      <c r="M70" s="9" t="e">
        <f>IF(L70=0,0,K70/L70-1)</f>
        <v>#REF!</v>
      </c>
      <c r="N70" s="10"/>
      <c r="O70" s="8">
        <f>'RCI '!$B$103-'RCI '!$B$97</f>
        <v>0</v>
      </c>
      <c r="P70" s="8" t="e">
        <f>#REF!</f>
        <v>#REF!</v>
      </c>
      <c r="Q70" s="9" t="e">
        <f>IF(P70=0,0,O70/P70-1)</f>
        <v>#REF!</v>
      </c>
      <c r="R70" s="10"/>
      <c r="S70" s="8">
        <f>'RCI '!$B$111</f>
        <v>0</v>
      </c>
      <c r="T70" s="8" t="e">
        <f>#REF!</f>
        <v>#REF!</v>
      </c>
      <c r="U70" s="9" t="e">
        <f>IF(T70=0,0,S70/T70-1)</f>
        <v>#REF!</v>
      </c>
      <c r="V70" s="10"/>
      <c r="W70" s="8">
        <f>S70+O70+K70+G70+C70</f>
        <v>860697.12000000011</v>
      </c>
      <c r="X70" s="8" t="e">
        <f>T70+P70+L70+H70+D70</f>
        <v>#REF!</v>
      </c>
      <c r="Y70" s="9" t="e">
        <f>IF(X70=0,0,W70/X70-1)</f>
        <v>#REF!</v>
      </c>
      <c r="Z70" s="35">
        <f>C70+G70-'Syn prin concurents'!E74</f>
        <v>0</v>
      </c>
      <c r="AA70" s="35" t="e">
        <f>D70+H70-'Syn prin concurents'!F74</f>
        <v>#REF!</v>
      </c>
      <c r="AB70" s="35">
        <f>K70-'Syn prin concurents'!I74</f>
        <v>0</v>
      </c>
      <c r="AC70" s="35" t="e">
        <f>L70-'Syn prin concurents'!J74</f>
        <v>#REF!</v>
      </c>
      <c r="AD70" s="35">
        <f>O70-'Syn prin concurents'!M74</f>
        <v>0</v>
      </c>
      <c r="AE70" s="35" t="e">
        <f>P70-'Syn prin concurents'!N74</f>
        <v>#REF!</v>
      </c>
      <c r="AF70" s="35">
        <f>S70-'Syn prin concurents'!Q74</f>
        <v>0</v>
      </c>
      <c r="AG70" s="35" t="e">
        <f>T70-'Syn prin concurents'!R74</f>
        <v>#REF!</v>
      </c>
      <c r="AH70" s="35">
        <f>W70-'Syn prin concurents'!U74</f>
        <v>0</v>
      </c>
      <c r="AI70" s="35" t="e">
        <f>X70-'Syn prin concurents'!V74</f>
        <v>#REF!</v>
      </c>
    </row>
    <row r="71" spans="1:35" ht="18.5" x14ac:dyDescent="0.45">
      <c r="A71" s="11" t="s">
        <v>67</v>
      </c>
      <c r="B71" s="12"/>
      <c r="C71" s="13">
        <f>C70/C$76</f>
        <v>0.12826038581841318</v>
      </c>
      <c r="D71" s="13" t="e">
        <f>D70/D$53</f>
        <v>#REF!</v>
      </c>
      <c r="E71" s="14" t="e">
        <f>(C71-D71)*100</f>
        <v>#REF!</v>
      </c>
      <c r="F71" s="15"/>
      <c r="G71" s="13">
        <f>G70/G$76</f>
        <v>6.5094148745546268E-2</v>
      </c>
      <c r="H71" s="13" t="e">
        <f>H70/H$53</f>
        <v>#REF!</v>
      </c>
      <c r="I71" s="14" t="e">
        <f>(G71-H71)*100</f>
        <v>#REF!</v>
      </c>
      <c r="J71" s="15"/>
      <c r="K71" s="13">
        <f>K70/K$76</f>
        <v>0</v>
      </c>
      <c r="L71" s="13" t="e">
        <f>L70/L$53</f>
        <v>#REF!</v>
      </c>
      <c r="M71" s="14" t="e">
        <f>(K71-L71)*100</f>
        <v>#REF!</v>
      </c>
      <c r="N71" s="15"/>
      <c r="O71" s="13">
        <f>O70/O$76</f>
        <v>0</v>
      </c>
      <c r="P71" s="13" t="e">
        <f>P70/P$53</f>
        <v>#REF!</v>
      </c>
      <c r="Q71" s="14" t="e">
        <f>(O71-P71)*100</f>
        <v>#REF!</v>
      </c>
      <c r="R71" s="15"/>
      <c r="S71" s="13">
        <f>S70/S$76</f>
        <v>0</v>
      </c>
      <c r="T71" s="13" t="e">
        <f>T70/T$53</f>
        <v>#REF!</v>
      </c>
      <c r="U71" s="14" t="e">
        <f>(S71-T71)*100</f>
        <v>#REF!</v>
      </c>
      <c r="V71" s="15"/>
      <c r="W71" s="13">
        <f>W70/W$76</f>
        <v>6.8133780665392066E-2</v>
      </c>
      <c r="X71" s="13" t="e">
        <f>X70/X$76</f>
        <v>#REF!</v>
      </c>
      <c r="Y71" s="14" t="e">
        <f>(W71-X71)*100</f>
        <v>#REF!</v>
      </c>
      <c r="Z71" s="35">
        <f>C71+G71-'Syn prin concurents'!E75</f>
        <v>8.1664122836896502E-2</v>
      </c>
      <c r="AA71" s="35" t="e">
        <f>D71+H71-'Syn prin concurents'!F75</f>
        <v>#REF!</v>
      </c>
      <c r="AB71" s="35">
        <f>K71-'Syn prin concurents'!I75</f>
        <v>0</v>
      </c>
      <c r="AC71" s="35" t="e">
        <f>L71-'Syn prin concurents'!J75</f>
        <v>#REF!</v>
      </c>
      <c r="AD71" s="35">
        <f>O71-'Syn prin concurents'!M75</f>
        <v>0</v>
      </c>
      <c r="AE71" s="35" t="e">
        <f>P71-'Syn prin concurents'!N75</f>
        <v>#REF!</v>
      </c>
      <c r="AF71" s="35">
        <f>S71-'Syn prin concurents'!Q75</f>
        <v>0</v>
      </c>
      <c r="AG71" s="35" t="e">
        <f>T71-'Syn prin concurents'!R75</f>
        <v>#REF!</v>
      </c>
      <c r="AH71" s="35">
        <f>W71-'Syn prin concurents'!U75</f>
        <v>0</v>
      </c>
      <c r="AI71" s="35" t="e">
        <f>X71-'Syn prin concurents'!V75</f>
        <v>#REF!</v>
      </c>
    </row>
    <row r="72" spans="1:35" ht="26" x14ac:dyDescent="0.6">
      <c r="A72" s="6" t="s">
        <v>7</v>
      </c>
      <c r="B72" s="7"/>
      <c r="C72" s="8">
        <f>SALAFIN!$B$98</f>
        <v>193257.223</v>
      </c>
      <c r="D72" s="48" t="e">
        <f>#REF!</f>
        <v>#REF!</v>
      </c>
      <c r="E72" s="9" t="e">
        <f>IF(D72=0,0,C72/D72-1)</f>
        <v>#REF!</v>
      </c>
      <c r="F72" s="10"/>
      <c r="G72" s="8">
        <f>SALAFIN!$B$100+SALAFIN!$B$99</f>
        <v>172360.91099999999</v>
      </c>
      <c r="H72" s="8" t="e">
        <f>#REF!</f>
        <v>#REF!</v>
      </c>
      <c r="I72" s="9" t="e">
        <f>IF(H72=0,0,G72/H72-1)</f>
        <v>#REF!</v>
      </c>
      <c r="J72" s="10"/>
      <c r="K72" s="8">
        <f>SALAFIN!$B$107+SALAFIN!$B$108+SALAFIN!$B$109+SALAFIN!$B$110</f>
        <v>550058.27799999993</v>
      </c>
      <c r="L72" s="8" t="e">
        <f>#REF!+#REF!+#REF!+#REF!</f>
        <v>#REF!</v>
      </c>
      <c r="M72" s="9" t="e">
        <f>IF(L72=0,0,K72/L72-1)</f>
        <v>#REF!</v>
      </c>
      <c r="N72" s="10"/>
      <c r="O72" s="8">
        <f>SALAFIN!$B$103-SALAFIN!$B$97</f>
        <v>0</v>
      </c>
      <c r="P72" s="8" t="e">
        <f>#REF!</f>
        <v>#REF!</v>
      </c>
      <c r="Q72" s="9" t="e">
        <f>IF(P72=0,0,O72/P72-1)</f>
        <v>#REF!</v>
      </c>
      <c r="R72" s="10"/>
      <c r="S72" s="8">
        <f>SALAFIN!$B$111</f>
        <v>44341.983</v>
      </c>
      <c r="T72" s="8" t="e">
        <f>#REF!</f>
        <v>#REF!</v>
      </c>
      <c r="U72" s="9" t="e">
        <f>IF(T72=0,0,S72/T72-1)</f>
        <v>#REF!</v>
      </c>
      <c r="V72" s="10"/>
      <c r="W72" s="8">
        <f>S72+O72+K72+G72+C72</f>
        <v>960018.3949999999</v>
      </c>
      <c r="X72" s="8" t="e">
        <f>T72+P72+L72+H72+D72</f>
        <v>#REF!</v>
      </c>
      <c r="Y72" s="9" t="e">
        <f>IF(X72=0,0,W72/X72-1)</f>
        <v>#REF!</v>
      </c>
      <c r="Z72" s="35">
        <f>C72+G72-'Syn prin concurents'!E72</f>
        <v>0</v>
      </c>
      <c r="AA72" s="35" t="e">
        <f>D72+H72-'Syn prin concurents'!F72</f>
        <v>#REF!</v>
      </c>
      <c r="AB72" s="35">
        <f>K72-'Syn prin concurents'!I72</f>
        <v>0</v>
      </c>
      <c r="AC72" s="35" t="e">
        <f>L72-'Syn prin concurents'!J72</f>
        <v>#REF!</v>
      </c>
      <c r="AD72" s="35">
        <f>O72-'Syn prin concurents'!M72</f>
        <v>0</v>
      </c>
      <c r="AE72" s="35" t="e">
        <f>P72-'Syn prin concurents'!N72</f>
        <v>#REF!</v>
      </c>
      <c r="AF72" s="35">
        <f>S72-'Syn prin concurents'!Q72</f>
        <v>0</v>
      </c>
      <c r="AG72" s="35" t="e">
        <f>T72-'Syn prin concurents'!R72</f>
        <v>#REF!</v>
      </c>
      <c r="AH72" s="35">
        <f>W72-'Syn prin concurents'!U72</f>
        <v>0</v>
      </c>
      <c r="AI72" s="35" t="e">
        <f>X72-'Syn prin concurents'!V72</f>
        <v>#REF!</v>
      </c>
    </row>
    <row r="73" spans="1:35" ht="18.5" x14ac:dyDescent="0.45">
      <c r="A73" s="11" t="s">
        <v>67</v>
      </c>
      <c r="B73" s="12"/>
      <c r="C73" s="13">
        <f>C72/C$76</f>
        <v>3.3996577271370759E-2</v>
      </c>
      <c r="D73" s="13" t="e">
        <f>D72/D$53</f>
        <v>#REF!</v>
      </c>
      <c r="E73" s="14" t="e">
        <f>(C73-D73)*100</f>
        <v>#REF!</v>
      </c>
      <c r="F73" s="15"/>
      <c r="G73" s="13">
        <f>G72/G$76</f>
        <v>8.5264352737925514E-2</v>
      </c>
      <c r="H73" s="13" t="e">
        <f>H72/H$53</f>
        <v>#REF!</v>
      </c>
      <c r="I73" s="14" t="e">
        <f>(G73-H73)*100</f>
        <v>#REF!</v>
      </c>
      <c r="J73" s="15"/>
      <c r="K73" s="13">
        <f>K72/K$76</f>
        <v>0.11531985844626111</v>
      </c>
      <c r="L73" s="13" t="e">
        <f>L72/L$53</f>
        <v>#REF!</v>
      </c>
      <c r="M73" s="14" t="e">
        <f>(K73-L73)*100</f>
        <v>#REF!</v>
      </c>
      <c r="N73" s="15"/>
      <c r="O73" s="13">
        <f>O72/O$76</f>
        <v>0</v>
      </c>
      <c r="P73" s="13" t="e">
        <f>P72/P$53</f>
        <v>#REF!</v>
      </c>
      <c r="Q73" s="14" t="e">
        <f>(O73-P73)*100</f>
        <v>#REF!</v>
      </c>
      <c r="R73" s="15"/>
      <c r="S73" s="13">
        <f>S72/S$76</f>
        <v>0.53556063208256777</v>
      </c>
      <c r="T73" s="13" t="e">
        <f>T72/T$53</f>
        <v>#REF!</v>
      </c>
      <c r="U73" s="14" t="e">
        <f>(S73-T73)*100</f>
        <v>#REF!</v>
      </c>
      <c r="V73" s="15"/>
      <c r="W73" s="13">
        <f>W72/W$76</f>
        <v>7.5996167803688841E-2</v>
      </c>
      <c r="X73" s="13" t="e">
        <f>X72/X$76</f>
        <v>#REF!</v>
      </c>
      <c r="Y73" s="14" t="e">
        <f>(W73-X73)*100</f>
        <v>#REF!</v>
      </c>
      <c r="Z73" s="35">
        <f>C73+G73-'Syn prin concurents'!E73</f>
        <v>7.1815622046211114E-2</v>
      </c>
      <c r="AA73" s="35" t="e">
        <f>D73+H73-'Syn prin concurents'!F73</f>
        <v>#REF!</v>
      </c>
      <c r="AB73" s="35">
        <f>K73-'Syn prin concurents'!I73</f>
        <v>0</v>
      </c>
      <c r="AC73" s="35" t="e">
        <f>L73-'Syn prin concurents'!J73</f>
        <v>#REF!</v>
      </c>
      <c r="AD73" s="35">
        <f>O73-'Syn prin concurents'!M73</f>
        <v>0</v>
      </c>
      <c r="AE73" s="35" t="e">
        <f>P73-'Syn prin concurents'!N73</f>
        <v>#REF!</v>
      </c>
      <c r="AF73" s="35">
        <f>S73-'Syn prin concurents'!Q73</f>
        <v>0</v>
      </c>
      <c r="AG73" s="35" t="e">
        <f>T73-'Syn prin concurents'!R73</f>
        <v>#REF!</v>
      </c>
      <c r="AH73" s="35">
        <f>W73-'Syn prin concurents'!U73</f>
        <v>0</v>
      </c>
      <c r="AI73" s="35" t="e">
        <f>X73-'Syn prin concurents'!V73</f>
        <v>#REF!</v>
      </c>
    </row>
    <row r="74" spans="1:35" ht="26" x14ac:dyDescent="0.6">
      <c r="A74" s="6" t="s">
        <v>11</v>
      </c>
      <c r="B74" s="7"/>
      <c r="C74" s="8">
        <f>'AXA CREDIT'!$B$98</f>
        <v>6581.1170000000002</v>
      </c>
      <c r="D74" s="48" t="e">
        <f>#REF!</f>
        <v>#REF!</v>
      </c>
      <c r="E74" s="9" t="e">
        <f>IF(D74=0,0,C74/D74-1)</f>
        <v>#REF!</v>
      </c>
      <c r="F74" s="10"/>
      <c r="G74" s="8">
        <f>'AXA CREDIT'!$B$100+'AXA CREDIT'!$B$99</f>
        <v>335.92200000000003</v>
      </c>
      <c r="H74" s="8" t="e">
        <f>#REF!</f>
        <v>#REF!</v>
      </c>
      <c r="I74" s="9" t="e">
        <f>IF(H74=0,0,G74/H74-1)</f>
        <v>#REF!</v>
      </c>
      <c r="J74" s="10"/>
      <c r="K74" s="8">
        <f>'AXA CREDIT'!$B$107+'AXA CREDIT'!$B$108+'AXA CREDIT'!$B$109+'AXA CREDIT'!$B$110</f>
        <v>439148.82700000005</v>
      </c>
      <c r="L74" s="8" t="e">
        <f>#REF!+#REF!+#REF!+#REF!</f>
        <v>#REF!</v>
      </c>
      <c r="M74" s="9" t="e">
        <f>IF(L74=0,0,K74/L74-1)</f>
        <v>#REF!</v>
      </c>
      <c r="N74" s="10"/>
      <c r="O74" s="8">
        <f>'AXA CREDIT'!$B$103-'AXA CREDIT'!$B$97</f>
        <v>0</v>
      </c>
      <c r="P74" s="8" t="e">
        <f>#REF!</f>
        <v>#REF!</v>
      </c>
      <c r="Q74" s="9" t="e">
        <f>IF(P74=0,0,O74/P74-1)</f>
        <v>#REF!</v>
      </c>
      <c r="R74" s="10"/>
      <c r="S74" s="8">
        <f>'AXA CREDIT'!$B$111</f>
        <v>68.412999999999997</v>
      </c>
      <c r="T74" s="8" t="e">
        <f>#REF!</f>
        <v>#REF!</v>
      </c>
      <c r="U74" s="9" t="e">
        <f>IF(T74=0,0,S74/T74-1)</f>
        <v>#REF!</v>
      </c>
      <c r="V74" s="10"/>
      <c r="W74" s="8">
        <f>S74+O74+K74+G74+C74</f>
        <v>446134.2790000001</v>
      </c>
      <c r="X74" s="8" t="e">
        <f>T74+P74+L74+H74+D74</f>
        <v>#REF!</v>
      </c>
      <c r="Y74" s="9" t="e">
        <f>IF(X74=0,0,W74/X74-1)</f>
        <v>#REF!</v>
      </c>
      <c r="Z74" s="35">
        <f>C74+G74-'Syn prin concurents'!E76</f>
        <v>0</v>
      </c>
      <c r="AA74" s="35" t="e">
        <f>D74+H74-'Syn prin concurents'!F76</f>
        <v>#REF!</v>
      </c>
      <c r="AB74" s="35">
        <f>K74-'Syn prin concurents'!I76</f>
        <v>0</v>
      </c>
      <c r="AC74" s="35" t="e">
        <f>L74-'Syn prin concurents'!J76</f>
        <v>#REF!</v>
      </c>
      <c r="AD74" s="35">
        <f>O74-'Syn prin concurents'!M76</f>
        <v>0</v>
      </c>
      <c r="AE74" s="35" t="e">
        <f>P74-'Syn prin concurents'!N76</f>
        <v>#REF!</v>
      </c>
      <c r="AF74" s="35">
        <f>S74-'Syn prin concurents'!Q76</f>
        <v>0</v>
      </c>
      <c r="AG74" s="35" t="e">
        <f>T74-'Syn prin concurents'!R76</f>
        <v>#REF!</v>
      </c>
      <c r="AH74" s="35">
        <f>W74-'Syn prin concurents'!U76</f>
        <v>0</v>
      </c>
      <c r="AI74" s="35" t="e">
        <f>X74-'Syn prin concurents'!V76</f>
        <v>#REF!</v>
      </c>
    </row>
    <row r="75" spans="1:35" ht="19" thickBot="1" x14ac:dyDescent="0.5">
      <c r="A75" s="11" t="s">
        <v>67</v>
      </c>
      <c r="B75" s="12"/>
      <c r="C75" s="13">
        <f>C74/C$76</f>
        <v>1.1577081008891021E-3</v>
      </c>
      <c r="D75" s="13" t="e">
        <f>D74/(D$53+D$43)</f>
        <v>#REF!</v>
      </c>
      <c r="E75" s="14" t="e">
        <f>(C75-D75)*100</f>
        <v>#REF!</v>
      </c>
      <c r="F75" s="15"/>
      <c r="G75" s="13">
        <f>G74/G$76</f>
        <v>1.6617556576055355E-4</v>
      </c>
      <c r="H75" s="13" t="e">
        <f>H74/(H$53+H$43)</f>
        <v>#REF!</v>
      </c>
      <c r="I75" s="14" t="e">
        <f>(G75-H75)*100</f>
        <v>#REF!</v>
      </c>
      <c r="J75" s="15"/>
      <c r="K75" s="13">
        <f>K74/K$76</f>
        <v>9.2067663722136775E-2</v>
      </c>
      <c r="L75" s="13" t="e">
        <f>L74/(L$53+L$43)</f>
        <v>#REF!</v>
      </c>
      <c r="M75" s="14" t="e">
        <f>(K75-L75)*100</f>
        <v>#REF!</v>
      </c>
      <c r="N75" s="15"/>
      <c r="O75" s="13">
        <f>O74/O$76</f>
        <v>0</v>
      </c>
      <c r="P75" s="13" t="e">
        <f>P74/(P$53+P$43)</f>
        <v>#REF!</v>
      </c>
      <c r="Q75" s="14" t="e">
        <f>(O75-P75)*100</f>
        <v>#REF!</v>
      </c>
      <c r="R75" s="15"/>
      <c r="S75" s="13">
        <f>S74/S$76</f>
        <v>8.2628937733038928E-4</v>
      </c>
      <c r="T75" s="13" t="e">
        <f>T74/(T$53+T$43)</f>
        <v>#REF!</v>
      </c>
      <c r="U75" s="14" t="e">
        <f>(S75-T75)*100</f>
        <v>#REF!</v>
      </c>
      <c r="V75" s="15"/>
      <c r="W75" s="13">
        <f>W74/W$76</f>
        <v>3.5316506127845336E-2</v>
      </c>
      <c r="X75" s="13" t="e">
        <f>X74/X$76</f>
        <v>#REF!</v>
      </c>
      <c r="Y75" s="14" t="e">
        <f>(W75-X75)*100</f>
        <v>#REF!</v>
      </c>
      <c r="Z75" s="35">
        <f>C75+G75-'Syn prin concurents'!E77</f>
        <v>4.2627762627839045E-4</v>
      </c>
      <c r="AA75" s="35" t="e">
        <f>D75+H75-'Syn prin concurents'!F77</f>
        <v>#REF!</v>
      </c>
      <c r="AB75" s="35">
        <f>K75-'Syn prin concurents'!I77</f>
        <v>0</v>
      </c>
      <c r="AC75" s="35" t="e">
        <f>L75-'Syn prin concurents'!J77</f>
        <v>#REF!</v>
      </c>
      <c r="AD75" s="35">
        <f>O75-'Syn prin concurents'!M77</f>
        <v>0</v>
      </c>
      <c r="AE75" s="35" t="e">
        <f>P75-'Syn prin concurents'!N77</f>
        <v>#REF!</v>
      </c>
      <c r="AF75" s="35">
        <f>S75-'Syn prin concurents'!Q77</f>
        <v>0</v>
      </c>
      <c r="AG75" s="35" t="e">
        <f>T75-'Syn prin concurents'!R77</f>
        <v>#REF!</v>
      </c>
      <c r="AH75" s="35">
        <f>W75-'Syn prin concurents'!U77</f>
        <v>0</v>
      </c>
      <c r="AI75" s="35" t="e">
        <f>X75-'Syn prin concurents'!V77</f>
        <v>#REF!</v>
      </c>
    </row>
    <row r="76" spans="1:35" ht="26.5" thickBot="1" x14ac:dyDescent="0.65">
      <c r="A76" s="23" t="s">
        <v>8</v>
      </c>
      <c r="B76" s="38"/>
      <c r="C76" s="24">
        <f>GLOBAL!$B$98</f>
        <v>5684608.2315100003</v>
      </c>
      <c r="D76" s="24" t="e">
        <f>#REF!</f>
        <v>#REF!</v>
      </c>
      <c r="E76" s="25" t="e">
        <f>IF(D76=0,0,C76/D76-1)</f>
        <v>#REF!</v>
      </c>
      <c r="F76" s="3"/>
      <c r="G76" s="24">
        <f>GLOBAL!B99+GLOBAL!B100</f>
        <v>2021488.5290900003</v>
      </c>
      <c r="H76" s="24" t="e">
        <f>#REF!</f>
        <v>#REF!</v>
      </c>
      <c r="I76" s="25" t="e">
        <f>IF(H76=0,0,G76/H76-1)</f>
        <v>#REF!</v>
      </c>
      <c r="J76" s="3"/>
      <c r="K76" s="24">
        <f>GLOBAL!$B$107+GLOBAL!$B$108+GLOBAL!$B$109+GLOBAL!$B$110</f>
        <v>4769848.7095899992</v>
      </c>
      <c r="L76" s="24" t="e">
        <f>#REF!+#REF!+#REF!+#REF!</f>
        <v>#REF!</v>
      </c>
      <c r="M76" s="25" t="e">
        <f>IF(L76=0,0,K76/L76-1)</f>
        <v>#REF!</v>
      </c>
      <c r="N76" s="3"/>
      <c r="O76" s="24">
        <f>GLOBAL!$B$103-GLOBAL!$B$97</f>
        <v>73717.042109999806</v>
      </c>
      <c r="P76" s="24" t="e">
        <f>#REF!</f>
        <v>#REF!</v>
      </c>
      <c r="Q76" s="25" t="e">
        <f>IF(P76=0,0,O76/P76-1)</f>
        <v>#REF!</v>
      </c>
      <c r="R76" s="3"/>
      <c r="S76" s="24">
        <f>GLOBAL!$B$111</f>
        <v>82795.448999999993</v>
      </c>
      <c r="T76" s="24" t="e">
        <f>#REF!</f>
        <v>#REF!</v>
      </c>
      <c r="U76" s="25" t="e">
        <f>IF(T76=0,0,S76/T76-1)</f>
        <v>#REF!</v>
      </c>
      <c r="V76" s="3"/>
      <c r="W76" s="24">
        <f>S76+O76+K76+G76+C76</f>
        <v>12632457.961300001</v>
      </c>
      <c r="X76" s="24" t="e">
        <f>T76+P76+L76+H76+D76</f>
        <v>#REF!</v>
      </c>
      <c r="Y76" s="25" t="e">
        <f>IF(X76=0,0,W76/X76-1)</f>
        <v>#REF!</v>
      </c>
      <c r="Z76" s="35">
        <f>C76+G76-'Syn prin concurents'!E78</f>
        <v>0</v>
      </c>
      <c r="AA76" s="35" t="e">
        <f>D76+H76-'Syn prin concurents'!F78</f>
        <v>#REF!</v>
      </c>
      <c r="AB76" s="35">
        <f>K76-'Syn prin concurents'!I78</f>
        <v>0</v>
      </c>
      <c r="AC76" s="35" t="e">
        <f>L76-'Syn prin concurents'!J78</f>
        <v>#REF!</v>
      </c>
      <c r="AD76" s="35">
        <f>O76-'Syn prin concurents'!M78</f>
        <v>0</v>
      </c>
      <c r="AE76" s="35" t="e">
        <f>P76-'Syn prin concurents'!N78</f>
        <v>#REF!</v>
      </c>
      <c r="AF76" s="35">
        <f>S76-'Syn prin concurents'!Q78</f>
        <v>0</v>
      </c>
      <c r="AG76" s="35" t="e">
        <f>T76-'Syn prin concurents'!R78</f>
        <v>#REF!</v>
      </c>
      <c r="AH76" s="35">
        <f>W76-'Syn prin concurents'!U78</f>
        <v>0</v>
      </c>
      <c r="AI76" s="35" t="e">
        <f>X76-'Syn prin concurents'!V78</f>
        <v>#REF!</v>
      </c>
    </row>
    <row r="77" spans="1:35" ht="14" x14ac:dyDescent="0.25">
      <c r="A77" s="221"/>
    </row>
    <row r="78" spans="1:35" ht="27.5" x14ac:dyDescent="0.25">
      <c r="A78" s="762" t="s">
        <v>86</v>
      </c>
      <c r="B78" s="762"/>
      <c r="C78" s="762"/>
      <c r="D78" s="762"/>
      <c r="E78" s="762"/>
      <c r="F78" s="762"/>
      <c r="G78" s="762"/>
      <c r="H78" s="762"/>
      <c r="I78" s="762"/>
      <c r="J78" s="762"/>
      <c r="K78" s="762"/>
      <c r="L78" s="762"/>
      <c r="M78" s="762"/>
      <c r="N78" s="762"/>
      <c r="O78" s="762"/>
      <c r="P78" s="762"/>
      <c r="Q78" s="762"/>
      <c r="R78" s="762"/>
      <c r="S78" s="762"/>
      <c r="T78" s="762"/>
      <c r="U78" s="762"/>
      <c r="V78" s="762"/>
      <c r="W78" s="762"/>
      <c r="X78" s="762"/>
      <c r="Y78" s="762"/>
    </row>
    <row r="80" spans="1:35" ht="25" x14ac:dyDescent="0.5">
      <c r="C80" s="761" t="s">
        <v>72</v>
      </c>
      <c r="D80" s="761"/>
      <c r="E80" s="761"/>
      <c r="F80" s="3"/>
      <c r="G80" s="761" t="s">
        <v>73</v>
      </c>
      <c r="H80" s="761"/>
      <c r="I80" s="761"/>
      <c r="J80" s="3"/>
      <c r="K80" s="761" t="s">
        <v>84</v>
      </c>
      <c r="L80" s="761"/>
      <c r="M80" s="761"/>
      <c r="N80" s="3"/>
      <c r="O80" s="761" t="s">
        <v>59</v>
      </c>
      <c r="P80" s="761"/>
      <c r="Q80" s="761"/>
      <c r="R80" s="3"/>
      <c r="S80" s="761" t="s">
        <v>60</v>
      </c>
      <c r="T80" s="761"/>
      <c r="U80" s="761"/>
      <c r="V80" s="3"/>
      <c r="W80" s="761" t="s">
        <v>61</v>
      </c>
      <c r="X80" s="761"/>
      <c r="Y80" s="761"/>
    </row>
    <row r="81" spans="1:35" ht="6.75" customHeight="1" x14ac:dyDescent="0.4">
      <c r="C81" s="562"/>
      <c r="D81" s="562"/>
      <c r="E81" s="562"/>
      <c r="G81" s="562"/>
      <c r="H81" s="562"/>
      <c r="I81" s="562"/>
      <c r="K81" s="562"/>
      <c r="L81" s="562"/>
      <c r="M81" s="562"/>
      <c r="O81" s="562"/>
      <c r="P81" s="562"/>
      <c r="Q81" s="562"/>
      <c r="S81" s="562"/>
      <c r="T81" s="562"/>
      <c r="U81" s="562"/>
      <c r="W81" s="562"/>
      <c r="X81" s="562"/>
      <c r="Y81" s="562"/>
    </row>
    <row r="82" spans="1:35" ht="24.75" customHeight="1" x14ac:dyDescent="0.5">
      <c r="A82" s="4"/>
      <c r="B82" s="5"/>
      <c r="C82" s="559">
        <f>C59</f>
        <v>46082</v>
      </c>
      <c r="D82" s="558">
        <f>D59</f>
        <v>43435</v>
      </c>
      <c r="E82" s="560" t="s">
        <v>62</v>
      </c>
      <c r="F82" s="3"/>
      <c r="G82" s="559">
        <f>G59</f>
        <v>46082</v>
      </c>
      <c r="H82" s="558">
        <f>H59</f>
        <v>43435</v>
      </c>
      <c r="I82" s="560" t="s">
        <v>62</v>
      </c>
      <c r="J82" s="3"/>
      <c r="K82" s="559">
        <f>G82</f>
        <v>46082</v>
      </c>
      <c r="L82" s="558">
        <f>H82</f>
        <v>43435</v>
      </c>
      <c r="M82" s="560" t="s">
        <v>62</v>
      </c>
      <c r="N82" s="3"/>
      <c r="O82" s="559">
        <f>K82</f>
        <v>46082</v>
      </c>
      <c r="P82" s="558">
        <f>L82</f>
        <v>43435</v>
      </c>
      <c r="Q82" s="560" t="s">
        <v>62</v>
      </c>
      <c r="R82" s="3"/>
      <c r="S82" s="559">
        <f>O82</f>
        <v>46082</v>
      </c>
      <c r="T82" s="558">
        <f>P82</f>
        <v>43435</v>
      </c>
      <c r="U82" s="560" t="s">
        <v>62</v>
      </c>
      <c r="V82" s="3"/>
      <c r="W82" s="559">
        <f>S82</f>
        <v>46082</v>
      </c>
      <c r="X82" s="558">
        <f>T82</f>
        <v>43435</v>
      </c>
      <c r="Y82" s="560" t="s">
        <v>62</v>
      </c>
    </row>
    <row r="83" spans="1:35" ht="6.75" customHeight="1" x14ac:dyDescent="0.4">
      <c r="C83" s="562"/>
      <c r="D83" s="562"/>
      <c r="E83" s="562"/>
      <c r="G83" s="562"/>
      <c r="H83" s="562"/>
      <c r="I83" s="562"/>
      <c r="K83" s="562"/>
      <c r="L83" s="562"/>
      <c r="M83" s="562"/>
      <c r="O83" s="562"/>
      <c r="P83" s="562"/>
      <c r="Q83" s="562"/>
      <c r="S83" s="562"/>
      <c r="T83" s="562"/>
      <c r="U83" s="562"/>
      <c r="W83" s="562"/>
      <c r="X83" s="562"/>
      <c r="Y83" s="562"/>
    </row>
    <row r="84" spans="1:35" ht="6" customHeight="1" x14ac:dyDescent="0.25">
      <c r="A84" s="563"/>
      <c r="B84" s="563"/>
      <c r="C84" s="563"/>
      <c r="D84" s="563"/>
      <c r="E84" s="563"/>
      <c r="G84" s="563"/>
      <c r="H84" s="563"/>
      <c r="I84" s="563"/>
      <c r="K84" s="563"/>
      <c r="L84" s="563"/>
      <c r="M84" s="563"/>
      <c r="O84" s="563"/>
      <c r="P84" s="563"/>
      <c r="Q84" s="563"/>
      <c r="S84" s="563"/>
      <c r="T84" s="563"/>
      <c r="U84" s="563"/>
      <c r="W84" s="563"/>
      <c r="X84" s="563"/>
      <c r="Y84" s="563"/>
    </row>
    <row r="85" spans="1:35" ht="23.5" x14ac:dyDescent="0.55000000000000004">
      <c r="A85" s="6" t="s">
        <v>10</v>
      </c>
      <c r="B85" s="7"/>
      <c r="C85" s="8">
        <f>WAFASALAF!$B$70</f>
        <v>4222715.3360000001</v>
      </c>
      <c r="D85" s="8" t="e">
        <f>#REF!</f>
        <v>#REF!</v>
      </c>
      <c r="E85" s="9" t="e">
        <f>IF(D85=0,0,C85/D85-1)</f>
        <v>#REF!</v>
      </c>
      <c r="F85" s="10"/>
      <c r="G85" s="8">
        <f>WAFASALAF!$B$71+WAFASALAF!$B$72</f>
        <v>12817957.617000001</v>
      </c>
      <c r="H85" s="8" t="e">
        <f>#REF!</f>
        <v>#REF!</v>
      </c>
      <c r="I85" s="9" t="e">
        <f>IF(H85=0,0,G85/H85-1)</f>
        <v>#REF!</v>
      </c>
      <c r="J85" s="10"/>
      <c r="K85" s="8">
        <f>WAFASALAF!$B$79+WAFASALAF!$B$80+WAFASALAF!$B$81+WAFASALAF!$B$82</f>
        <v>10255185.9</v>
      </c>
      <c r="L85" s="8" t="e">
        <f>#REF!+#REF!+#REF!+#REF!</f>
        <v>#REF!</v>
      </c>
      <c r="M85" s="9" t="e">
        <f>IF(L85=0,0,K85/L85-1)</f>
        <v>#REF!</v>
      </c>
      <c r="N85" s="10"/>
      <c r="O85" s="8">
        <f>WAFASALAF!$B$75-WAFASALAF!$B$69</f>
        <v>673567.42199999839</v>
      </c>
      <c r="P85" s="8" t="e">
        <f>#REF!</f>
        <v>#REF!</v>
      </c>
      <c r="Q85" s="9" t="e">
        <f>IF(P85=0,0,O85/P85-1)</f>
        <v>#REF!</v>
      </c>
      <c r="R85" s="10"/>
      <c r="S85" s="8">
        <f>WAFASALAF!$B$83</f>
        <v>112413.245</v>
      </c>
      <c r="T85" s="8" t="e">
        <f>#REF!</f>
        <v>#REF!</v>
      </c>
      <c r="U85" s="9" t="e">
        <f>IF(T85=0,0,S85/T85-1)</f>
        <v>#REF!</v>
      </c>
      <c r="V85" s="10"/>
      <c r="W85" s="8">
        <f>S85+O85+K85+G85+C85</f>
        <v>28081839.52</v>
      </c>
      <c r="X85" s="8" t="e">
        <f>T85+P85+L85+H85+D85</f>
        <v>#REF!</v>
      </c>
      <c r="Y85" s="9" t="e">
        <f>IF(X85=0,0,W85/X85-1)</f>
        <v>#REF!</v>
      </c>
      <c r="Z85" s="35">
        <f>C85+G85-'Syn prin concurents'!E87</f>
        <v>0</v>
      </c>
      <c r="AA85" s="35" t="e">
        <f>D85+H85-'Syn prin concurents'!F87</f>
        <v>#REF!</v>
      </c>
      <c r="AB85" s="35">
        <f>K85-'Syn prin concurents'!I87</f>
        <v>0</v>
      </c>
      <c r="AC85" s="35" t="e">
        <f>L85-'Syn prin concurents'!J87</f>
        <v>#REF!</v>
      </c>
      <c r="AD85" s="35">
        <f>O85-'Syn prin concurents'!M87</f>
        <v>0</v>
      </c>
      <c r="AE85" s="35" t="e">
        <f>P85-'Syn prin concurents'!N87</f>
        <v>#REF!</v>
      </c>
      <c r="AF85" s="35">
        <f>S85-'Syn prin concurents'!Q87</f>
        <v>0</v>
      </c>
      <c r="AG85" s="35" t="e">
        <f>T85-'Syn prin concurents'!R87</f>
        <v>#REF!</v>
      </c>
      <c r="AH85" s="35">
        <f>W85-'Syn prin concurents'!U87</f>
        <v>0</v>
      </c>
      <c r="AI85" s="35" t="e">
        <f>X85-'Syn prin concurents'!V87</f>
        <v>#REF!</v>
      </c>
    </row>
    <row r="86" spans="1:35" ht="18.5" x14ac:dyDescent="0.45">
      <c r="A86" s="11" t="s">
        <v>67</v>
      </c>
      <c r="B86" s="12"/>
      <c r="C86" s="13">
        <f>C85/C$99</f>
        <v>0.16090967203047207</v>
      </c>
      <c r="D86" s="13" t="e">
        <f>D85/D$53</f>
        <v>#REF!</v>
      </c>
      <c r="E86" s="14" t="e">
        <f>(C86-D86)*100</f>
        <v>#REF!</v>
      </c>
      <c r="F86" s="15"/>
      <c r="G86" s="13">
        <f>G85/G$99</f>
        <v>0.33853170409669681</v>
      </c>
      <c r="H86" s="13" t="e">
        <f>H85/H$53</f>
        <v>#REF!</v>
      </c>
      <c r="I86" s="14" t="e">
        <f>(G86-H86)*100</f>
        <v>#REF!</v>
      </c>
      <c r="J86" s="15"/>
      <c r="K86" s="13">
        <f>K85/K$99</f>
        <v>0.33399774784456027</v>
      </c>
      <c r="L86" s="13" t="e">
        <f>L85/L$53</f>
        <v>#REF!</v>
      </c>
      <c r="M86" s="14" t="e">
        <f>(K86-L86)*100</f>
        <v>#REF!</v>
      </c>
      <c r="N86" s="15"/>
      <c r="O86" s="13">
        <f>O85/O$99</f>
        <v>0.98354357826769856</v>
      </c>
      <c r="P86" s="13" t="e">
        <f>P85/P$53</f>
        <v>#REF!</v>
      </c>
      <c r="Q86" s="14" t="e">
        <f>(O86-P86)*100</f>
        <v>#REF!</v>
      </c>
      <c r="R86" s="15"/>
      <c r="S86" s="13">
        <f>S85/S$99</f>
        <v>0.36432123366621355</v>
      </c>
      <c r="T86" s="13" t="e">
        <f>T85/T$53</f>
        <v>#REF!</v>
      </c>
      <c r="U86" s="14" t="e">
        <f>(S86-T86)*100</f>
        <v>#REF!</v>
      </c>
      <c r="V86" s="15"/>
      <c r="W86" s="13">
        <f>W85/W$99</f>
        <v>0.29311789444607006</v>
      </c>
      <c r="X86" s="13" t="e">
        <f>X85/X$99</f>
        <v>#REF!</v>
      </c>
      <c r="Y86" s="14" t="e">
        <f>(W86-X86)*100</f>
        <v>#REF!</v>
      </c>
      <c r="Z86" s="35">
        <f>C86+G86-'Syn prin concurents'!E88</f>
        <v>0.2336217809411219</v>
      </c>
      <c r="AA86" s="35" t="e">
        <f>D86+H86-'Syn prin concurents'!F88</f>
        <v>#REF!</v>
      </c>
      <c r="AB86" s="35">
        <f>K86-'Syn prin concurents'!I88</f>
        <v>0</v>
      </c>
      <c r="AC86" s="35" t="e">
        <f>L86-'Syn prin concurents'!J88</f>
        <v>#REF!</v>
      </c>
      <c r="AD86" s="35">
        <f>O86-'Syn prin concurents'!M88</f>
        <v>0</v>
      </c>
      <c r="AE86" s="35" t="e">
        <f>P86-'Syn prin concurents'!N88</f>
        <v>#REF!</v>
      </c>
      <c r="AF86" s="35">
        <f>S86-'Syn prin concurents'!Q88</f>
        <v>0</v>
      </c>
      <c r="AG86" s="35" t="e">
        <f>T86-'Syn prin concurents'!R88</f>
        <v>#REF!</v>
      </c>
      <c r="AH86" s="35">
        <f>W86-'Syn prin concurents'!U88</f>
        <v>0</v>
      </c>
      <c r="AI86" s="35" t="e">
        <f>X86-'Syn prin concurents'!V88</f>
        <v>#REF!</v>
      </c>
    </row>
    <row r="87" spans="1:35" ht="25" x14ac:dyDescent="0.5">
      <c r="A87" s="16" t="s">
        <v>2</v>
      </c>
      <c r="B87" s="7"/>
      <c r="C87" s="50">
        <f>SOFAC!$B$70</f>
        <v>6553685.5465903068</v>
      </c>
      <c r="D87" s="50" t="e">
        <f>#REF!</f>
        <v>#REF!</v>
      </c>
      <c r="E87" s="51" t="e">
        <f>IF(D87=0,0,C87/D87-1)</f>
        <v>#REF!</v>
      </c>
      <c r="F87" s="3"/>
      <c r="G87" s="50">
        <f>SOFAC!$B$71+SOFAC!$B$72</f>
        <v>10731041.328126684</v>
      </c>
      <c r="H87" s="50" t="e">
        <f>#REF!</f>
        <v>#REF!</v>
      </c>
      <c r="I87" s="51" t="e">
        <f>IF(H87=0,0,G87/H87-1)</f>
        <v>#REF!</v>
      </c>
      <c r="J87" s="3"/>
      <c r="K87" s="50">
        <f>SOFAC!$B$79+SOFAC!$B$80+SOFAC!$B$81+SOFAC!$B$82</f>
        <v>4659231.3230700027</v>
      </c>
      <c r="L87" s="50" t="e">
        <f>#REF!+#REF!+#REF!+#REF!</f>
        <v>#REF!</v>
      </c>
      <c r="M87" s="51" t="e">
        <f>IF(L87=0,0,K87/L87-1)</f>
        <v>#REF!</v>
      </c>
      <c r="N87" s="3"/>
      <c r="O87" s="50">
        <f>SOFAC!$B$75-SOFAC!$B$69</f>
        <v>4745.1359900012612</v>
      </c>
      <c r="P87" s="50" t="e">
        <f>#REF!</f>
        <v>#REF!</v>
      </c>
      <c r="Q87" s="51" t="e">
        <f>IF(P87=0,0,O87/P87-1)</f>
        <v>#REF!</v>
      </c>
      <c r="R87" s="3"/>
      <c r="S87" s="50">
        <f>SOFAC!$B$83</f>
        <v>0</v>
      </c>
      <c r="T87" s="50" t="e">
        <f>#REF!</f>
        <v>#REF!</v>
      </c>
      <c r="U87" s="51" t="e">
        <f>IF(T87=0,0,S87/T87-1)</f>
        <v>#REF!</v>
      </c>
      <c r="V87" s="3"/>
      <c r="W87" s="50">
        <f>S87+O87+K87+G87+C87</f>
        <v>21948703.333776996</v>
      </c>
      <c r="X87" s="50" t="e">
        <f>T87+P87+L87+H87+D87</f>
        <v>#REF!</v>
      </c>
      <c r="Y87" s="51" t="e">
        <f>IF(X87=0,0,W87/X87-1)</f>
        <v>#REF!</v>
      </c>
      <c r="Z87" s="35">
        <f>C87+G87-'Syn prin concurents'!E91</f>
        <v>0</v>
      </c>
      <c r="AA87" s="35" t="e">
        <f>D87+H87-'Syn prin concurents'!F91</f>
        <v>#REF!</v>
      </c>
      <c r="AB87" s="35">
        <f>K87-'Syn prin concurents'!I91</f>
        <v>0</v>
      </c>
      <c r="AC87" s="35" t="e">
        <f>L87-'Syn prin concurents'!J91</f>
        <v>#REF!</v>
      </c>
      <c r="AD87" s="35">
        <f>O87-'Syn prin concurents'!M91</f>
        <v>0</v>
      </c>
      <c r="AE87" s="35" t="e">
        <f>P87-'Syn prin concurents'!N91</f>
        <v>#REF!</v>
      </c>
      <c r="AF87" s="35">
        <f>S87-'Syn prin concurents'!Q91</f>
        <v>0</v>
      </c>
      <c r="AG87" s="35" t="e">
        <f>T87-'Syn prin concurents'!R91</f>
        <v>#REF!</v>
      </c>
      <c r="AH87" s="35">
        <f>W87-'Syn prin concurents'!U91</f>
        <v>0</v>
      </c>
      <c r="AI87" s="35" t="e">
        <f>X87-'Syn prin concurents'!V91</f>
        <v>#REF!</v>
      </c>
    </row>
    <row r="88" spans="1:35" ht="18.5" x14ac:dyDescent="0.45">
      <c r="A88" s="19" t="s">
        <v>67</v>
      </c>
      <c r="B88" s="12"/>
      <c r="C88" s="21">
        <f>C87/C$99</f>
        <v>0.24973300542006777</v>
      </c>
      <c r="D88" s="21" t="e">
        <f>D87/D$53</f>
        <v>#REF!</v>
      </c>
      <c r="E88" s="22" t="e">
        <f>(C88-D88)*100</f>
        <v>#REF!</v>
      </c>
      <c r="F88" s="15"/>
      <c r="G88" s="21">
        <f>G87/G$99</f>
        <v>0.28341470740430258</v>
      </c>
      <c r="H88" s="21" t="e">
        <f>H87/H$53</f>
        <v>#REF!</v>
      </c>
      <c r="I88" s="22" t="e">
        <f>(G88-H88)*100</f>
        <v>#REF!</v>
      </c>
      <c r="J88" s="15"/>
      <c r="K88" s="21">
        <f>K87/K$99</f>
        <v>0.15174495945433925</v>
      </c>
      <c r="L88" s="21" t="e">
        <f>L87/L$53</f>
        <v>#REF!</v>
      </c>
      <c r="M88" s="22" t="e">
        <f>(K88-L88)*100</f>
        <v>#REF!</v>
      </c>
      <c r="N88" s="15"/>
      <c r="O88" s="21">
        <f>O87/O$99</f>
        <v>6.9288505924395638E-3</v>
      </c>
      <c r="P88" s="21" t="e">
        <f>P87/P$53</f>
        <v>#REF!</v>
      </c>
      <c r="Q88" s="22" t="e">
        <f>(O88-P88)*100</f>
        <v>#REF!</v>
      </c>
      <c r="R88" s="15"/>
      <c r="S88" s="21">
        <f>S87/S$99</f>
        <v>0</v>
      </c>
      <c r="T88" s="21" t="e">
        <f>T87/T$53</f>
        <v>#REF!</v>
      </c>
      <c r="U88" s="22" t="e">
        <f>(S88-T88)*100</f>
        <v>#REF!</v>
      </c>
      <c r="V88" s="15"/>
      <c r="W88" s="21">
        <f>W87/W$99</f>
        <v>0.22910029460271453</v>
      </c>
      <c r="X88" s="21" t="e">
        <f>X87/X$99</f>
        <v>#REF!</v>
      </c>
      <c r="Y88" s="22" t="e">
        <f>(W88-X88)*100</f>
        <v>#REF!</v>
      </c>
      <c r="Z88" s="35">
        <f>C88+G88-'Syn prin concurents'!E92</f>
        <v>0.26352108989632589</v>
      </c>
      <c r="AA88" s="35" t="e">
        <f>D88+H88-'Syn prin concurents'!F92</f>
        <v>#REF!</v>
      </c>
      <c r="AB88" s="35">
        <f>K88-'Syn prin concurents'!I92</f>
        <v>0</v>
      </c>
      <c r="AC88" s="35" t="e">
        <f>L88-'Syn prin concurents'!J92</f>
        <v>#REF!</v>
      </c>
      <c r="AD88" s="35">
        <f>O88-'Syn prin concurents'!M92</f>
        <v>0</v>
      </c>
      <c r="AE88" s="35" t="e">
        <f>P88-'Syn prin concurents'!N92</f>
        <v>#REF!</v>
      </c>
      <c r="AF88" s="35">
        <f>S88-'Syn prin concurents'!Q92</f>
        <v>0</v>
      </c>
      <c r="AG88" s="35" t="e">
        <f>T88-'Syn prin concurents'!R92</f>
        <v>#REF!</v>
      </c>
      <c r="AH88" s="35">
        <f>W88-'Syn prin concurents'!U92</f>
        <v>0</v>
      </c>
      <c r="AI88" s="35" t="e">
        <f>X88-'Syn prin concurents'!V92</f>
        <v>#REF!</v>
      </c>
    </row>
    <row r="89" spans="1:35" ht="23.5" x14ac:dyDescent="0.55000000000000004">
      <c r="A89" s="6" t="s">
        <v>5</v>
      </c>
      <c r="B89" s="296"/>
      <c r="C89" s="297">
        <f>VIVALIS!$B$70</f>
        <v>7264896.1030000001</v>
      </c>
      <c r="D89" s="297" t="e">
        <f>#REF!</f>
        <v>#REF!</v>
      </c>
      <c r="E89" s="298" t="e">
        <f>IF(D89=0,0,C89/D89-1)</f>
        <v>#REF!</v>
      </c>
      <c r="F89" s="10"/>
      <c r="G89" s="297">
        <f>VIVALIS!$B$71+VIVALIS!$B$72</f>
        <v>6141466.318</v>
      </c>
      <c r="H89" s="297" t="e">
        <f>#REF!</f>
        <v>#REF!</v>
      </c>
      <c r="I89" s="298" t="e">
        <f>IF(H89=0,0,G89/H89-1)</f>
        <v>#REF!</v>
      </c>
      <c r="J89" s="10"/>
      <c r="K89" s="297">
        <f>VIVALIS!$B$79+VIVALIS!$B$80+VIVALIS!$B$81+VIVALIS!$B$82</f>
        <v>6069761.1150000002</v>
      </c>
      <c r="L89" s="297" t="e">
        <f>#REF!+#REF!+#REF!+#REF!</f>
        <v>#REF!</v>
      </c>
      <c r="M89" s="298" t="e">
        <f>IF(L89=0,0,K89/L89-1)</f>
        <v>#REF!</v>
      </c>
      <c r="N89" s="10"/>
      <c r="O89" s="297">
        <f>VIVALIS!$B$75-VIVALIS!$B$69</f>
        <v>0</v>
      </c>
      <c r="P89" s="297" t="e">
        <f>#REF!</f>
        <v>#REF!</v>
      </c>
      <c r="Q89" s="298" t="e">
        <f>IF(P89=0,0,O89/P89-1)</f>
        <v>#REF!</v>
      </c>
      <c r="R89" s="10"/>
      <c r="S89" s="297">
        <f>VIVALIS!$B$83</f>
        <v>0</v>
      </c>
      <c r="T89" s="297" t="e">
        <f>#REF!</f>
        <v>#REF!</v>
      </c>
      <c r="U89" s="298" t="e">
        <f>IF(T89=0,0,S89/T89-1)</f>
        <v>#REF!</v>
      </c>
      <c r="V89" s="10"/>
      <c r="W89" s="297">
        <f>S89+O89+K89+G89+C89</f>
        <v>19476123.535999998</v>
      </c>
      <c r="X89" s="297" t="e">
        <f>T89+P89+L89+H89+D89</f>
        <v>#REF!</v>
      </c>
      <c r="Y89" s="298" t="e">
        <f>IF(X89=0,0,W89/X89-1)</f>
        <v>#REF!</v>
      </c>
      <c r="Z89" s="35">
        <f>C89+G89-'Syn prin concurents'!E89</f>
        <v>0</v>
      </c>
      <c r="AA89" s="35" t="e">
        <f>D89+H89-'Syn prin concurents'!F89</f>
        <v>#REF!</v>
      </c>
      <c r="AB89" s="35">
        <f>K89-'Syn prin concurents'!I89</f>
        <v>0</v>
      </c>
      <c r="AC89" s="35" t="e">
        <f>L89-'Syn prin concurents'!J89</f>
        <v>#REF!</v>
      </c>
      <c r="AD89" s="35">
        <f>O89-'Syn prin concurents'!M89</f>
        <v>0</v>
      </c>
      <c r="AE89" s="35" t="e">
        <f>P89-'Syn prin concurents'!N89</f>
        <v>#REF!</v>
      </c>
      <c r="AF89" s="35">
        <f>S89-'Syn prin concurents'!Q89</f>
        <v>0</v>
      </c>
      <c r="AG89" s="35" t="e">
        <f>T89-'Syn prin concurents'!R89</f>
        <v>#REF!</v>
      </c>
      <c r="AH89" s="35">
        <f>W89-'Syn prin concurents'!U89</f>
        <v>0</v>
      </c>
      <c r="AI89" s="35" t="e">
        <f>X89-'Syn prin concurents'!V89</f>
        <v>#REF!</v>
      </c>
    </row>
    <row r="90" spans="1:35" ht="18.5" x14ac:dyDescent="0.45">
      <c r="A90" s="11" t="s">
        <v>67</v>
      </c>
      <c r="B90" s="299"/>
      <c r="C90" s="300">
        <f>C89/C$99</f>
        <v>0.27683420648869062</v>
      </c>
      <c r="D90" s="300" t="e">
        <f>D89/D$53</f>
        <v>#REF!</v>
      </c>
      <c r="E90" s="301" t="e">
        <f>(C90-D90)*100</f>
        <v>#REF!</v>
      </c>
      <c r="F90" s="15"/>
      <c r="G90" s="300">
        <f>G89/G$99</f>
        <v>0.16220065008855974</v>
      </c>
      <c r="H90" s="300" t="e">
        <f>H89/H$53</f>
        <v>#REF!</v>
      </c>
      <c r="I90" s="301" t="e">
        <f>(G90-H90)*100</f>
        <v>#REF!</v>
      </c>
      <c r="J90" s="15"/>
      <c r="K90" s="300">
        <f>K89/K$99</f>
        <v>0.19768403636295728</v>
      </c>
      <c r="L90" s="300" t="e">
        <f>L89/L$53</f>
        <v>#REF!</v>
      </c>
      <c r="M90" s="301" t="e">
        <f>(K90-L90)*100</f>
        <v>#REF!</v>
      </c>
      <c r="N90" s="15"/>
      <c r="O90" s="300">
        <f>O89/O$99</f>
        <v>0</v>
      </c>
      <c r="P90" s="300" t="e">
        <f>P89/P$53</f>
        <v>#REF!</v>
      </c>
      <c r="Q90" s="301" t="e">
        <f>(O90-P90)*100</f>
        <v>#REF!</v>
      </c>
      <c r="R90" s="15"/>
      <c r="S90" s="300">
        <f>S89/S$99</f>
        <v>0</v>
      </c>
      <c r="T90" s="300" t="e">
        <f>T89/T$53</f>
        <v>#REF!</v>
      </c>
      <c r="U90" s="301" t="e">
        <f>(S90-T90)*100</f>
        <v>#REF!</v>
      </c>
      <c r="V90" s="15"/>
      <c r="W90" s="300">
        <f>W89/W$99</f>
        <v>0.20329153717932325</v>
      </c>
      <c r="X90" s="300" t="e">
        <f>X89/X$99</f>
        <v>#REF!</v>
      </c>
      <c r="Y90" s="301" t="e">
        <f>(W90-X90)*100</f>
        <v>#REF!</v>
      </c>
      <c r="Z90" s="35">
        <f>C90+G90-'Syn prin concurents'!E90</f>
        <v>0.22990732731261124</v>
      </c>
      <c r="AA90" s="35" t="e">
        <f>D90+H90-'Syn prin concurents'!F90</f>
        <v>#REF!</v>
      </c>
      <c r="AB90" s="35">
        <f>K90-'Syn prin concurents'!I90</f>
        <v>0</v>
      </c>
      <c r="AC90" s="35" t="e">
        <f>L90-'Syn prin concurents'!J90</f>
        <v>#REF!</v>
      </c>
      <c r="AD90" s="35">
        <f>O90-'Syn prin concurents'!M90</f>
        <v>0</v>
      </c>
      <c r="AE90" s="35" t="e">
        <f>P90-'Syn prin concurents'!N90</f>
        <v>#REF!</v>
      </c>
      <c r="AF90" s="35">
        <f>S90-'Syn prin concurents'!Q90</f>
        <v>0</v>
      </c>
      <c r="AG90" s="35" t="e">
        <f>T90-'Syn prin concurents'!R90</f>
        <v>#REF!</v>
      </c>
      <c r="AH90" s="35">
        <f>W90-'Syn prin concurents'!U90</f>
        <v>0</v>
      </c>
      <c r="AI90" s="35" t="e">
        <f>X90-'Syn prin concurents'!V90</f>
        <v>#REF!</v>
      </c>
    </row>
    <row r="91" spans="1:35" ht="23.5" x14ac:dyDescent="0.55000000000000004">
      <c r="A91" s="6" t="s">
        <v>6</v>
      </c>
      <c r="B91" s="7"/>
      <c r="C91" s="8">
        <f>EQDOM!$B$70</f>
        <v>1533379.433</v>
      </c>
      <c r="D91" s="8" t="e">
        <f>#REF!</f>
        <v>#REF!</v>
      </c>
      <c r="E91" s="9" t="e">
        <f>IF(D91=0,0,C91/D91-1)</f>
        <v>#REF!</v>
      </c>
      <c r="F91" s="10"/>
      <c r="G91" s="8">
        <f>EQDOM!$B$71+EQDOM!$B$72</f>
        <v>4662269.0989999995</v>
      </c>
      <c r="H91" s="8" t="e">
        <f>#REF!</f>
        <v>#REF!</v>
      </c>
      <c r="I91" s="9" t="e">
        <f>IF(H91=0,0,G91/H91-1)</f>
        <v>#REF!</v>
      </c>
      <c r="J91" s="10"/>
      <c r="K91" s="8">
        <f>EQDOM!$B$79+EQDOM!$B$80+EQDOM!$B$81+EQDOM!$B$82</f>
        <v>5581964.875</v>
      </c>
      <c r="L91" s="8" t="e">
        <f>#REF!+#REF!+#REF!+#REF!</f>
        <v>#REF!</v>
      </c>
      <c r="M91" s="9" t="e">
        <f>IF(L91=0,0,K91/L91-1)</f>
        <v>#REF!</v>
      </c>
      <c r="N91" s="10"/>
      <c r="O91" s="8">
        <f>EQDOM!$B$75-EQDOM!$B$69</f>
        <v>6524.8370000002906</v>
      </c>
      <c r="P91" s="8" t="e">
        <f>#REF!</f>
        <v>#REF!</v>
      </c>
      <c r="Q91" s="9" t="e">
        <f>IF(P91=0,0,O91/P91-1)</f>
        <v>#REF!</v>
      </c>
      <c r="R91" s="10"/>
      <c r="S91" s="8">
        <f>EQDOM!$B$83</f>
        <v>0</v>
      </c>
      <c r="T91" s="8" t="e">
        <f>#REF!</f>
        <v>#REF!</v>
      </c>
      <c r="U91" s="9" t="e">
        <f>IF(T91=0,0,S91/T91-1)</f>
        <v>#REF!</v>
      </c>
      <c r="V91" s="10"/>
      <c r="W91" s="8">
        <f>S91+O91+K91+G91+C91</f>
        <v>11784138.244000001</v>
      </c>
      <c r="X91" s="8" t="e">
        <f>T91+P91+L91+H91+D91</f>
        <v>#REF!</v>
      </c>
      <c r="Y91" s="9" t="e">
        <f>IF(X91=0,0,W91/X91-1)</f>
        <v>#REF!</v>
      </c>
      <c r="Z91" s="35">
        <f>C91+G91-'Syn prin concurents'!E93</f>
        <v>0</v>
      </c>
      <c r="AA91" s="35" t="e">
        <f>D91+H91-'Syn prin concurents'!F93</f>
        <v>#REF!</v>
      </c>
      <c r="AB91" s="35">
        <f>K91-'Syn prin concurents'!I93</f>
        <v>0</v>
      </c>
      <c r="AC91" s="35" t="e">
        <f>L91-'Syn prin concurents'!J93</f>
        <v>#REF!</v>
      </c>
      <c r="AD91" s="35">
        <f>O91-'Syn prin concurents'!M93</f>
        <v>0</v>
      </c>
      <c r="AE91" s="35" t="e">
        <f>P91-'Syn prin concurents'!N93</f>
        <v>#REF!</v>
      </c>
      <c r="AF91" s="35">
        <f>S91-'Syn prin concurents'!Q93</f>
        <v>0</v>
      </c>
      <c r="AG91" s="35" t="e">
        <f>T91-'Syn prin concurents'!R93</f>
        <v>#REF!</v>
      </c>
      <c r="AH91" s="35">
        <f>W91-'Syn prin concurents'!U93</f>
        <v>0</v>
      </c>
      <c r="AI91" s="35" t="e">
        <f>X91-'Syn prin concurents'!V93</f>
        <v>#REF!</v>
      </c>
    </row>
    <row r="92" spans="1:35" ht="18.5" x14ac:dyDescent="0.45">
      <c r="A92" s="11" t="s">
        <v>67</v>
      </c>
      <c r="B92" s="12"/>
      <c r="C92" s="13">
        <f>C91/C$99</f>
        <v>5.8430550494086443E-2</v>
      </c>
      <c r="D92" s="13" t="e">
        <f>D91/D$53</f>
        <v>#REF!</v>
      </c>
      <c r="E92" s="14" t="e">
        <f>(C92-D92)*100</f>
        <v>#REF!</v>
      </c>
      <c r="F92" s="15"/>
      <c r="G92" s="13">
        <f>G91/G$99</f>
        <v>0.12313396175913109</v>
      </c>
      <c r="H92" s="13" t="e">
        <f>H91/H$53</f>
        <v>#REF!</v>
      </c>
      <c r="I92" s="14" t="e">
        <f>(G92-H92)*100</f>
        <v>#REF!</v>
      </c>
      <c r="J92" s="15"/>
      <c r="K92" s="13">
        <f>K91/K$99</f>
        <v>0.18179716242856622</v>
      </c>
      <c r="L92" s="13" t="e">
        <f>L91/L$53</f>
        <v>#REF!</v>
      </c>
      <c r="M92" s="14" t="e">
        <f>(K92-L92)*100</f>
        <v>#REF!</v>
      </c>
      <c r="N92" s="15"/>
      <c r="O92" s="13">
        <f>O91/O$99</f>
        <v>9.5275711398550636E-3</v>
      </c>
      <c r="P92" s="13" t="e">
        <f>P91/P$53</f>
        <v>#REF!</v>
      </c>
      <c r="Q92" s="14" t="e">
        <f>(O92-P92)*100</f>
        <v>#REF!</v>
      </c>
      <c r="R92" s="15"/>
      <c r="S92" s="13">
        <f>S91/S$99</f>
        <v>0</v>
      </c>
      <c r="T92" s="13" t="e">
        <f>T91/T$53</f>
        <v>#REF!</v>
      </c>
      <c r="U92" s="14" t="e">
        <f>(S92-T92)*100</f>
        <v>#REF!</v>
      </c>
      <c r="V92" s="15"/>
      <c r="W92" s="13">
        <f>W91/W$99</f>
        <v>0.12300268960239004</v>
      </c>
      <c r="X92" s="13" t="e">
        <f>X91/X$99</f>
        <v>#REF!</v>
      </c>
      <c r="Y92" s="14" t="e">
        <f>(W92-X92)*100</f>
        <v>#REF!</v>
      </c>
      <c r="Z92" s="35">
        <f>C92+G92-'Syn prin concurents'!E94</f>
        <v>8.4917813543978718E-2</v>
      </c>
      <c r="AA92" s="35" t="e">
        <f>D92+H92-'Syn prin concurents'!F94</f>
        <v>#REF!</v>
      </c>
      <c r="AB92" s="35">
        <f>K92-'Syn prin concurents'!I94</f>
        <v>0</v>
      </c>
      <c r="AC92" s="35" t="e">
        <f>L92-'Syn prin concurents'!J94</f>
        <v>#REF!</v>
      </c>
      <c r="AD92" s="35">
        <f>O92-'Syn prin concurents'!M94</f>
        <v>0</v>
      </c>
      <c r="AE92" s="35" t="e">
        <f>P92-'Syn prin concurents'!N94</f>
        <v>#REF!</v>
      </c>
      <c r="AF92" s="35">
        <f>S92-'Syn prin concurents'!Q94</f>
        <v>0</v>
      </c>
      <c r="AG92" s="35" t="e">
        <f>T92-'Syn prin concurents'!R94</f>
        <v>#REF!</v>
      </c>
      <c r="AH92" s="35">
        <f>W92-'Syn prin concurents'!U94</f>
        <v>0</v>
      </c>
      <c r="AI92" s="35" t="e">
        <f>X92-'Syn prin concurents'!V94</f>
        <v>#REF!</v>
      </c>
    </row>
    <row r="93" spans="1:35" ht="23.5" x14ac:dyDescent="0.55000000000000004">
      <c r="A93" s="6" t="s">
        <v>4</v>
      </c>
      <c r="B93" s="7"/>
      <c r="C93" s="8">
        <f>'RCI '!$B$70</f>
        <v>4976346.5329999998</v>
      </c>
      <c r="D93" s="8" t="e">
        <f>#REF!</f>
        <v>#REF!</v>
      </c>
      <c r="E93" s="9" t="e">
        <f>IF(D93=0,0,C93/D93-1)</f>
        <v>#REF!</v>
      </c>
      <c r="F93" s="10"/>
      <c r="G93" s="8">
        <f>'RCI '!$B$71+'RCI '!$B$72</f>
        <v>2164775.1940000001</v>
      </c>
      <c r="H93" s="8" t="e">
        <f>#REF!</f>
        <v>#REF!</v>
      </c>
      <c r="I93" s="9" t="e">
        <f>IF(H93=0,0,G93/H93-1)</f>
        <v>#REF!</v>
      </c>
      <c r="J93" s="10"/>
      <c r="K93" s="8">
        <f>'RCI '!$B$79+'RCI '!$B$80+'RCI '!$B$81+'RCI '!$B$82</f>
        <v>0</v>
      </c>
      <c r="L93" s="8" t="e">
        <f>#REF!+#REF!+#REF!+#REF!</f>
        <v>#REF!</v>
      </c>
      <c r="M93" s="9" t="e">
        <f>IF(L93=0,0,K93/L93-1)</f>
        <v>#REF!</v>
      </c>
      <c r="N93" s="10"/>
      <c r="O93" s="8">
        <f>'RCI '!$B$75-'RCI '!$B$69</f>
        <v>0</v>
      </c>
      <c r="P93" s="8" t="e">
        <f>#REF!</f>
        <v>#REF!</v>
      </c>
      <c r="Q93" s="9" t="e">
        <f>IF(P93=0,0,O93/P93-1)</f>
        <v>#REF!</v>
      </c>
      <c r="R93" s="10"/>
      <c r="S93" s="8">
        <f>'RCI '!$B$83</f>
        <v>0</v>
      </c>
      <c r="T93" s="8" t="e">
        <f>#REF!</f>
        <v>#REF!</v>
      </c>
      <c r="U93" s="9" t="e">
        <f>IF(T93=0,0,S93/T93-1)</f>
        <v>#REF!</v>
      </c>
      <c r="V93" s="10"/>
      <c r="W93" s="8">
        <f>S93+O93+K93+G93+C93</f>
        <v>7141121.727</v>
      </c>
      <c r="X93" s="8" t="e">
        <f>T93+P93+L93+H93+D93</f>
        <v>#REF!</v>
      </c>
      <c r="Y93" s="9" t="e">
        <f>IF(X93=0,0,W93/X93-1)</f>
        <v>#REF!</v>
      </c>
      <c r="Z93" s="35">
        <f>C93+G93-'Syn prin concurents'!E95</f>
        <v>0</v>
      </c>
      <c r="AA93" s="35" t="e">
        <f>D93+H93-'Syn prin concurents'!F95</f>
        <v>#REF!</v>
      </c>
      <c r="AB93" s="35">
        <f>K93-'Syn prin concurents'!I95</f>
        <v>0</v>
      </c>
      <c r="AC93" s="35" t="e">
        <f>L93-'Syn prin concurents'!J95</f>
        <v>#REF!</v>
      </c>
      <c r="AD93" s="35">
        <f>O93-'Syn prin concurents'!M95</f>
        <v>0</v>
      </c>
      <c r="AE93" s="35" t="e">
        <f>P93-'Syn prin concurents'!N95</f>
        <v>#REF!</v>
      </c>
      <c r="AF93" s="35">
        <f>S93-'Syn prin concurents'!Q95</f>
        <v>0</v>
      </c>
      <c r="AG93" s="35" t="e">
        <f>T93-'Syn prin concurents'!R95</f>
        <v>#REF!</v>
      </c>
      <c r="AH93" s="35">
        <f>W93-'Syn prin concurents'!U95</f>
        <v>0</v>
      </c>
      <c r="AI93" s="35" t="e">
        <f>X93-'Syn prin concurents'!V95</f>
        <v>#REF!</v>
      </c>
    </row>
    <row r="94" spans="1:35" ht="18.5" x14ac:dyDescent="0.45">
      <c r="A94" s="11" t="s">
        <v>67</v>
      </c>
      <c r="B94" s="12"/>
      <c r="C94" s="13">
        <f>C93/C$99</f>
        <v>0.18962734279254448</v>
      </c>
      <c r="D94" s="13" t="e">
        <f>D93/D$53</f>
        <v>#REF!</v>
      </c>
      <c r="E94" s="14" t="e">
        <f>(C94-D94)*100</f>
        <v>#REF!</v>
      </c>
      <c r="F94" s="15"/>
      <c r="G94" s="13">
        <f>G93/G$99</f>
        <v>5.7173307738132263E-2</v>
      </c>
      <c r="H94" s="13" t="e">
        <f>H93/H$53</f>
        <v>#REF!</v>
      </c>
      <c r="I94" s="14" t="e">
        <f>(G94-H94)*100</f>
        <v>#REF!</v>
      </c>
      <c r="J94" s="15"/>
      <c r="K94" s="13">
        <f>K93/K$99</f>
        <v>0</v>
      </c>
      <c r="L94" s="13" t="e">
        <f>L93/L$53</f>
        <v>#REF!</v>
      </c>
      <c r="M94" s="14" t="e">
        <f>(K94-L94)*100</f>
        <v>#REF!</v>
      </c>
      <c r="N94" s="15"/>
      <c r="O94" s="13">
        <f>O93/O$99</f>
        <v>0</v>
      </c>
      <c r="P94" s="13" t="e">
        <f>P93/P$53</f>
        <v>#REF!</v>
      </c>
      <c r="Q94" s="14" t="e">
        <f>(O94-P94)*100</f>
        <v>#REF!</v>
      </c>
      <c r="R94" s="15"/>
      <c r="S94" s="13">
        <f>S93/S$99</f>
        <v>0</v>
      </c>
      <c r="T94" s="13" t="e">
        <f>T93/T$53</f>
        <v>#REF!</v>
      </c>
      <c r="U94" s="14" t="e">
        <f>(S94-T94)*100</f>
        <v>#REF!</v>
      </c>
      <c r="V94" s="15"/>
      <c r="W94" s="13">
        <f>W93/W$99</f>
        <v>7.4538940481820817E-2</v>
      </c>
      <c r="X94" s="13" t="e">
        <f>X93/X$99</f>
        <v>#REF!</v>
      </c>
      <c r="Y94" s="14" t="e">
        <f>(W94-X94)*100</f>
        <v>#REF!</v>
      </c>
      <c r="Z94" s="35">
        <f>C94+G94-'Syn prin concurents'!E96</f>
        <v>0.1354053968408136</v>
      </c>
      <c r="AA94" s="35" t="e">
        <f>D94+H94-'Syn prin concurents'!F96</f>
        <v>#REF!</v>
      </c>
      <c r="AB94" s="35">
        <f>K94-'Syn prin concurents'!I96</f>
        <v>0</v>
      </c>
      <c r="AC94" s="35" t="e">
        <f>L94-'Syn prin concurents'!J96</f>
        <v>#REF!</v>
      </c>
      <c r="AD94" s="35">
        <f>O94-'Syn prin concurents'!M96</f>
        <v>0</v>
      </c>
      <c r="AE94" s="35" t="e">
        <f>P94-'Syn prin concurents'!N96</f>
        <v>#REF!</v>
      </c>
      <c r="AF94" s="35">
        <f>S94-'Syn prin concurents'!Q96</f>
        <v>0</v>
      </c>
      <c r="AG94" s="35" t="e">
        <f>T94-'Syn prin concurents'!R96</f>
        <v>#REF!</v>
      </c>
      <c r="AH94" s="35">
        <f>W94-'Syn prin concurents'!U96</f>
        <v>0</v>
      </c>
      <c r="AI94" s="35" t="e">
        <f>X94-'Syn prin concurents'!V96</f>
        <v>#REF!</v>
      </c>
    </row>
    <row r="95" spans="1:35" ht="23.5" x14ac:dyDescent="0.55000000000000004">
      <c r="A95" s="6" t="s">
        <v>7</v>
      </c>
      <c r="B95" s="7"/>
      <c r="C95" s="8">
        <f>SALAFIN!$B$70</f>
        <v>422824.3</v>
      </c>
      <c r="D95" s="8" t="e">
        <f>#REF!</f>
        <v>#REF!</v>
      </c>
      <c r="E95" s="9" t="e">
        <f>IF(D95=0,0,C95/D95-1)</f>
        <v>#REF!</v>
      </c>
      <c r="F95" s="10"/>
      <c r="G95" s="8">
        <f>SALAFIN!$B$71+SALAFIN!$B$72</f>
        <v>1337717.5289999999</v>
      </c>
      <c r="H95" s="222" t="e">
        <f>#REF!</f>
        <v>#REF!</v>
      </c>
      <c r="I95" s="9" t="e">
        <f>IF(H95=0,0,G95/H95-1)</f>
        <v>#REF!</v>
      </c>
      <c r="J95" s="10"/>
      <c r="K95" s="8">
        <f>SALAFIN!$B$79+SALAFIN!$B$80+SALAFIN!$B$81+SALAFIN!$B$82</f>
        <v>1509366.341</v>
      </c>
      <c r="L95" s="8" t="e">
        <f>#REF!+#REF!+#REF!+#REF!</f>
        <v>#REF!</v>
      </c>
      <c r="M95" s="9" t="e">
        <f>IF(L95=0,0,K95/L95-1)</f>
        <v>#REF!</v>
      </c>
      <c r="N95" s="10"/>
      <c r="O95" s="8">
        <f>SALAFIN!$B$75-SALAFIN!$B$69</f>
        <v>0</v>
      </c>
      <c r="P95" s="8" t="e">
        <f>#REF!</f>
        <v>#REF!</v>
      </c>
      <c r="Q95" s="9" t="e">
        <f>IF(P95=0,0,O95/P95-1)</f>
        <v>#REF!</v>
      </c>
      <c r="R95" s="10"/>
      <c r="S95" s="8">
        <f>SALAFIN!$B$83</f>
        <v>196073.63500000001</v>
      </c>
      <c r="T95" s="8" t="e">
        <f>#REF!</f>
        <v>#REF!</v>
      </c>
      <c r="U95" s="9" t="e">
        <f>IF(T95=0,0,S95/T95-1)</f>
        <v>#REF!</v>
      </c>
      <c r="V95" s="10"/>
      <c r="W95" s="8">
        <f>S95+O95+K95+G95+C95</f>
        <v>3465981.8049999997</v>
      </c>
      <c r="X95" s="8" t="e">
        <f>T95+P95+L95+H95+D95</f>
        <v>#REF!</v>
      </c>
      <c r="Y95" s="9" t="e">
        <f>IF(X95=0,0,W95/X95-1)</f>
        <v>#REF!</v>
      </c>
      <c r="Z95" s="35">
        <f>C95+G95-'Syn prin concurents'!E97</f>
        <v>0</v>
      </c>
      <c r="AA95" s="35" t="e">
        <f>D95+H95-'Syn prin concurents'!F97</f>
        <v>#REF!</v>
      </c>
      <c r="AB95" s="35">
        <f>K95-'Syn prin concurents'!I97</f>
        <v>0</v>
      </c>
      <c r="AC95" s="35" t="e">
        <f>L95-'Syn prin concurents'!J97</f>
        <v>#REF!</v>
      </c>
      <c r="AD95" s="35">
        <f>O95-'Syn prin concurents'!M97</f>
        <v>0</v>
      </c>
      <c r="AE95" s="35" t="e">
        <f>P95-'Syn prin concurents'!N97</f>
        <v>#REF!</v>
      </c>
      <c r="AF95" s="35">
        <f>S95-'Syn prin concurents'!Q97</f>
        <v>0</v>
      </c>
      <c r="AG95" s="35" t="e">
        <f>T95-'Syn prin concurents'!R97</f>
        <v>#REF!</v>
      </c>
      <c r="AH95" s="35">
        <f>W95-'Syn prin concurents'!U97</f>
        <v>0</v>
      </c>
      <c r="AI95" s="35" t="e">
        <f>X95-'Syn prin concurents'!V97</f>
        <v>#REF!</v>
      </c>
    </row>
    <row r="96" spans="1:35" ht="18.5" x14ac:dyDescent="0.45">
      <c r="A96" s="11" t="s">
        <v>67</v>
      </c>
      <c r="B96" s="12"/>
      <c r="C96" s="13">
        <f>C95/C$99</f>
        <v>1.6112030773062256E-2</v>
      </c>
      <c r="D96" s="13" t="e">
        <f>D95/D$53</f>
        <v>#REF!</v>
      </c>
      <c r="E96" s="14" t="e">
        <f>(C96-D96)*100</f>
        <v>#REF!</v>
      </c>
      <c r="F96" s="15"/>
      <c r="G96" s="13">
        <f>G95/G$99</f>
        <v>3.533010548355852E-2</v>
      </c>
      <c r="H96" s="13" t="e">
        <f>H95/H$53</f>
        <v>#REF!</v>
      </c>
      <c r="I96" s="14" t="e">
        <f>(G96-H96)*100</f>
        <v>#REF!</v>
      </c>
      <c r="J96" s="15"/>
      <c r="K96" s="13">
        <f>K95/K$99</f>
        <v>4.9158051690353512E-2</v>
      </c>
      <c r="L96" s="13" t="e">
        <f>L95/L$53</f>
        <v>#REF!</v>
      </c>
      <c r="M96" s="14" t="e">
        <f>(K96-L96)*100</f>
        <v>#REF!</v>
      </c>
      <c r="N96" s="15"/>
      <c r="O96" s="13">
        <f>O95/O$99</f>
        <v>0</v>
      </c>
      <c r="P96" s="13" t="e">
        <f>P95/P$53</f>
        <v>#REF!</v>
      </c>
      <c r="Q96" s="14" t="e">
        <f>(O96-P96)*100</f>
        <v>#REF!</v>
      </c>
      <c r="R96" s="15"/>
      <c r="S96" s="13">
        <f>S95/S$99</f>
        <v>0.63545704594346408</v>
      </c>
      <c r="T96" s="13" t="e">
        <f>T95/T$53</f>
        <v>#REF!</v>
      </c>
      <c r="U96" s="14" t="e">
        <f>(S96-T96)*100</f>
        <v>#REF!</v>
      </c>
      <c r="V96" s="15"/>
      <c r="W96" s="13">
        <f>W95/W$99</f>
        <v>3.6177875318546417E-2</v>
      </c>
      <c r="X96" s="13" t="e">
        <f>X95/X$99</f>
        <v>#REF!</v>
      </c>
      <c r="Y96" s="14" t="e">
        <f>(W96-X96)*100</f>
        <v>#REF!</v>
      </c>
      <c r="Z96" s="35">
        <f>C96+G96-'Syn prin concurents'!E98</f>
        <v>2.3979223401967703E-2</v>
      </c>
      <c r="AA96" s="35" t="e">
        <f>D96+H96-'Syn prin concurents'!F98</f>
        <v>#REF!</v>
      </c>
      <c r="AB96" s="35">
        <f>K96-'Syn prin concurents'!I98</f>
        <v>0</v>
      </c>
      <c r="AC96" s="35" t="e">
        <f>L96-'Syn prin concurents'!J98</f>
        <v>#REF!</v>
      </c>
      <c r="AD96" s="35">
        <f>O96-'Syn prin concurents'!M98</f>
        <v>0</v>
      </c>
      <c r="AE96" s="35" t="e">
        <f>P96-'Syn prin concurents'!N98</f>
        <v>#REF!</v>
      </c>
      <c r="AF96" s="35">
        <f>S96-'Syn prin concurents'!Q98</f>
        <v>0</v>
      </c>
      <c r="AG96" s="35" t="e">
        <f>T96-'Syn prin concurents'!R98</f>
        <v>#REF!</v>
      </c>
      <c r="AH96" s="35">
        <f>W96-'Syn prin concurents'!U98</f>
        <v>0</v>
      </c>
      <c r="AI96" s="35" t="e">
        <f>X96-'Syn prin concurents'!V98</f>
        <v>#REF!</v>
      </c>
    </row>
    <row r="97" spans="1:35" ht="23.5" x14ac:dyDescent="0.55000000000000004">
      <c r="A97" s="6" t="s">
        <v>11</v>
      </c>
      <c r="B97" s="7"/>
      <c r="C97" s="8">
        <f>'AXA CREDIT'!$B$70</f>
        <v>12225.191999999999</v>
      </c>
      <c r="D97" s="8" t="e">
        <f>#REF!</f>
        <v>#REF!</v>
      </c>
      <c r="E97" s="9" t="e">
        <f>IF(D97=0,0,C97/D97-1)</f>
        <v>#REF!</v>
      </c>
      <c r="F97" s="10"/>
      <c r="G97" s="8">
        <f>'AXA CREDIT'!$B$71+'AXA CREDIT'!$B$72</f>
        <v>8161.9619999999995</v>
      </c>
      <c r="H97" s="8" t="e">
        <f>#REF!</f>
        <v>#REF!</v>
      </c>
      <c r="I97" s="9" t="e">
        <f>IF(H97=0,0,G97/H97-1)</f>
        <v>#REF!</v>
      </c>
      <c r="J97" s="10"/>
      <c r="K97" s="8">
        <f>'AXA CREDIT'!$B$79+'AXA CREDIT'!$B$80+'AXA CREDIT'!$B$81+'AXA CREDIT'!$B$82</f>
        <v>2606188.1220000004</v>
      </c>
      <c r="L97" s="8" t="e">
        <f>#REF!+#REF!+#REF!+#REF!</f>
        <v>#REF!</v>
      </c>
      <c r="M97" s="9" t="e">
        <f>IF(L97=0,0,K97/L97-1)</f>
        <v>#REF!</v>
      </c>
      <c r="N97" s="10"/>
      <c r="O97" s="8">
        <f>'AXA CREDIT'!$B$75-'AXA CREDIT'!$B$69</f>
        <v>0</v>
      </c>
      <c r="P97" s="8" t="e">
        <f>#REF!</f>
        <v>#REF!</v>
      </c>
      <c r="Q97" s="9" t="e">
        <f>IF(P97=0,0,O97/P97-1)</f>
        <v>#REF!</v>
      </c>
      <c r="R97" s="10"/>
      <c r="S97" s="8">
        <f>'AXA CREDIT'!$B$83</f>
        <v>68.412999999999997</v>
      </c>
      <c r="T97" s="8" t="e">
        <f>#REF!</f>
        <v>#REF!</v>
      </c>
      <c r="U97" s="9" t="e">
        <f>IF(T97=0,0,S97/T97-1)</f>
        <v>#REF!</v>
      </c>
      <c r="V97" s="10"/>
      <c r="W97" s="8">
        <f>S97+O97+K97+G97+C97</f>
        <v>2626643.6890000002</v>
      </c>
      <c r="X97" s="8" t="e">
        <f>T97+P97+L97+H97+D97</f>
        <v>#REF!</v>
      </c>
      <c r="Y97" s="9" t="e">
        <f>IF(X97=0,0,W97/X97-1)</f>
        <v>#REF!</v>
      </c>
      <c r="Z97" s="35">
        <f>C97+G97-'Syn prin concurents'!E99</f>
        <v>0</v>
      </c>
      <c r="AA97" s="35" t="e">
        <f>D97+H97-'Syn prin concurents'!F99</f>
        <v>#REF!</v>
      </c>
      <c r="AB97" s="35">
        <f>K97-'Syn prin concurents'!I99</f>
        <v>0</v>
      </c>
      <c r="AC97" s="35" t="e">
        <f>L97-'Syn prin concurents'!J99</f>
        <v>#REF!</v>
      </c>
      <c r="AD97" s="35">
        <f>O97-'Syn prin concurents'!M99</f>
        <v>0</v>
      </c>
      <c r="AE97" s="35" t="e">
        <f>P97-'Syn prin concurents'!N99</f>
        <v>#REF!</v>
      </c>
      <c r="AF97" s="35">
        <f>S97-'Syn prin concurents'!Q99</f>
        <v>0</v>
      </c>
      <c r="AG97" s="35" t="e">
        <f>T97-'Syn prin concurents'!R99</f>
        <v>#REF!</v>
      </c>
      <c r="AH97" s="35">
        <f>W97-'Syn prin concurents'!U99</f>
        <v>0</v>
      </c>
      <c r="AI97" s="35" t="e">
        <f>X97-'Syn prin concurents'!V99</f>
        <v>#REF!</v>
      </c>
    </row>
    <row r="98" spans="1:35" ht="19" thickBot="1" x14ac:dyDescent="0.5">
      <c r="A98" s="11" t="s">
        <v>67</v>
      </c>
      <c r="B98" s="12"/>
      <c r="C98" s="13">
        <f>C97/C$99</f>
        <v>4.6584992799750274E-4</v>
      </c>
      <c r="D98" s="13" t="e">
        <f>D97/(D$53+D$43)</f>
        <v>#REF!</v>
      </c>
      <c r="E98" s="14" t="e">
        <f>(C98-D98)*100</f>
        <v>#REF!</v>
      </c>
      <c r="F98" s="15"/>
      <c r="G98" s="13">
        <f>G97/G$99</f>
        <v>2.1556342961907637E-4</v>
      </c>
      <c r="H98" s="13" t="e">
        <f>H97/(H$53+H$43)</f>
        <v>#REF!</v>
      </c>
      <c r="I98" s="14" t="e">
        <f>(G98-H98)*100</f>
        <v>#REF!</v>
      </c>
      <c r="J98" s="15"/>
      <c r="K98" s="13">
        <f>K97/K$99</f>
        <v>8.4880076450612574E-2</v>
      </c>
      <c r="L98" s="13" t="e">
        <f>L97/(L$53+L$43)</f>
        <v>#REF!</v>
      </c>
      <c r="M98" s="14" t="e">
        <f>(K98-L98)*100</f>
        <v>#REF!</v>
      </c>
      <c r="N98" s="15"/>
      <c r="O98" s="13">
        <f>O97/O$99</f>
        <v>0</v>
      </c>
      <c r="P98" s="13" t="e">
        <f>P97/(P$53+P$43)</f>
        <v>#REF!</v>
      </c>
      <c r="Q98" s="14" t="e">
        <f>(O98-P98)*100</f>
        <v>#REF!</v>
      </c>
      <c r="R98" s="15"/>
      <c r="S98" s="13">
        <f>S97/S$99</f>
        <v>2.2172039032239191E-4</v>
      </c>
      <c r="T98" s="13" t="e">
        <f>T97/(T$53+T$43)</f>
        <v>#REF!</v>
      </c>
      <c r="U98" s="14" t="e">
        <f>(S98-T98)*100</f>
        <v>#REF!</v>
      </c>
      <c r="V98" s="15"/>
      <c r="W98" s="13">
        <f>W97/W$99</f>
        <v>2.7416874419191831E-2</v>
      </c>
      <c r="X98" s="13" t="e">
        <f>X97/X$99</f>
        <v>#REF!</v>
      </c>
      <c r="Y98" s="14" t="e">
        <f>(W98-X98)*100</f>
        <v>#REF!</v>
      </c>
      <c r="Z98" s="35">
        <f>C98+G98-'Syn prin concurents'!E100</f>
        <v>3.6339158475452016E-4</v>
      </c>
      <c r="AA98" s="35" t="e">
        <f>D98+H98-'Syn prin concurents'!F100</f>
        <v>#REF!</v>
      </c>
      <c r="AB98" s="35">
        <f>K98-'Syn prin concurents'!I100</f>
        <v>0</v>
      </c>
      <c r="AC98" s="35" t="e">
        <f>L98-'Syn prin concurents'!J100</f>
        <v>#REF!</v>
      </c>
      <c r="AD98" s="35">
        <f>O98-'Syn prin concurents'!M100</f>
        <v>0</v>
      </c>
      <c r="AE98" s="35" t="e">
        <f>P98-'Syn prin concurents'!N100</f>
        <v>#REF!</v>
      </c>
      <c r="AF98" s="35">
        <f>S98-'Syn prin concurents'!Q100</f>
        <v>0</v>
      </c>
      <c r="AG98" s="35" t="e">
        <f>T98-'Syn prin concurents'!R100</f>
        <v>#REF!</v>
      </c>
      <c r="AH98" s="35">
        <f>W98-'Syn prin concurents'!U100</f>
        <v>0</v>
      </c>
      <c r="AI98" s="35" t="e">
        <f>X98-'Syn prin concurents'!V100</f>
        <v>#REF!</v>
      </c>
    </row>
    <row r="99" spans="1:35" ht="26.5" thickBot="1" x14ac:dyDescent="0.65">
      <c r="A99" s="23" t="s">
        <v>8</v>
      </c>
      <c r="B99" s="38"/>
      <c r="C99" s="24">
        <f>GLOBAL!$B$70</f>
        <v>26242768.894590307</v>
      </c>
      <c r="D99" s="24" t="e">
        <f>#REF!</f>
        <v>#REF!</v>
      </c>
      <c r="E99" s="25" t="e">
        <f>IF(D99=0,0,C99/D99-1)</f>
        <v>#REF!</v>
      </c>
      <c r="F99" s="3"/>
      <c r="G99" s="24">
        <f>GLOBAL!$B$71+GLOBAL!$B$72</f>
        <v>37863389.047126681</v>
      </c>
      <c r="H99" s="24" t="e">
        <f>#REF!</f>
        <v>#REF!</v>
      </c>
      <c r="I99" s="25" t="e">
        <f>IF(H99=0,0,G99/H99-1)</f>
        <v>#REF!</v>
      </c>
      <c r="J99" s="3"/>
      <c r="K99" s="24">
        <f>GLOBAL!$B$79+GLOBAL!$B$80+GLOBAL!$B$81+GLOBAL!$B$82</f>
        <v>30704356.440070003</v>
      </c>
      <c r="L99" s="24" t="e">
        <f>#REF!+#REF!+#REF!+#REF!</f>
        <v>#REF!</v>
      </c>
      <c r="M99" s="25" t="e">
        <f>IF(L99=0,0,K99/L99-1)</f>
        <v>#REF!</v>
      </c>
      <c r="N99" s="3"/>
      <c r="O99" s="24">
        <f>GLOBAL!$B$75-GLOBAL!$B$69</f>
        <v>684837.3949900046</v>
      </c>
      <c r="P99" s="24" t="e">
        <f>#REF!</f>
        <v>#REF!</v>
      </c>
      <c r="Q99" s="25" t="e">
        <f>IF(P99=0,0,O99/P99-1)</f>
        <v>#REF!</v>
      </c>
      <c r="R99" s="3"/>
      <c r="S99" s="24">
        <f>GLOBAL!$B$83</f>
        <v>308555.29300000001</v>
      </c>
      <c r="T99" s="24" t="e">
        <f>#REF!</f>
        <v>#REF!</v>
      </c>
      <c r="U99" s="25" t="e">
        <f>IF(T99=0,0,S99/T99-1)</f>
        <v>#REF!</v>
      </c>
      <c r="V99" s="3"/>
      <c r="W99" s="24">
        <f>S99+O99+K99+G99+C99</f>
        <v>95803907.069776997</v>
      </c>
      <c r="X99" s="24" t="e">
        <f>T99+P99+L99+H99+D99</f>
        <v>#REF!</v>
      </c>
      <c r="Y99" s="25" t="e">
        <f>IF(X99=0,0,W99/X99-1)</f>
        <v>#REF!</v>
      </c>
      <c r="Z99" s="35">
        <f>C99+G99-'Syn prin concurents'!E101</f>
        <v>0</v>
      </c>
      <c r="AA99" s="35" t="e">
        <f>D99+H99-'Syn prin concurents'!F101</f>
        <v>#REF!</v>
      </c>
      <c r="AB99" s="35">
        <f>K99-'Syn prin concurents'!I101</f>
        <v>0</v>
      </c>
      <c r="AC99" s="35" t="e">
        <f>L99-'Syn prin concurents'!J101</f>
        <v>#REF!</v>
      </c>
      <c r="AD99" s="35">
        <f>O99-'Syn prin concurents'!M101</f>
        <v>0</v>
      </c>
      <c r="AE99" s="35" t="e">
        <f>P99-'Syn prin concurents'!N101</f>
        <v>#REF!</v>
      </c>
      <c r="AF99" s="35">
        <f>S99-'Syn prin concurents'!Q101</f>
        <v>0</v>
      </c>
      <c r="AG99" s="35" t="e">
        <f>T99-'Syn prin concurents'!R101</f>
        <v>#REF!</v>
      </c>
      <c r="AH99" s="35">
        <f>W99-'Syn prin concurents'!U101</f>
        <v>0</v>
      </c>
      <c r="AI99" s="35" t="e">
        <f>X99-'Syn prin concurents'!V101</f>
        <v>#REF!</v>
      </c>
    </row>
    <row r="100" spans="1:35" ht="14" x14ac:dyDescent="0.25">
      <c r="A100" s="221"/>
    </row>
    <row r="101" spans="1:35" ht="27.5" x14ac:dyDescent="0.25">
      <c r="A101" s="762" t="s">
        <v>56</v>
      </c>
      <c r="B101" s="762"/>
      <c r="C101" s="762"/>
      <c r="D101" s="762"/>
      <c r="E101" s="762"/>
      <c r="F101" s="762"/>
      <c r="G101" s="762"/>
      <c r="H101" s="762"/>
      <c r="I101" s="762"/>
      <c r="J101" s="762"/>
      <c r="K101" s="762"/>
      <c r="L101" s="762"/>
      <c r="M101" s="762"/>
      <c r="N101" s="762"/>
      <c r="O101" s="762"/>
      <c r="P101" s="762"/>
      <c r="Q101" s="762"/>
      <c r="R101" s="762"/>
      <c r="S101" s="762"/>
      <c r="T101" s="762"/>
      <c r="U101" s="762"/>
      <c r="V101" s="762"/>
      <c r="W101" s="762"/>
      <c r="X101" s="762"/>
      <c r="Y101" s="762"/>
    </row>
    <row r="103" spans="1:35" ht="25" x14ac:dyDescent="0.5">
      <c r="C103" s="761" t="s">
        <v>72</v>
      </c>
      <c r="D103" s="761"/>
      <c r="E103" s="761"/>
      <c r="F103" s="3"/>
      <c r="G103" s="761" t="s">
        <v>73</v>
      </c>
      <c r="H103" s="761"/>
      <c r="I103" s="761"/>
      <c r="J103" s="3"/>
      <c r="K103" s="761" t="s">
        <v>84</v>
      </c>
      <c r="L103" s="761"/>
      <c r="M103" s="761"/>
      <c r="N103" s="3"/>
      <c r="O103" s="761" t="s">
        <v>59</v>
      </c>
      <c r="P103" s="761"/>
      <c r="Q103" s="761"/>
      <c r="R103" s="3"/>
      <c r="S103" s="761" t="s">
        <v>60</v>
      </c>
      <c r="T103" s="761"/>
      <c r="U103" s="761"/>
      <c r="V103" s="3"/>
      <c r="W103" s="761" t="s">
        <v>61</v>
      </c>
      <c r="X103" s="761"/>
      <c r="Y103" s="761"/>
    </row>
    <row r="104" spans="1:35" ht="6.75" customHeight="1" x14ac:dyDescent="0.4">
      <c r="C104" s="562"/>
      <c r="D104" s="562"/>
      <c r="E104" s="562"/>
      <c r="G104" s="562"/>
      <c r="H104" s="562"/>
      <c r="I104" s="562"/>
      <c r="K104" s="562"/>
      <c r="L104" s="562"/>
      <c r="M104" s="562"/>
      <c r="O104" s="562"/>
      <c r="P104" s="562"/>
      <c r="Q104" s="562"/>
      <c r="S104" s="562"/>
      <c r="T104" s="562"/>
      <c r="U104" s="562"/>
      <c r="W104" s="562"/>
      <c r="X104" s="562"/>
      <c r="Y104" s="562"/>
    </row>
    <row r="105" spans="1:35" ht="24.75" customHeight="1" x14ac:dyDescent="0.5">
      <c r="A105" s="4"/>
      <c r="B105" s="5"/>
      <c r="C105" s="559">
        <f>C82</f>
        <v>46082</v>
      </c>
      <c r="D105" s="558">
        <f>D82</f>
        <v>43435</v>
      </c>
      <c r="E105" s="560" t="s">
        <v>62</v>
      </c>
      <c r="F105" s="3"/>
      <c r="G105" s="559">
        <f>G82</f>
        <v>46082</v>
      </c>
      <c r="H105" s="558">
        <f>H82</f>
        <v>43435</v>
      </c>
      <c r="I105" s="560" t="s">
        <v>62</v>
      </c>
      <c r="J105" s="3"/>
      <c r="K105" s="559">
        <f>G105</f>
        <v>46082</v>
      </c>
      <c r="L105" s="558">
        <f>H105</f>
        <v>43435</v>
      </c>
      <c r="M105" s="560" t="s">
        <v>62</v>
      </c>
      <c r="N105" s="3"/>
      <c r="O105" s="559">
        <f>K105</f>
        <v>46082</v>
      </c>
      <c r="P105" s="558">
        <f>L105</f>
        <v>43435</v>
      </c>
      <c r="Q105" s="560" t="s">
        <v>62</v>
      </c>
      <c r="R105" s="3"/>
      <c r="S105" s="559">
        <f>O105</f>
        <v>46082</v>
      </c>
      <c r="T105" s="558">
        <f>P105</f>
        <v>43435</v>
      </c>
      <c r="U105" s="560" t="s">
        <v>62</v>
      </c>
      <c r="V105" s="3"/>
      <c r="W105" s="559">
        <f>S105</f>
        <v>46082</v>
      </c>
      <c r="X105" s="558">
        <f>T105</f>
        <v>43435</v>
      </c>
      <c r="Y105" s="560" t="s">
        <v>62</v>
      </c>
    </row>
    <row r="106" spans="1:35" ht="6.75" customHeight="1" x14ac:dyDescent="0.4">
      <c r="C106" s="562"/>
      <c r="D106" s="562"/>
      <c r="E106" s="562"/>
      <c r="G106" s="562"/>
      <c r="H106" s="562"/>
      <c r="I106" s="562"/>
      <c r="K106" s="562"/>
      <c r="L106" s="562"/>
      <c r="M106" s="562"/>
      <c r="O106" s="562"/>
      <c r="P106" s="562"/>
      <c r="Q106" s="562"/>
      <c r="S106" s="562"/>
      <c r="T106" s="562"/>
      <c r="U106" s="562"/>
      <c r="W106" s="562"/>
      <c r="X106" s="562"/>
      <c r="Y106" s="562"/>
    </row>
    <row r="107" spans="1:35" x14ac:dyDescent="0.25">
      <c r="A107" s="563"/>
      <c r="B107" s="563"/>
      <c r="C107" s="563"/>
      <c r="D107" s="563"/>
      <c r="E107" s="563"/>
      <c r="G107" s="563"/>
      <c r="H107" s="563"/>
      <c r="I107" s="563"/>
      <c r="K107" s="563"/>
      <c r="L107" s="563"/>
      <c r="M107" s="563"/>
      <c r="O107" s="563"/>
      <c r="P107" s="563"/>
      <c r="Q107" s="563"/>
      <c r="S107" s="563"/>
      <c r="T107" s="563"/>
      <c r="U107" s="563"/>
      <c r="W107" s="563"/>
      <c r="X107" s="563"/>
      <c r="Y107" s="563"/>
    </row>
    <row r="108" spans="1:35" ht="23.5" x14ac:dyDescent="0.55000000000000004">
      <c r="A108" s="6" t="s">
        <v>10</v>
      </c>
      <c r="B108" s="7"/>
      <c r="C108" s="9">
        <f>IF(C85=0,0,C62/C85)</f>
        <v>0.25340385151645467</v>
      </c>
      <c r="D108" s="9" t="e">
        <f>IF(D85=0,0,D62/D85)</f>
        <v>#REF!</v>
      </c>
      <c r="E108" s="30" t="e">
        <f t="shared" ref="E108:E115" si="0">(C108-D108)*100</f>
        <v>#REF!</v>
      </c>
      <c r="F108" s="10"/>
      <c r="G108" s="9">
        <f>IF(G85=0,0,G62/G85)</f>
        <v>2.230223406425233E-2</v>
      </c>
      <c r="H108" s="9" t="e">
        <f>IF(H85=0,0,H62/H85)</f>
        <v>#REF!</v>
      </c>
      <c r="I108" s="30" t="e">
        <f t="shared" ref="I108:I115" si="1">(G108-H108)*100</f>
        <v>#REF!</v>
      </c>
      <c r="J108" s="10"/>
      <c r="K108" s="9">
        <f>IF(K85=0,0,K62/K85)</f>
        <v>0.14255297780608736</v>
      </c>
      <c r="L108" s="9" t="e">
        <f>IF(L85=0,0,L62/L85)</f>
        <v>#REF!</v>
      </c>
      <c r="M108" s="30" t="e">
        <f t="shared" ref="M108:M115" si="2">(K108-L108)*100</f>
        <v>#REF!</v>
      </c>
      <c r="N108" s="10"/>
      <c r="O108" s="9">
        <f>IF(O85=0,0,O62/O85)</f>
        <v>0.10157856328152418</v>
      </c>
      <c r="P108" s="9" t="e">
        <f>IF(P85=0,0,P62/P85)</f>
        <v>#REF!</v>
      </c>
      <c r="Q108" s="30" t="e">
        <f t="shared" ref="Q108:Q115" si="3">(O108-P108)*100</f>
        <v>#REF!</v>
      </c>
      <c r="R108" s="10"/>
      <c r="S108" s="9">
        <f>IF(S85=0,0,S62/S85)</f>
        <v>0.34146379281195915</v>
      </c>
      <c r="T108" s="9" t="e">
        <f>IF(T85=0,0,T62/T85)</f>
        <v>#REF!</v>
      </c>
      <c r="U108" s="30" t="e">
        <f t="shared" ref="U108:U115" si="4">(S108-T108)*100</f>
        <v>#REF!</v>
      </c>
      <c r="V108" s="10"/>
      <c r="W108" s="9">
        <f>IF(W85=0,0,W62/W85)</f>
        <v>0.10414680174057202</v>
      </c>
      <c r="X108" s="9" t="e">
        <f>IF(X85=0,0,X62/X85)</f>
        <v>#REF!</v>
      </c>
      <c r="Y108" s="30" t="e">
        <f t="shared" ref="Y108:Y115" si="5">(W108-X108)*100</f>
        <v>#REF!</v>
      </c>
      <c r="AH108" s="35" t="e">
        <f>W108-'Syn prin concurents'!#REF!</f>
        <v>#REF!</v>
      </c>
      <c r="AI108" s="35" t="e">
        <f>X108-'Syn prin concurents'!#REF!</f>
        <v>#REF!</v>
      </c>
    </row>
    <row r="109" spans="1:35" ht="22.5" x14ac:dyDescent="0.45">
      <c r="A109" s="16" t="s">
        <v>2</v>
      </c>
      <c r="B109" s="7"/>
      <c r="C109" s="31">
        <f>IF(C87=0,0,C64/C87)</f>
        <v>0.17827647362755569</v>
      </c>
      <c r="D109" s="31" t="e">
        <f>IF(D87=0,0,D64/D87)</f>
        <v>#REF!</v>
      </c>
      <c r="E109" s="32" t="e">
        <f>(C109-D109)*100</f>
        <v>#REF!</v>
      </c>
      <c r="F109" s="10"/>
      <c r="G109" s="31">
        <f>IF(G87=0,0,G64/G87)</f>
        <v>4.3833618817318891E-2</v>
      </c>
      <c r="H109" s="31" t="e">
        <f>IF(H87=0,0,H64/H87)</f>
        <v>#REF!</v>
      </c>
      <c r="I109" s="32" t="e">
        <f>(G109-H109)*100</f>
        <v>#REF!</v>
      </c>
      <c r="J109" s="10"/>
      <c r="K109" s="31">
        <f>IF(K87=0,0,K64/K87)</f>
        <v>0.16831286862856973</v>
      </c>
      <c r="L109" s="31" t="e">
        <f>IF(L87=0,0,L64/L87)</f>
        <v>#REF!</v>
      </c>
      <c r="M109" s="32" t="e">
        <f>(K109-L109)*100</f>
        <v>#REF!</v>
      </c>
      <c r="N109" s="10"/>
      <c r="O109" s="31">
        <f>IF(O87=0,0,O64/O87)</f>
        <v>6.7782695939101245E-2</v>
      </c>
      <c r="P109" s="31" t="e">
        <f>IF(P87=0,0,P64/P87)</f>
        <v>#REF!</v>
      </c>
      <c r="Q109" s="32" t="e">
        <f>(O109-P109)*100</f>
        <v>#REF!</v>
      </c>
      <c r="R109" s="10"/>
      <c r="S109" s="31">
        <f>IF(S87=0,0,S64/S87)</f>
        <v>0</v>
      </c>
      <c r="T109" s="31" t="e">
        <f>IF(T87=0,0,T64/T87)</f>
        <v>#REF!</v>
      </c>
      <c r="U109" s="32" t="e">
        <f>(S109-T109)*100</f>
        <v>#REF!</v>
      </c>
      <c r="V109" s="10"/>
      <c r="W109" s="31">
        <f>IF(W87=0,0,W64/W87)</f>
        <v>0.11040645611036166</v>
      </c>
      <c r="X109" s="31" t="e">
        <f>IF(X87=0,0,X64/X87)</f>
        <v>#REF!</v>
      </c>
      <c r="Y109" s="32" t="e">
        <f>(W109-X109)*100</f>
        <v>#REF!</v>
      </c>
      <c r="AH109" s="35">
        <f>W109-'Syn prin concurents'!U115</f>
        <v>0</v>
      </c>
      <c r="AI109" s="35" t="e">
        <f>X109-'Syn prin concurents'!V115</f>
        <v>#REF!</v>
      </c>
    </row>
    <row r="110" spans="1:35" ht="23.5" x14ac:dyDescent="0.55000000000000004">
      <c r="A110" s="6" t="s">
        <v>5</v>
      </c>
      <c r="B110" s="296"/>
      <c r="C110" s="302">
        <f>IF(C89=0,0,C66/C89)</f>
        <v>0.26653783571665757</v>
      </c>
      <c r="D110" s="302" t="e">
        <f>IF(D89=0,0,D66/D89)</f>
        <v>#REF!</v>
      </c>
      <c r="E110" s="303" t="e">
        <f>(C110-D110)*100</f>
        <v>#REF!</v>
      </c>
      <c r="F110" s="10"/>
      <c r="G110" s="302">
        <f>IF(G89=0,0,G66/G89)</f>
        <v>9.3432812180083022E-2</v>
      </c>
      <c r="H110" s="302" t="e">
        <f>IF(H89=0,0,H66/H89)</f>
        <v>#REF!</v>
      </c>
      <c r="I110" s="303" t="e">
        <f>(G110-H110)*100</f>
        <v>#REF!</v>
      </c>
      <c r="J110" s="10"/>
      <c r="K110" s="302">
        <f>IF(K89=0,0,K66/K89)</f>
        <v>0.10433147235976517</v>
      </c>
      <c r="L110" s="302" t="e">
        <f>IF(L89=0,0,L66/L89)</f>
        <v>#REF!</v>
      </c>
      <c r="M110" s="303" t="e">
        <f>(K110-L110)*100</f>
        <v>#REF!</v>
      </c>
      <c r="N110" s="10"/>
      <c r="O110" s="302">
        <f>IF(O89=0,0,O66/O89)</f>
        <v>0</v>
      </c>
      <c r="P110" s="302" t="e">
        <f>IF(P89=0,0,P66/P89)</f>
        <v>#REF!</v>
      </c>
      <c r="Q110" s="303" t="e">
        <f>(O110-P110)*100</f>
        <v>#REF!</v>
      </c>
      <c r="R110" s="10"/>
      <c r="S110" s="302">
        <f>IF(S89=0,0,S66/S89)</f>
        <v>0</v>
      </c>
      <c r="T110" s="302" t="e">
        <f>IF(T89=0,0,T66/T89)</f>
        <v>#REF!</v>
      </c>
      <c r="U110" s="303" t="e">
        <f>(S110-T110)*100</f>
        <v>#REF!</v>
      </c>
      <c r="V110" s="10"/>
      <c r="W110" s="302">
        <f>IF(W89=0,0,W66/W89)</f>
        <v>0.16140025304263403</v>
      </c>
      <c r="X110" s="302" t="e">
        <f>IF(X89=0,0,X66/X89)</f>
        <v>#REF!</v>
      </c>
      <c r="Y110" s="303" t="e">
        <f>(W110-X110)*100</f>
        <v>#REF!</v>
      </c>
      <c r="Z110" s="29"/>
      <c r="AA110" s="29"/>
      <c r="AB110" s="29"/>
      <c r="AC110" s="29"/>
      <c r="AD110" s="29"/>
      <c r="AE110" s="29"/>
      <c r="AF110" s="29"/>
      <c r="AG110" s="29"/>
      <c r="AH110" s="35">
        <f>W110-'Syn prin concurents'!U116</f>
        <v>0</v>
      </c>
      <c r="AI110" s="35" t="e">
        <f>X110-'Syn prin concurents'!V116</f>
        <v>#REF!</v>
      </c>
    </row>
    <row r="111" spans="1:35" ht="23.5" x14ac:dyDescent="0.55000000000000004">
      <c r="A111" s="6" t="s">
        <v>6</v>
      </c>
      <c r="B111" s="7"/>
      <c r="C111" s="9">
        <f>IF(C91=0,0,C68/C91)</f>
        <v>0.325259026739535</v>
      </c>
      <c r="D111" s="9" t="e">
        <f>IF(D91=0,0,D68/D91)</f>
        <v>#REF!</v>
      </c>
      <c r="E111" s="30" t="e">
        <f>(C111-D111)*100</f>
        <v>#REF!</v>
      </c>
      <c r="F111" s="10"/>
      <c r="G111" s="9">
        <f>IF(G91=0,0,G68/G91)</f>
        <v>8.3036967146112819E-2</v>
      </c>
      <c r="H111" s="9" t="e">
        <f>IF(H91=0,0,H68/H91)</f>
        <v>#REF!</v>
      </c>
      <c r="I111" s="30" t="e">
        <f>(G111-H111)*100</f>
        <v>#REF!</v>
      </c>
      <c r="J111" s="10"/>
      <c r="K111" s="9">
        <f>IF(K91=0,0,K68/K91)</f>
        <v>0.16126285119269942</v>
      </c>
      <c r="L111" s="9" t="e">
        <f>IF(L91=0,0,L68/L91)</f>
        <v>#REF!</v>
      </c>
      <c r="M111" s="30" t="e">
        <f>(K111-L111)*100</f>
        <v>#REF!</v>
      </c>
      <c r="N111" s="10"/>
      <c r="O111" s="9">
        <f>IF(O91=0,0,O68/O91)</f>
        <v>0.76253138584148827</v>
      </c>
      <c r="P111" s="9" t="e">
        <f>IF(P91=0,0,P68/P91)</f>
        <v>#REF!</v>
      </c>
      <c r="Q111" s="30" t="e">
        <f>(O111-P111)*100</f>
        <v>#REF!</v>
      </c>
      <c r="R111" s="10"/>
      <c r="S111" s="9">
        <f>IF(S91=0,0,S68/S91)</f>
        <v>0</v>
      </c>
      <c r="T111" s="9" t="e">
        <f>IF(T91=0,0,T68/T91)</f>
        <v>#REF!</v>
      </c>
      <c r="U111" s="30" t="e">
        <f>(S111-T111)*100</f>
        <v>#REF!</v>
      </c>
      <c r="V111" s="10"/>
      <c r="W111" s="9">
        <f>IF(W91=0,0,W68/W91)</f>
        <v>0.15198609477548486</v>
      </c>
      <c r="X111" s="9" t="e">
        <f>IF(X91=0,0,X68/X91)</f>
        <v>#REF!</v>
      </c>
      <c r="Y111" s="30" t="e">
        <f>(W111-X111)*100</f>
        <v>#REF!</v>
      </c>
      <c r="AH111" s="35">
        <f>W111-'Syn prin concurents'!U111</f>
        <v>0</v>
      </c>
      <c r="AI111" s="35" t="e">
        <f>X111-'Syn prin concurents'!V111</f>
        <v>#REF!</v>
      </c>
    </row>
    <row r="112" spans="1:35" ht="23.5" x14ac:dyDescent="0.55000000000000004">
      <c r="A112" s="6" t="s">
        <v>4</v>
      </c>
      <c r="B112" s="7"/>
      <c r="C112" s="9">
        <f>IF(C93=0,0,C70/C93)</f>
        <v>0.14651512714498496</v>
      </c>
      <c r="D112" s="9" t="e">
        <f>IF(D93=0,0,D70/D93)</f>
        <v>#REF!</v>
      </c>
      <c r="E112" s="30" t="e">
        <f t="shared" si="0"/>
        <v>#REF!</v>
      </c>
      <c r="F112" s="10"/>
      <c r="G112" s="9">
        <f>IF(G93=0,0,G70/G93)</f>
        <v>6.0785561181924741E-2</v>
      </c>
      <c r="H112" s="9" t="e">
        <f>IF(H93=0,0,H70/H93)</f>
        <v>#REF!</v>
      </c>
      <c r="I112" s="30" t="e">
        <f t="shared" si="1"/>
        <v>#REF!</v>
      </c>
      <c r="J112" s="10"/>
      <c r="K112" s="9">
        <f>IF(K93=0,0,K70/K93)</f>
        <v>0</v>
      </c>
      <c r="L112" s="9" t="e">
        <f>IF(L93=0,0,L70/L93)</f>
        <v>#REF!</v>
      </c>
      <c r="M112" s="30" t="e">
        <f t="shared" si="2"/>
        <v>#REF!</v>
      </c>
      <c r="N112" s="10"/>
      <c r="O112" s="9">
        <f>IF(O93=0,0,O70/O93)</f>
        <v>0</v>
      </c>
      <c r="P112" s="9" t="e">
        <f>IF(P93=0,0,P70/P93)</f>
        <v>#REF!</v>
      </c>
      <c r="Q112" s="30" t="e">
        <f t="shared" si="3"/>
        <v>#REF!</v>
      </c>
      <c r="R112" s="10"/>
      <c r="S112" s="9">
        <f>IF(S93=0,0,S70/S93)</f>
        <v>0</v>
      </c>
      <c r="T112" s="9" t="e">
        <f>IF(T93=0,0,T70/T93)</f>
        <v>#REF!</v>
      </c>
      <c r="U112" s="30" t="e">
        <f t="shared" si="4"/>
        <v>#REF!</v>
      </c>
      <c r="V112" s="10"/>
      <c r="W112" s="9">
        <f>IF(W93=0,0,W70/W93)</f>
        <v>0.12052687979617745</v>
      </c>
      <c r="X112" s="9" t="e">
        <f>IF(X93=0,0,X70/X93)</f>
        <v>#REF!</v>
      </c>
      <c r="Y112" s="30" t="e">
        <f t="shared" si="5"/>
        <v>#REF!</v>
      </c>
      <c r="AH112" s="35">
        <f>W112-'Syn prin concurents'!U113</f>
        <v>0</v>
      </c>
      <c r="AI112" s="35" t="e">
        <f>X112-'Syn prin concurents'!V113</f>
        <v>#REF!</v>
      </c>
    </row>
    <row r="113" spans="1:35" ht="23.5" x14ac:dyDescent="0.55000000000000004">
      <c r="A113" s="6" t="s">
        <v>7</v>
      </c>
      <c r="B113" s="7"/>
      <c r="C113" s="9">
        <f>IF(C95=0,0,C72/C95)</f>
        <v>0.45706271612109334</v>
      </c>
      <c r="D113" s="9" t="e">
        <f>IF(D95=0,0,D72/D95)</f>
        <v>#REF!</v>
      </c>
      <c r="E113" s="30" t="e">
        <f t="shared" si="0"/>
        <v>#REF!</v>
      </c>
      <c r="F113" s="10"/>
      <c r="G113" s="9">
        <f>IF(G95=0,0,G72/G95)</f>
        <v>0.12884701535521256</v>
      </c>
      <c r="H113" s="9" t="e">
        <f>IF(H95=0,0,H72/H95)</f>
        <v>#REF!</v>
      </c>
      <c r="I113" s="30" t="e">
        <f t="shared" si="1"/>
        <v>#REF!</v>
      </c>
      <c r="J113" s="10"/>
      <c r="K113" s="9">
        <f>IF(K95=0,0,K72/K95)</f>
        <v>0.36442993530355922</v>
      </c>
      <c r="L113" s="9" t="e">
        <f>IF(L95=0,0,L72/L95)</f>
        <v>#REF!</v>
      </c>
      <c r="M113" s="30" t="e">
        <f t="shared" si="2"/>
        <v>#REF!</v>
      </c>
      <c r="N113" s="10"/>
      <c r="O113" s="9">
        <f>IF(O95=0,0,O72/O95)</f>
        <v>0</v>
      </c>
      <c r="P113" s="9" t="e">
        <f>IF(P95=0,0,P72/P95)</f>
        <v>#REF!</v>
      </c>
      <c r="Q113" s="30" t="e">
        <f t="shared" si="3"/>
        <v>#REF!</v>
      </c>
      <c r="R113" s="10"/>
      <c r="S113" s="9">
        <f>IF(S95=0,0,S72/S95)</f>
        <v>0.2261496452595475</v>
      </c>
      <c r="T113" s="9" t="e">
        <f>IF(T95=0,0,T72/T95)</f>
        <v>#REF!</v>
      </c>
      <c r="U113" s="30" t="e">
        <f t="shared" si="4"/>
        <v>#REF!</v>
      </c>
      <c r="V113" s="10"/>
      <c r="W113" s="9">
        <f>IF(W95=0,0,W72/W95)</f>
        <v>0.27698310291620243</v>
      </c>
      <c r="X113" s="9" t="e">
        <f>IF(X95=0,0,X72/X95)</f>
        <v>#REF!</v>
      </c>
      <c r="Y113" s="30" t="e">
        <f t="shared" si="5"/>
        <v>#REF!</v>
      </c>
      <c r="AH113" s="35">
        <f>W113-'Syn prin concurents'!U110</f>
        <v>0</v>
      </c>
      <c r="AI113" s="35" t="e">
        <f>X113-'Syn prin concurents'!V110</f>
        <v>#REF!</v>
      </c>
    </row>
    <row r="114" spans="1:35" ht="24" thickBot="1" x14ac:dyDescent="0.6">
      <c r="A114" s="6" t="s">
        <v>11</v>
      </c>
      <c r="B114" s="7"/>
      <c r="C114" s="9">
        <f>IF(C97=0,0,C74/C97)</f>
        <v>0.53832422427394189</v>
      </c>
      <c r="D114" s="9" t="e">
        <f>IF(D97=0,0,D74/D97)</f>
        <v>#REF!</v>
      </c>
      <c r="E114" s="30" t="e">
        <f t="shared" si="0"/>
        <v>#REF!</v>
      </c>
      <c r="F114" s="10"/>
      <c r="G114" s="9">
        <f>IF(G97=0,0,G74/G97)</f>
        <v>4.1157015923377255E-2</v>
      </c>
      <c r="H114" s="9" t="e">
        <f>IF(H97=0,0,H74/H97)</f>
        <v>#REF!</v>
      </c>
      <c r="I114" s="30" t="e">
        <f t="shared" si="1"/>
        <v>#REF!</v>
      </c>
      <c r="J114" s="10"/>
      <c r="K114" s="9">
        <f>IF(K97=0,0,K74/K97)</f>
        <v>0.16850235149678883</v>
      </c>
      <c r="L114" s="9" t="e">
        <f>IF(L97=0,0,L74/L97)</f>
        <v>#REF!</v>
      </c>
      <c r="M114" s="30" t="e">
        <f t="shared" si="2"/>
        <v>#REF!</v>
      </c>
      <c r="N114" s="10"/>
      <c r="O114" s="9">
        <f>IF(O97=0,0,O74/O97)</f>
        <v>0</v>
      </c>
      <c r="P114" s="9" t="e">
        <f>IF(P97=0,0,P74/P97)</f>
        <v>#REF!</v>
      </c>
      <c r="Q114" s="30" t="e">
        <f t="shared" si="3"/>
        <v>#REF!</v>
      </c>
      <c r="R114" s="10"/>
      <c r="S114" s="9">
        <f>IF(S97=0,0,S74/S97)</f>
        <v>1</v>
      </c>
      <c r="T114" s="9" t="e">
        <f>IF(T97=0,0,T74/T97)</f>
        <v>#REF!</v>
      </c>
      <c r="U114" s="30" t="e">
        <f t="shared" si="4"/>
        <v>#REF!</v>
      </c>
      <c r="V114" s="10"/>
      <c r="W114" s="9">
        <f>IF(W97=0,0,W74/W97)</f>
        <v>0.16984956157865844</v>
      </c>
      <c r="X114" s="9" t="e">
        <f>IF(X97=0,0,X74/X97)</f>
        <v>#REF!</v>
      </c>
      <c r="Y114" s="30" t="e">
        <f t="shared" si="5"/>
        <v>#REF!</v>
      </c>
      <c r="AH114" s="35">
        <f>W114-'Syn prin concurents'!U112</f>
        <v>0</v>
      </c>
      <c r="AI114" s="35" t="e">
        <f>X114-'Syn prin concurents'!V112</f>
        <v>#REF!</v>
      </c>
    </row>
    <row r="115" spans="1:35" ht="26.5" thickBot="1" x14ac:dyDescent="0.65">
      <c r="A115" s="23" t="s">
        <v>8</v>
      </c>
      <c r="B115" s="38"/>
      <c r="C115" s="33">
        <f>IF(C99=0,0,C76/C99)</f>
        <v>0.21661617546317025</v>
      </c>
      <c r="D115" s="33" t="e">
        <f>IF(D99=0,0,D76/D99)</f>
        <v>#REF!</v>
      </c>
      <c r="E115" s="34" t="e">
        <f t="shared" si="0"/>
        <v>#REF!</v>
      </c>
      <c r="F115" s="3"/>
      <c r="G115" s="33">
        <f>IF(G99=0,0,G76/G99)</f>
        <v>5.3389001353628271E-2</v>
      </c>
      <c r="H115" s="33" t="e">
        <f>IF(H99=0,0,H76/H99)</f>
        <v>#REF!</v>
      </c>
      <c r="I115" s="34" t="e">
        <f t="shared" si="1"/>
        <v>#REF!</v>
      </c>
      <c r="J115" s="3"/>
      <c r="K115" s="33">
        <f>IF(K99=0,0,K76/K99)</f>
        <v>0.1553476204231794</v>
      </c>
      <c r="L115" s="33" t="e">
        <f>IF(L99=0,0,L76/L99)</f>
        <v>#REF!</v>
      </c>
      <c r="M115" s="34" t="e">
        <f t="shared" si="2"/>
        <v>#REF!</v>
      </c>
      <c r="N115" s="3"/>
      <c r="O115" s="33">
        <f>IF(O99=0,0,O76/O99)</f>
        <v>0.10764167180309382</v>
      </c>
      <c r="P115" s="33" t="e">
        <f>IF(P99=0,0,P76/P99)</f>
        <v>#REF!</v>
      </c>
      <c r="Q115" s="34" t="e">
        <f t="shared" si="3"/>
        <v>#REF!</v>
      </c>
      <c r="R115" s="3"/>
      <c r="S115" s="33">
        <f>IF(S99=0,0,S76/S99)</f>
        <v>0.26833261615771403</v>
      </c>
      <c r="T115" s="33" t="e">
        <f>IF(T99=0,0,T76/T99)</f>
        <v>#REF!</v>
      </c>
      <c r="U115" s="34" t="e">
        <f t="shared" si="4"/>
        <v>#REF!</v>
      </c>
      <c r="V115" s="3"/>
      <c r="W115" s="33">
        <f>IF(W99=0,0,W76/W99)</f>
        <v>0.13185744034530225</v>
      </c>
      <c r="X115" s="33" t="e">
        <f>IF(X99=0,0,X76/X99)</f>
        <v>#REF!</v>
      </c>
      <c r="Y115" s="34" t="e">
        <f t="shared" si="5"/>
        <v>#REF!</v>
      </c>
      <c r="AH115" s="35">
        <f>W115-'Syn prin concurents'!U117</f>
        <v>0</v>
      </c>
      <c r="AI115" s="35" t="e">
        <f>X115-'Syn prin concurents'!V117</f>
        <v>#REF!</v>
      </c>
    </row>
    <row r="116" spans="1:35" ht="14" x14ac:dyDescent="0.25">
      <c r="A116" s="221"/>
    </row>
    <row r="118" spans="1:35" ht="27.5" x14ac:dyDescent="0.25">
      <c r="A118" s="762"/>
      <c r="B118" s="762"/>
      <c r="C118" s="762"/>
      <c r="D118" s="762"/>
      <c r="E118" s="762"/>
      <c r="F118" s="762"/>
      <c r="G118" s="762"/>
      <c r="H118" s="762"/>
      <c r="I118" s="762"/>
      <c r="J118" s="762"/>
      <c r="K118" s="762"/>
      <c r="L118" s="762"/>
      <c r="M118" s="762"/>
      <c r="N118" s="762"/>
      <c r="O118" s="762"/>
      <c r="P118" s="762"/>
      <c r="Q118" s="762"/>
      <c r="R118" s="762"/>
      <c r="S118" s="762"/>
      <c r="T118" s="762"/>
      <c r="U118" s="762"/>
      <c r="V118" s="762"/>
      <c r="W118" s="762"/>
      <c r="X118" s="762"/>
      <c r="Y118" s="762"/>
    </row>
    <row r="120" spans="1:35" ht="25" x14ac:dyDescent="0.5">
      <c r="C120" s="761" t="s">
        <v>72</v>
      </c>
      <c r="D120" s="761"/>
      <c r="E120" s="761"/>
      <c r="F120" s="3"/>
      <c r="G120" s="761" t="s">
        <v>73</v>
      </c>
      <c r="H120" s="761"/>
      <c r="I120" s="761"/>
      <c r="J120" s="3"/>
      <c r="K120" s="761" t="s">
        <v>84</v>
      </c>
      <c r="L120" s="761"/>
      <c r="M120" s="761"/>
      <c r="N120" s="3"/>
      <c r="O120" s="761" t="s">
        <v>59</v>
      </c>
      <c r="P120" s="761"/>
      <c r="Q120" s="761"/>
      <c r="R120" s="3"/>
      <c r="S120" s="761" t="s">
        <v>60</v>
      </c>
      <c r="T120" s="761"/>
      <c r="U120" s="761"/>
      <c r="V120" s="3"/>
      <c r="W120" s="761" t="s">
        <v>61</v>
      </c>
      <c r="X120" s="761"/>
      <c r="Y120" s="761"/>
    </row>
    <row r="121" spans="1:35" ht="6.75" customHeight="1" x14ac:dyDescent="0.4">
      <c r="C121" s="562"/>
      <c r="D121" s="562"/>
      <c r="E121" s="562"/>
      <c r="G121" s="562"/>
      <c r="H121" s="562"/>
      <c r="I121" s="562"/>
      <c r="K121" s="562"/>
      <c r="L121" s="562"/>
      <c r="M121" s="562"/>
      <c r="O121" s="562"/>
      <c r="P121" s="562"/>
      <c r="Q121" s="562"/>
      <c r="S121" s="562"/>
      <c r="T121" s="562"/>
      <c r="U121" s="562"/>
      <c r="W121" s="562"/>
      <c r="X121" s="562"/>
      <c r="Y121" s="562"/>
    </row>
    <row r="122" spans="1:35" ht="24.75" customHeight="1" x14ac:dyDescent="0.5">
      <c r="B122" s="5"/>
      <c r="C122" s="559">
        <f>C105</f>
        <v>46082</v>
      </c>
      <c r="D122" s="558">
        <v>40878</v>
      </c>
      <c r="E122" s="560" t="s">
        <v>62</v>
      </c>
      <c r="F122" s="3"/>
      <c r="G122" s="559">
        <f>G105</f>
        <v>46082</v>
      </c>
      <c r="H122" s="558">
        <v>40878</v>
      </c>
      <c r="I122" s="560" t="s">
        <v>62</v>
      </c>
      <c r="J122" s="3"/>
      <c r="K122" s="559">
        <f>G122</f>
        <v>46082</v>
      </c>
      <c r="L122" s="558">
        <f>H122</f>
        <v>40878</v>
      </c>
      <c r="M122" s="560" t="s">
        <v>62</v>
      </c>
      <c r="N122" s="3"/>
      <c r="O122" s="559">
        <f>K122</f>
        <v>46082</v>
      </c>
      <c r="P122" s="558">
        <f>L122</f>
        <v>40878</v>
      </c>
      <c r="Q122" s="560" t="s">
        <v>62</v>
      </c>
      <c r="R122" s="3"/>
      <c r="S122" s="559">
        <f>O122</f>
        <v>46082</v>
      </c>
      <c r="T122" s="558">
        <f>P122</f>
        <v>40878</v>
      </c>
      <c r="U122" s="560" t="s">
        <v>62</v>
      </c>
      <c r="V122" s="3"/>
      <c r="W122" s="559">
        <f>S122</f>
        <v>46082</v>
      </c>
      <c r="X122" s="558">
        <f>T122</f>
        <v>40878</v>
      </c>
      <c r="Y122" s="560" t="s">
        <v>62</v>
      </c>
    </row>
    <row r="123" spans="1:35" ht="6.75" customHeight="1" x14ac:dyDescent="0.4">
      <c r="C123" s="562"/>
      <c r="D123" s="562"/>
      <c r="E123" s="562"/>
      <c r="G123" s="562"/>
      <c r="H123" s="562"/>
      <c r="I123" s="562"/>
      <c r="K123" s="562"/>
      <c r="L123" s="562"/>
      <c r="M123" s="562"/>
      <c r="O123" s="562"/>
      <c r="P123" s="562"/>
      <c r="Q123" s="562"/>
      <c r="S123" s="562"/>
      <c r="T123" s="562"/>
      <c r="U123" s="562"/>
      <c r="W123" s="562"/>
      <c r="X123" s="562"/>
      <c r="Y123" s="562"/>
    </row>
    <row r="124" spans="1:35" ht="6" customHeight="1" x14ac:dyDescent="0.25">
      <c r="B124" s="563"/>
      <c r="C124" s="563"/>
      <c r="D124" s="563"/>
      <c r="E124" s="563"/>
      <c r="G124" s="563"/>
      <c r="H124" s="563"/>
      <c r="I124" s="563"/>
      <c r="K124" s="563"/>
      <c r="L124" s="563"/>
      <c r="M124" s="563"/>
      <c r="O124" s="563"/>
      <c r="P124" s="563"/>
      <c r="Q124" s="563"/>
      <c r="S124" s="563"/>
      <c r="T124" s="563"/>
      <c r="U124" s="563"/>
      <c r="W124" s="563"/>
      <c r="X124" s="563"/>
      <c r="Y124" s="563"/>
    </row>
    <row r="125" spans="1:35" ht="23.5" x14ac:dyDescent="0.55000000000000004">
      <c r="B125" s="7"/>
      <c r="C125" s="39">
        <f>C39/$W39</f>
        <v>0.12531848877437254</v>
      </c>
      <c r="D125" s="39" t="e">
        <f>D39/$X39</f>
        <v>#REF!</v>
      </c>
      <c r="E125" s="40" t="e">
        <f t="shared" ref="E125:E133" si="6">(C125-D125)*100</f>
        <v>#REF!</v>
      </c>
      <c r="F125" s="10"/>
      <c r="G125" s="39">
        <f>G39/$W39</f>
        <v>0.49815105270562304</v>
      </c>
      <c r="H125" s="39" t="e">
        <f>H39/$X39</f>
        <v>#REF!</v>
      </c>
      <c r="I125" s="40" t="e">
        <f t="shared" ref="I125:I133" si="7">(G125-H125)*100</f>
        <v>#REF!</v>
      </c>
      <c r="J125" s="10"/>
      <c r="K125" s="39">
        <f>K39/$W39</f>
        <v>0.34953319937165911</v>
      </c>
      <c r="L125" s="39" t="e">
        <f>L39/$X39</f>
        <v>#REF!</v>
      </c>
      <c r="M125" s="40" t="e">
        <f t="shared" ref="M125:M133" si="8">(K125-L125)*100</f>
        <v>#REF!</v>
      </c>
      <c r="N125" s="10"/>
      <c r="O125" s="8">
        <f>WAFASALAF!$B$48-WAFASALAF!$B$41</f>
        <v>605147.41100000031</v>
      </c>
      <c r="P125" s="8">
        <f>[9]WAFASALAF!$B$47-[9]WAFASALAF!$B$41</f>
        <v>265055.29973000009</v>
      </c>
      <c r="Q125" s="9">
        <f t="shared" ref="Q125:Q133" si="9">IF(P125=0,0,O125/P125-1)</f>
        <v>1.2830987028610132</v>
      </c>
      <c r="R125" s="10"/>
      <c r="S125" s="8">
        <f>WAFASALAF!$B$55</f>
        <v>74028.191999999995</v>
      </c>
      <c r="T125" s="8">
        <f>[9]WAFASALAF!$B$55</f>
        <v>175919.42038</v>
      </c>
      <c r="U125" s="9">
        <f t="shared" ref="U125:U133" si="10">IF(T125=0,0,S125/T125-1)</f>
        <v>-0.57919261079820983</v>
      </c>
      <c r="V125" s="10"/>
      <c r="W125" s="39">
        <f>W39/$W39</f>
        <v>1</v>
      </c>
      <c r="X125" s="39" t="e">
        <f>X39/$X39</f>
        <v>#REF!</v>
      </c>
      <c r="Y125" s="40" t="e">
        <f t="shared" ref="Y125:Y133" si="11">(W125-X125)*100</f>
        <v>#REF!</v>
      </c>
      <c r="Z125" s="35">
        <f>C125+G125-'Syn prin concurents'!E127</f>
        <v>0.62346954147999556</v>
      </c>
      <c r="AA125" s="35" t="e">
        <f>D125+H125-'Syn prin concurents'!F127</f>
        <v>#REF!</v>
      </c>
      <c r="AB125" s="35">
        <f>K125-'Syn prin concurents'!I127</f>
        <v>0.34953319937165911</v>
      </c>
      <c r="AC125" s="35" t="e">
        <f>L125-'Syn prin concurents'!J127</f>
        <v>#REF!</v>
      </c>
      <c r="AD125" s="35">
        <f>O125-'Syn prin concurents'!M127</f>
        <v>605147.41100000031</v>
      </c>
      <c r="AE125" s="35">
        <f>P125-'Syn prin concurents'!N127</f>
        <v>265055.29973000009</v>
      </c>
      <c r="AF125" s="35">
        <f>S125-'Syn prin concurents'!Q127</f>
        <v>74028.191999999995</v>
      </c>
      <c r="AG125" s="35">
        <f>T125-'Syn prin concurents'!R127</f>
        <v>175919.42038</v>
      </c>
      <c r="AH125" s="35">
        <f>W125-'Syn prin concurents'!U127</f>
        <v>1</v>
      </c>
      <c r="AI125" s="35" t="e">
        <f>X125-'Syn prin concurents'!V127</f>
        <v>#REF!</v>
      </c>
    </row>
    <row r="126" spans="1:35" ht="23.5" x14ac:dyDescent="0.55000000000000004">
      <c r="B126" s="7"/>
      <c r="C126" s="39">
        <f>C41/$W41</f>
        <v>0.27581052182349119</v>
      </c>
      <c r="D126" s="39" t="e">
        <f>D41/$X41</f>
        <v>#REF!</v>
      </c>
      <c r="E126" s="40" t="e">
        <f t="shared" si="6"/>
        <v>#REF!</v>
      </c>
      <c r="F126" s="10"/>
      <c r="G126" s="39">
        <f>G41/$W41</f>
        <v>0.52550257253532673</v>
      </c>
      <c r="H126" s="39" t="e">
        <f>H41/$X41</f>
        <v>#REF!</v>
      </c>
      <c r="I126" s="40" t="e">
        <f t="shared" si="7"/>
        <v>#REF!</v>
      </c>
      <c r="J126" s="10"/>
      <c r="K126" s="39">
        <f>K41/$W41</f>
        <v>0.19846035498073394</v>
      </c>
      <c r="L126" s="39" t="e">
        <f>L41/$X41</f>
        <v>#REF!</v>
      </c>
      <c r="M126" s="40" t="e">
        <f t="shared" si="8"/>
        <v>#REF!</v>
      </c>
      <c r="N126" s="10"/>
      <c r="O126" s="8">
        <f>WAFASALAF!$B$48-WAFASALAF!$B$41</f>
        <v>605147.41100000031</v>
      </c>
      <c r="P126" s="8">
        <f>[9]WAFASALAF!$B$47-[9]WAFASALAF!$B$41</f>
        <v>265055.29973000009</v>
      </c>
      <c r="Q126" s="9">
        <f t="shared" si="9"/>
        <v>1.2830987028610132</v>
      </c>
      <c r="R126" s="10"/>
      <c r="S126" s="8">
        <f>WAFASALAF!$B$55</f>
        <v>74028.191999999995</v>
      </c>
      <c r="T126" s="8">
        <f>[9]WAFASALAF!$B$55</f>
        <v>175919.42038</v>
      </c>
      <c r="U126" s="9">
        <f t="shared" si="10"/>
        <v>-0.57919261079820983</v>
      </c>
      <c r="V126" s="10"/>
      <c r="W126" s="39">
        <f>W41/$W41</f>
        <v>1</v>
      </c>
      <c r="X126" s="39" t="e">
        <f>X41/$X41</f>
        <v>#REF!</v>
      </c>
      <c r="Y126" s="40" t="e">
        <f t="shared" si="11"/>
        <v>#REF!</v>
      </c>
      <c r="Z126" s="35">
        <f>C126+G126-'Syn prin concurents'!E129</f>
        <v>0.80131309435881792</v>
      </c>
      <c r="AA126" s="35" t="e">
        <f>D126+H126-'Syn prin concurents'!F129</f>
        <v>#REF!</v>
      </c>
      <c r="AB126" s="35">
        <f>K126-'Syn prin concurents'!I128</f>
        <v>0.19846035498073394</v>
      </c>
      <c r="AC126" s="35" t="e">
        <f>L126-'Syn prin concurents'!J128</f>
        <v>#REF!</v>
      </c>
      <c r="AD126" s="35">
        <f>O126-'Syn prin concurents'!M129</f>
        <v>605147.41100000031</v>
      </c>
      <c r="AE126" s="35">
        <f>P126-'Syn prin concurents'!N129</f>
        <v>265055.29973000009</v>
      </c>
      <c r="AF126" s="35">
        <f>S126-'Syn prin concurents'!Q129</f>
        <v>74028.191999999995</v>
      </c>
      <c r="AG126" s="35">
        <f>T126-'Syn prin concurents'!R129</f>
        <v>175919.42038</v>
      </c>
      <c r="AH126" s="35">
        <f>W126-'Syn prin concurents'!U129</f>
        <v>1</v>
      </c>
      <c r="AI126" s="35" t="e">
        <f>X126-'Syn prin concurents'!V129</f>
        <v>#REF!</v>
      </c>
    </row>
    <row r="127" spans="1:35" ht="23.5" x14ac:dyDescent="0.55000000000000004">
      <c r="B127" s="7"/>
      <c r="C127" s="39">
        <f>C47/$W47</f>
        <v>0.67626581859865642</v>
      </c>
      <c r="D127" s="39" t="e">
        <f>D47/$X47</f>
        <v>#REF!</v>
      </c>
      <c r="E127" s="40" t="e">
        <f t="shared" si="6"/>
        <v>#REF!</v>
      </c>
      <c r="F127" s="10"/>
      <c r="G127" s="39">
        <f>G47/$W47</f>
        <v>0.32373418140134358</v>
      </c>
      <c r="H127" s="39" t="e">
        <f>H47/$X47</f>
        <v>#REF!</v>
      </c>
      <c r="I127" s="40" t="e">
        <f t="shared" si="7"/>
        <v>#REF!</v>
      </c>
      <c r="J127" s="10"/>
      <c r="K127" s="39">
        <f>K47/$W47</f>
        <v>0</v>
      </c>
      <c r="L127" s="39" t="e">
        <f>L47/$X47</f>
        <v>#REF!</v>
      </c>
      <c r="M127" s="40" t="e">
        <f t="shared" si="8"/>
        <v>#REF!</v>
      </c>
      <c r="N127" s="10"/>
      <c r="O127" s="8">
        <f>WAFASALAF!$B$48-WAFASALAF!$B$41</f>
        <v>605147.41100000031</v>
      </c>
      <c r="P127" s="8">
        <f>[9]WAFASALAF!$B$47-[9]WAFASALAF!$B$41</f>
        <v>265055.29973000009</v>
      </c>
      <c r="Q127" s="9">
        <f t="shared" si="9"/>
        <v>1.2830987028610132</v>
      </c>
      <c r="R127" s="10"/>
      <c r="S127" s="8">
        <f>WAFASALAF!$B$55</f>
        <v>74028.191999999995</v>
      </c>
      <c r="T127" s="8">
        <f>[9]WAFASALAF!$B$55</f>
        <v>175919.42038</v>
      </c>
      <c r="U127" s="9">
        <f t="shared" si="10"/>
        <v>-0.57919261079820983</v>
      </c>
      <c r="V127" s="10"/>
      <c r="W127" s="39">
        <f>W47/$W47</f>
        <v>1</v>
      </c>
      <c r="X127" s="39" t="e">
        <f>X47/$X47</f>
        <v>#REF!</v>
      </c>
      <c r="Y127" s="40" t="e">
        <f t="shared" si="11"/>
        <v>#REF!</v>
      </c>
      <c r="Z127" s="35">
        <f>C127+G127-'Syn prin concurents'!E131</f>
        <v>1</v>
      </c>
      <c r="AA127" s="35" t="e">
        <f>D127+H127-'Syn prin concurents'!F131</f>
        <v>#REF!</v>
      </c>
      <c r="AB127" s="35">
        <f>K127-'Syn prin concurents'!I129</f>
        <v>0</v>
      </c>
      <c r="AC127" s="35" t="e">
        <f>L127-'Syn prin concurents'!J129</f>
        <v>#REF!</v>
      </c>
      <c r="AD127" s="35">
        <f>O127-'Syn prin concurents'!M131</f>
        <v>605147.41100000031</v>
      </c>
      <c r="AE127" s="35">
        <f>P127-'Syn prin concurents'!N131</f>
        <v>265055.29973000009</v>
      </c>
      <c r="AF127" s="35">
        <f>S127-'Syn prin concurents'!Q131</f>
        <v>74028.191999999995</v>
      </c>
      <c r="AG127" s="35">
        <f>T127-'Syn prin concurents'!R131</f>
        <v>175919.42038</v>
      </c>
      <c r="AH127" s="35">
        <f>W127-'Syn prin concurents'!U131</f>
        <v>1</v>
      </c>
      <c r="AI127" s="35" t="e">
        <f>X127-'Syn prin concurents'!V131</f>
        <v>#REF!</v>
      </c>
    </row>
    <row r="128" spans="1:35" ht="23.5" x14ac:dyDescent="0.55000000000000004">
      <c r="B128" s="7"/>
      <c r="C128" s="39">
        <f>C45/$W45</f>
        <v>0.10353469649295549</v>
      </c>
      <c r="D128" s="39" t="e">
        <f>D45/$X45</f>
        <v>#REF!</v>
      </c>
      <c r="E128" s="40" t="e">
        <f t="shared" si="6"/>
        <v>#REF!</v>
      </c>
      <c r="F128" s="10"/>
      <c r="G128" s="39">
        <f>G45/$W45</f>
        <v>0.42780746836763606</v>
      </c>
      <c r="H128" s="39" t="e">
        <f>H45/$X45</f>
        <v>#REF!</v>
      </c>
      <c r="I128" s="40" t="e">
        <f t="shared" si="7"/>
        <v>#REF!</v>
      </c>
      <c r="J128" s="10"/>
      <c r="K128" s="39">
        <f>K45/$W45</f>
        <v>0.46850278395708567</v>
      </c>
      <c r="L128" s="39" t="e">
        <f>L45/$X45</f>
        <v>#REF!</v>
      </c>
      <c r="M128" s="40" t="e">
        <f t="shared" si="8"/>
        <v>#REF!</v>
      </c>
      <c r="N128" s="10"/>
      <c r="O128" s="8">
        <f>WAFASALAF!$B$48-WAFASALAF!$B$41</f>
        <v>605147.41100000031</v>
      </c>
      <c r="P128" s="8">
        <f>[9]WAFASALAF!$B$47-[9]WAFASALAF!$B$41</f>
        <v>265055.29973000009</v>
      </c>
      <c r="Q128" s="9">
        <f t="shared" si="9"/>
        <v>1.2830987028610132</v>
      </c>
      <c r="R128" s="10"/>
      <c r="S128" s="8">
        <f>WAFASALAF!$B$55</f>
        <v>74028.191999999995</v>
      </c>
      <c r="T128" s="8">
        <f>[9]WAFASALAF!$B$55</f>
        <v>175919.42038</v>
      </c>
      <c r="U128" s="9">
        <f t="shared" si="10"/>
        <v>-0.57919261079820983</v>
      </c>
      <c r="V128" s="10"/>
      <c r="W128" s="39">
        <f>W45/$W45</f>
        <v>1</v>
      </c>
      <c r="X128" s="39" t="e">
        <f>X45/$X45</f>
        <v>#REF!</v>
      </c>
      <c r="Y128" s="40" t="e">
        <f t="shared" si="11"/>
        <v>#REF!</v>
      </c>
      <c r="Z128" s="35">
        <f>C128+G128-'Syn prin concurents'!E133</f>
        <v>0.5313421648605916</v>
      </c>
      <c r="AA128" s="35" t="e">
        <f>D128+H128-'Syn prin concurents'!F133</f>
        <v>#REF!</v>
      </c>
      <c r="AB128" s="35">
        <f>K128-'Syn prin concurents'!I130</f>
        <v>0.46850278395708567</v>
      </c>
      <c r="AC128" s="35" t="e">
        <f>L128-'Syn prin concurents'!J130</f>
        <v>#REF!</v>
      </c>
      <c r="AD128" s="35">
        <f>O128-'Syn prin concurents'!M133</f>
        <v>605147.41100000031</v>
      </c>
      <c r="AE128" s="35">
        <f>P128-'Syn prin concurents'!N133</f>
        <v>265055.29973000009</v>
      </c>
      <c r="AF128" s="35">
        <f>S128-'Syn prin concurents'!Q133</f>
        <v>74028.191999999995</v>
      </c>
      <c r="AG128" s="35">
        <f>T128-'Syn prin concurents'!R133</f>
        <v>175919.42038</v>
      </c>
      <c r="AH128" s="35">
        <f>W128-'Syn prin concurents'!U133</f>
        <v>1</v>
      </c>
      <c r="AI128" s="35" t="e">
        <f>X128-'Syn prin concurents'!V133</f>
        <v>#REF!</v>
      </c>
    </row>
    <row r="129" spans="1:35" ht="23.5" x14ac:dyDescent="0.55000000000000004">
      <c r="B129" s="7"/>
      <c r="C129" s="39">
        <f>C49/$W49</f>
        <v>9.1608311631333844E-2</v>
      </c>
      <c r="D129" s="39" t="e">
        <f>D49/$X49</f>
        <v>#REF!</v>
      </c>
      <c r="E129" s="40" t="e">
        <f t="shared" si="6"/>
        <v>#REF!</v>
      </c>
      <c r="F129" s="10"/>
      <c r="G129" s="39">
        <f>G49/$W49</f>
        <v>0.4650333733324542</v>
      </c>
      <c r="H129" s="39" t="e">
        <f>H49/$X49</f>
        <v>#REF!</v>
      </c>
      <c r="I129" s="40" t="e">
        <f t="shared" si="7"/>
        <v>#REF!</v>
      </c>
      <c r="J129" s="10"/>
      <c r="K129" s="39">
        <f>K49/$W49</f>
        <v>0.38281008380724924</v>
      </c>
      <c r="L129" s="39" t="e">
        <f>L49/$X49</f>
        <v>#REF!</v>
      </c>
      <c r="M129" s="40" t="e">
        <f t="shared" si="8"/>
        <v>#REF!</v>
      </c>
      <c r="N129" s="10"/>
      <c r="O129" s="8">
        <f>WAFASALAF!$B$48-WAFASALAF!$B$41</f>
        <v>605147.41100000031</v>
      </c>
      <c r="P129" s="8">
        <f>[9]WAFASALAF!$B$47-[9]WAFASALAF!$B$41</f>
        <v>265055.29973000009</v>
      </c>
      <c r="Q129" s="9">
        <f t="shared" si="9"/>
        <v>1.2830987028610132</v>
      </c>
      <c r="R129" s="10"/>
      <c r="S129" s="8">
        <f>WAFASALAF!$B$55</f>
        <v>74028.191999999995</v>
      </c>
      <c r="T129" s="8">
        <f>[9]WAFASALAF!$B$55</f>
        <v>175919.42038</v>
      </c>
      <c r="U129" s="9">
        <f t="shared" si="10"/>
        <v>-0.57919261079820983</v>
      </c>
      <c r="V129" s="10"/>
      <c r="W129" s="39">
        <f>W49/$W49</f>
        <v>1</v>
      </c>
      <c r="X129" s="39" t="e">
        <f>X49/$X49</f>
        <v>#REF!</v>
      </c>
      <c r="Y129" s="40" t="e">
        <f t="shared" si="11"/>
        <v>#REF!</v>
      </c>
      <c r="Z129" s="35">
        <f>C129+G129-'Syn prin concurents'!E135</f>
        <v>0.55664168496378807</v>
      </c>
      <c r="AA129" s="35" t="e">
        <f>D129+H129-'Syn prin concurents'!F135</f>
        <v>#REF!</v>
      </c>
      <c r="AB129" s="35">
        <f>K129-'Syn prin concurents'!I131</f>
        <v>0.38281008380724924</v>
      </c>
      <c r="AC129" s="35" t="e">
        <f>L129-'Syn prin concurents'!J131</f>
        <v>#REF!</v>
      </c>
      <c r="AD129" s="35">
        <f>O129-'Syn prin concurents'!M135</f>
        <v>605147.41100000031</v>
      </c>
      <c r="AE129" s="35">
        <f>P129-'Syn prin concurents'!N135</f>
        <v>265055.29973000009</v>
      </c>
      <c r="AF129" s="35">
        <f>S129-'Syn prin concurents'!Q135</f>
        <v>74028.191999999995</v>
      </c>
      <c r="AG129" s="35">
        <f>T129-'Syn prin concurents'!R135</f>
        <v>175919.42038</v>
      </c>
      <c r="AH129" s="35">
        <f>W129-'Syn prin concurents'!U135</f>
        <v>1</v>
      </c>
      <c r="AI129" s="35" t="e">
        <f>X129-'Syn prin concurents'!V135</f>
        <v>#REF!</v>
      </c>
    </row>
    <row r="130" spans="1:35" ht="23.5" x14ac:dyDescent="0.55000000000000004">
      <c r="B130" s="7"/>
      <c r="C130" s="39" t="e">
        <f>#REF!/#REF!</f>
        <v>#REF!</v>
      </c>
      <c r="D130" s="39" t="e">
        <f>#REF!/#REF!</f>
        <v>#REF!</v>
      </c>
      <c r="E130" s="40" t="e">
        <f t="shared" si="6"/>
        <v>#REF!</v>
      </c>
      <c r="F130" s="10"/>
      <c r="G130" s="39" t="e">
        <f>#REF!/#REF!</f>
        <v>#REF!</v>
      </c>
      <c r="H130" s="39" t="e">
        <f>#REF!/#REF!</f>
        <v>#REF!</v>
      </c>
      <c r="I130" s="40" t="e">
        <f t="shared" si="7"/>
        <v>#REF!</v>
      </c>
      <c r="J130" s="10"/>
      <c r="K130" s="39" t="e">
        <f>#REF!/#REF!</f>
        <v>#REF!</v>
      </c>
      <c r="L130" s="39" t="e">
        <f>#REF!/#REF!</f>
        <v>#REF!</v>
      </c>
      <c r="M130" s="40" t="e">
        <f t="shared" si="8"/>
        <v>#REF!</v>
      </c>
      <c r="N130" s="10"/>
      <c r="O130" s="8">
        <f>WAFASALAF!$B$48-WAFASALAF!$B$41</f>
        <v>605147.41100000031</v>
      </c>
      <c r="P130" s="8">
        <f>[9]WAFASALAF!$B$47-[9]WAFASALAF!$B$41</f>
        <v>265055.29973000009</v>
      </c>
      <c r="Q130" s="9">
        <f t="shared" si="9"/>
        <v>1.2830987028610132</v>
      </c>
      <c r="R130" s="10"/>
      <c r="S130" s="8">
        <f>WAFASALAF!$B$55</f>
        <v>74028.191999999995</v>
      </c>
      <c r="T130" s="8">
        <f>[9]WAFASALAF!$B$55</f>
        <v>175919.42038</v>
      </c>
      <c r="U130" s="9">
        <f t="shared" si="10"/>
        <v>-0.57919261079820983</v>
      </c>
      <c r="V130" s="10"/>
      <c r="W130" s="39" t="e">
        <f>#REF!/#REF!</f>
        <v>#REF!</v>
      </c>
      <c r="X130" s="39" t="e">
        <f>#REF!/#REF!</f>
        <v>#REF!</v>
      </c>
      <c r="Y130" s="40" t="e">
        <f t="shared" si="11"/>
        <v>#REF!</v>
      </c>
      <c r="Z130" s="35" t="e">
        <f>C130+G130-'Syn prin concurents'!E137</f>
        <v>#REF!</v>
      </c>
      <c r="AA130" s="35" t="e">
        <f>D130+H130-'Syn prin concurents'!F137</f>
        <v>#REF!</v>
      </c>
      <c r="AB130" s="35" t="e">
        <f>K130-'Syn prin concurents'!I132</f>
        <v>#REF!</v>
      </c>
      <c r="AC130" s="35" t="e">
        <f>L130-'Syn prin concurents'!J132</f>
        <v>#REF!</v>
      </c>
      <c r="AD130" s="35">
        <f>O130-'Syn prin concurents'!M137</f>
        <v>605147.41100000031</v>
      </c>
      <c r="AE130" s="35">
        <f>P130-'Syn prin concurents'!N137</f>
        <v>265055.29973000009</v>
      </c>
      <c r="AF130" s="35">
        <f>S130-'Syn prin concurents'!Q137</f>
        <v>74028.191999999995</v>
      </c>
      <c r="AG130" s="35">
        <f>T130-'Syn prin concurents'!R137</f>
        <v>175919.42038</v>
      </c>
      <c r="AH130" s="35" t="e">
        <f>W130-'Syn prin concurents'!U137</f>
        <v>#REF!</v>
      </c>
      <c r="AI130" s="35" t="e">
        <f>X130-'Syn prin concurents'!V137</f>
        <v>#REF!</v>
      </c>
    </row>
    <row r="131" spans="1:35" ht="23.5" x14ac:dyDescent="0.55000000000000004">
      <c r="B131" s="7"/>
      <c r="C131" s="39">
        <f>C51/$W51</f>
        <v>2.5884203820060558E-3</v>
      </c>
      <c r="D131" s="39" t="e">
        <f>D51/$X51</f>
        <v>#REF!</v>
      </c>
      <c r="E131" s="40" t="e">
        <f t="shared" si="6"/>
        <v>#REF!</v>
      </c>
      <c r="F131" s="10"/>
      <c r="G131" s="39">
        <f>G51/$W51</f>
        <v>3.589087927852602E-3</v>
      </c>
      <c r="H131" s="39" t="e">
        <f>H51/$X51</f>
        <v>#REF!</v>
      </c>
      <c r="I131" s="40" t="e">
        <f t="shared" si="7"/>
        <v>#REF!</v>
      </c>
      <c r="J131" s="10"/>
      <c r="K131" s="39">
        <f>K51/$W51</f>
        <v>0.99382249169014125</v>
      </c>
      <c r="L131" s="39" t="e">
        <f>L51/$X51</f>
        <v>#REF!</v>
      </c>
      <c r="M131" s="40" t="e">
        <f t="shared" si="8"/>
        <v>#REF!</v>
      </c>
      <c r="N131" s="10"/>
      <c r="O131" s="8">
        <f>WAFASALAF!$B$48-WAFASALAF!$B$41</f>
        <v>605147.41100000031</v>
      </c>
      <c r="P131" s="8">
        <f>[9]WAFASALAF!$B$47-[9]WAFASALAF!$B$41</f>
        <v>265055.29973000009</v>
      </c>
      <c r="Q131" s="9">
        <f t="shared" si="9"/>
        <v>1.2830987028610132</v>
      </c>
      <c r="R131" s="10"/>
      <c r="S131" s="8">
        <f>WAFASALAF!$B$55</f>
        <v>74028.191999999995</v>
      </c>
      <c r="T131" s="8">
        <f>[9]WAFASALAF!$B$55</f>
        <v>175919.42038</v>
      </c>
      <c r="U131" s="9">
        <f t="shared" si="10"/>
        <v>-0.57919261079820983</v>
      </c>
      <c r="V131" s="10"/>
      <c r="W131" s="39">
        <f>W51/$W51</f>
        <v>1</v>
      </c>
      <c r="X131" s="39" t="e">
        <f>X51/$X51</f>
        <v>#REF!</v>
      </c>
      <c r="Y131" s="40" t="e">
        <f t="shared" si="11"/>
        <v>#REF!</v>
      </c>
      <c r="Z131" s="35">
        <f>C131+G131-'Syn prin concurents'!E139</f>
        <v>6.1775083098586578E-3</v>
      </c>
      <c r="AA131" s="35" t="e">
        <f>D131+H131-'Syn prin concurents'!F139</f>
        <v>#REF!</v>
      </c>
      <c r="AB131" s="35">
        <f>K131-'Syn prin concurents'!I133</f>
        <v>0.99382249169014125</v>
      </c>
      <c r="AC131" s="35" t="e">
        <f>L131-'Syn prin concurents'!J133</f>
        <v>#REF!</v>
      </c>
      <c r="AD131" s="35">
        <f>O131-'Syn prin concurents'!M139</f>
        <v>605147.41100000031</v>
      </c>
      <c r="AE131" s="35">
        <f>P131-'Syn prin concurents'!N139</f>
        <v>265055.29973000009</v>
      </c>
      <c r="AF131" s="35">
        <f>S131-'Syn prin concurents'!Q139</f>
        <v>74028.191999999995</v>
      </c>
      <c r="AG131" s="35">
        <f>T131-'Syn prin concurents'!R139</f>
        <v>175919.42038</v>
      </c>
      <c r="AH131" s="35">
        <f>W131-'Syn prin concurents'!U139</f>
        <v>1</v>
      </c>
      <c r="AI131" s="35" t="e">
        <f>X131-'Syn prin concurents'!V139</f>
        <v>#REF!</v>
      </c>
    </row>
    <row r="132" spans="1:35" ht="24" thickBot="1" x14ac:dyDescent="0.6">
      <c r="B132" s="37"/>
      <c r="C132" s="41">
        <f>C43/$W43</f>
        <v>0.32624951577052913</v>
      </c>
      <c r="D132" s="41" t="e">
        <f>D43/$X43</f>
        <v>#REF!</v>
      </c>
      <c r="E132" s="42" t="e">
        <f t="shared" si="6"/>
        <v>#REF!</v>
      </c>
      <c r="F132" s="43"/>
      <c r="G132" s="41">
        <f>G43/$W43</f>
        <v>0.34089044078644765</v>
      </c>
      <c r="H132" s="41" t="e">
        <f>H43/$X43</f>
        <v>#REF!</v>
      </c>
      <c r="I132" s="42" t="e">
        <f t="shared" si="7"/>
        <v>#REF!</v>
      </c>
      <c r="J132" s="43"/>
      <c r="K132" s="41">
        <f>K43/$W43</f>
        <v>0.33286004344302317</v>
      </c>
      <c r="L132" s="41" t="e">
        <f>L43/$X43</f>
        <v>#REF!</v>
      </c>
      <c r="M132" s="42" t="e">
        <f t="shared" si="8"/>
        <v>#REF!</v>
      </c>
      <c r="N132" s="43"/>
      <c r="O132" s="44">
        <f>WAFASALAF!$B$48-WAFASALAF!$B$41</f>
        <v>605147.41100000031</v>
      </c>
      <c r="P132" s="44">
        <f>[9]WAFASALAF!$B$47-[9]WAFASALAF!$B$41</f>
        <v>265055.29973000009</v>
      </c>
      <c r="Q132" s="45">
        <f t="shared" si="9"/>
        <v>1.2830987028610132</v>
      </c>
      <c r="R132" s="43"/>
      <c r="S132" s="44">
        <f>WAFASALAF!$B$55</f>
        <v>74028.191999999995</v>
      </c>
      <c r="T132" s="44">
        <f>[9]WAFASALAF!$B$55</f>
        <v>175919.42038</v>
      </c>
      <c r="U132" s="45">
        <f t="shared" si="10"/>
        <v>-0.57919261079820983</v>
      </c>
      <c r="V132" s="43"/>
      <c r="W132" s="41">
        <f>W43/$W43</f>
        <v>1</v>
      </c>
      <c r="X132" s="41" t="e">
        <f>X43/$X43</f>
        <v>#REF!</v>
      </c>
      <c r="Y132" s="42" t="e">
        <f t="shared" si="11"/>
        <v>#REF!</v>
      </c>
      <c r="Z132" s="35">
        <f>C132+G132-'Syn prin concurents'!E141</f>
        <v>0.66713995655697678</v>
      </c>
      <c r="AA132" s="35" t="e">
        <f>D132+H132-'Syn prin concurents'!F141</f>
        <v>#REF!</v>
      </c>
      <c r="AB132" s="35">
        <f>K132-'Syn prin concurents'!I134</f>
        <v>0.33286004344302317</v>
      </c>
      <c r="AC132" s="35" t="e">
        <f>L132-'Syn prin concurents'!J134</f>
        <v>#REF!</v>
      </c>
      <c r="AD132" s="35">
        <f>O132-'Syn prin concurents'!M141</f>
        <v>605147.41100000031</v>
      </c>
      <c r="AE132" s="35">
        <f>P132-'Syn prin concurents'!N141</f>
        <v>265055.29973000009</v>
      </c>
      <c r="AF132" s="35">
        <f>S132-'Syn prin concurents'!Q141</f>
        <v>74028.191999999995</v>
      </c>
      <c r="AG132" s="35">
        <f>T132-'Syn prin concurents'!R141</f>
        <v>175919.42038</v>
      </c>
      <c r="AH132" s="35">
        <f>W132-'Syn prin concurents'!U141</f>
        <v>1</v>
      </c>
      <c r="AI132" s="35" t="e">
        <f>X132-'Syn prin concurents'!V141</f>
        <v>#REF!</v>
      </c>
    </row>
    <row r="133" spans="1:35" ht="26.5" thickBot="1" x14ac:dyDescent="0.65">
      <c r="B133" s="38"/>
      <c r="C133" s="46">
        <f>C53/$W53</f>
        <v>0.24717809877602553</v>
      </c>
      <c r="D133" s="46" t="e">
        <f>D53/$X53</f>
        <v>#REF!</v>
      </c>
      <c r="E133" s="47" t="e">
        <f t="shared" si="6"/>
        <v>#REF!</v>
      </c>
      <c r="F133" s="3"/>
      <c r="G133" s="46">
        <f>G53/$W53</f>
        <v>0.43093995478291613</v>
      </c>
      <c r="H133" s="46" t="e">
        <f>H53/$X53</f>
        <v>#REF!</v>
      </c>
      <c r="I133" s="47" t="e">
        <f t="shared" si="7"/>
        <v>#REF!</v>
      </c>
      <c r="J133" s="3"/>
      <c r="K133" s="46">
        <f>K53/$W53</f>
        <v>0.31181983731766799</v>
      </c>
      <c r="L133" s="46" t="e">
        <f>L53/$X53</f>
        <v>#REF!</v>
      </c>
      <c r="M133" s="47" t="e">
        <f t="shared" si="8"/>
        <v>#REF!</v>
      </c>
      <c r="N133" s="3"/>
      <c r="O133" s="24">
        <f>WAFASALAF!$B$48-WAFASALAF!$B$41</f>
        <v>605147.41100000031</v>
      </c>
      <c r="P133" s="24">
        <f>[9]WAFASALAF!$B$47-[9]WAFASALAF!$B$41</f>
        <v>265055.29973000009</v>
      </c>
      <c r="Q133" s="25">
        <f t="shared" si="9"/>
        <v>1.2830987028610132</v>
      </c>
      <c r="R133" s="3"/>
      <c r="S133" s="24">
        <f>WAFASALAF!$B$55</f>
        <v>74028.191999999995</v>
      </c>
      <c r="T133" s="24">
        <f>[9]WAFASALAF!$B$55</f>
        <v>175919.42038</v>
      </c>
      <c r="U133" s="25">
        <f t="shared" si="10"/>
        <v>-0.57919261079820983</v>
      </c>
      <c r="V133" s="3"/>
      <c r="W133" s="46">
        <f>W53/$W53</f>
        <v>1</v>
      </c>
      <c r="X133" s="46" t="e">
        <f>X53/$X53</f>
        <v>#REF!</v>
      </c>
      <c r="Y133" s="47" t="e">
        <f t="shared" si="11"/>
        <v>#REF!</v>
      </c>
      <c r="Z133" s="35">
        <f>C133+G133-'Syn prin concurents'!E143</f>
        <v>0.67811805355894172</v>
      </c>
      <c r="AA133" s="35" t="e">
        <f>D133+H133-'Syn prin concurents'!F143</f>
        <v>#REF!</v>
      </c>
      <c r="AB133" s="35">
        <f>K133-'Syn prin concurents'!I135</f>
        <v>0.31181983731766799</v>
      </c>
      <c r="AC133" s="35" t="e">
        <f>L133-'Syn prin concurents'!J135</f>
        <v>#REF!</v>
      </c>
      <c r="AD133" s="35">
        <f>O133-'Syn prin concurents'!M143</f>
        <v>605147.41100000031</v>
      </c>
      <c r="AE133" s="35">
        <f>P133-'Syn prin concurents'!N143</f>
        <v>265055.29973000009</v>
      </c>
      <c r="AF133" s="35">
        <f>S133-'Syn prin concurents'!Q143</f>
        <v>74028.191999999995</v>
      </c>
      <c r="AG133" s="35">
        <f>T133-'Syn prin concurents'!R143</f>
        <v>175919.42038</v>
      </c>
      <c r="AH133" s="35">
        <f>W133-'Syn prin concurents'!U143</f>
        <v>1</v>
      </c>
      <c r="AI133" s="35" t="e">
        <f>X133-'Syn prin concurents'!V143</f>
        <v>#REF!</v>
      </c>
    </row>
    <row r="137" spans="1:35" ht="27.5" x14ac:dyDescent="0.25">
      <c r="A137" s="762"/>
      <c r="B137" s="762"/>
      <c r="C137" s="762"/>
      <c r="D137" s="762"/>
      <c r="E137" s="762"/>
      <c r="F137" s="762"/>
      <c r="G137" s="762"/>
      <c r="H137" s="762"/>
      <c r="I137" s="762"/>
      <c r="J137" s="762"/>
      <c r="K137" s="762"/>
      <c r="L137" s="762"/>
      <c r="M137" s="762"/>
      <c r="N137" s="762"/>
      <c r="O137" s="762"/>
      <c r="P137" s="762"/>
      <c r="Q137" s="762"/>
      <c r="R137" s="762"/>
      <c r="S137" s="762"/>
      <c r="T137" s="762"/>
      <c r="U137" s="762"/>
      <c r="V137" s="762"/>
      <c r="W137" s="762"/>
      <c r="X137" s="762"/>
      <c r="Y137" s="762"/>
    </row>
    <row r="139" spans="1:35" ht="25" x14ac:dyDescent="0.5">
      <c r="C139" s="761" t="s">
        <v>72</v>
      </c>
      <c r="D139" s="761"/>
      <c r="E139" s="761"/>
      <c r="F139" s="3"/>
      <c r="G139" s="761" t="s">
        <v>73</v>
      </c>
      <c r="H139" s="761"/>
      <c r="I139" s="761"/>
      <c r="J139" s="3"/>
      <c r="K139" s="761" t="s">
        <v>84</v>
      </c>
      <c r="L139" s="761"/>
      <c r="M139" s="761"/>
      <c r="N139" s="3"/>
      <c r="O139" s="761" t="s">
        <v>59</v>
      </c>
      <c r="P139" s="761"/>
      <c r="Q139" s="761"/>
      <c r="R139" s="3"/>
      <c r="S139" s="761" t="s">
        <v>60</v>
      </c>
      <c r="T139" s="761"/>
      <c r="U139" s="761"/>
      <c r="V139" s="3"/>
      <c r="W139" s="761" t="s">
        <v>61</v>
      </c>
      <c r="X139" s="761"/>
      <c r="Y139" s="761"/>
    </row>
    <row r="140" spans="1:35" ht="6.75" customHeight="1" x14ac:dyDescent="0.4">
      <c r="C140" s="562"/>
      <c r="D140" s="562"/>
      <c r="E140" s="562"/>
      <c r="G140" s="562"/>
      <c r="H140" s="562"/>
      <c r="I140" s="562"/>
      <c r="K140" s="562"/>
      <c r="L140" s="562"/>
      <c r="M140" s="562"/>
      <c r="O140" s="562"/>
      <c r="P140" s="562"/>
      <c r="Q140" s="562"/>
      <c r="S140" s="562"/>
      <c r="T140" s="562"/>
      <c r="U140" s="562"/>
      <c r="W140" s="562"/>
      <c r="X140" s="562"/>
      <c r="Y140" s="562"/>
    </row>
    <row r="141" spans="1:35" ht="24.75" customHeight="1" x14ac:dyDescent="0.5">
      <c r="B141" s="5"/>
      <c r="C141" s="559">
        <f>C122</f>
        <v>46082</v>
      </c>
      <c r="D141" s="558">
        <f>D13</f>
        <v>45722</v>
      </c>
      <c r="E141" s="560" t="s">
        <v>62</v>
      </c>
      <c r="F141" s="3"/>
      <c r="G141" s="559">
        <f>C141</f>
        <v>46082</v>
      </c>
      <c r="H141" s="558">
        <f>D141</f>
        <v>45722</v>
      </c>
      <c r="I141" s="560" t="s">
        <v>62</v>
      </c>
      <c r="J141" s="3"/>
      <c r="K141" s="559">
        <f>G141</f>
        <v>46082</v>
      </c>
      <c r="L141" s="558">
        <f>H141</f>
        <v>45722</v>
      </c>
      <c r="M141" s="560" t="s">
        <v>62</v>
      </c>
      <c r="N141" s="3"/>
      <c r="O141" s="559">
        <f>K141</f>
        <v>46082</v>
      </c>
      <c r="P141" s="558">
        <f>L141</f>
        <v>45722</v>
      </c>
      <c r="Q141" s="560" t="s">
        <v>62</v>
      </c>
      <c r="R141" s="3"/>
      <c r="S141" s="559">
        <f>O141</f>
        <v>46082</v>
      </c>
      <c r="T141" s="558">
        <f>P141</f>
        <v>45722</v>
      </c>
      <c r="U141" s="560" t="s">
        <v>62</v>
      </c>
      <c r="V141" s="3"/>
      <c r="W141" s="559">
        <f>S141</f>
        <v>46082</v>
      </c>
      <c r="X141" s="558">
        <f>T141</f>
        <v>45722</v>
      </c>
      <c r="Y141" s="560" t="s">
        <v>62</v>
      </c>
    </row>
    <row r="142" spans="1:35" ht="6.75" customHeight="1" x14ac:dyDescent="0.4">
      <c r="C142" s="562"/>
      <c r="D142" s="562"/>
      <c r="E142" s="562"/>
      <c r="G142" s="562"/>
      <c r="H142" s="562"/>
      <c r="I142" s="562"/>
      <c r="K142" s="562"/>
      <c r="L142" s="562"/>
      <c r="M142" s="562"/>
      <c r="O142" s="562"/>
      <c r="P142" s="562"/>
      <c r="Q142" s="562"/>
      <c r="S142" s="562"/>
      <c r="T142" s="562"/>
      <c r="U142" s="562"/>
      <c r="W142" s="562"/>
      <c r="X142" s="562"/>
      <c r="Y142" s="562"/>
    </row>
    <row r="143" spans="1:35" ht="6" customHeight="1" x14ac:dyDescent="0.25">
      <c r="B143" s="563"/>
      <c r="C143" s="563"/>
      <c r="D143" s="563"/>
      <c r="E143" s="563"/>
      <c r="G143" s="563"/>
      <c r="H143" s="563"/>
      <c r="I143" s="563"/>
      <c r="K143" s="563"/>
      <c r="L143" s="563"/>
      <c r="M143" s="563"/>
      <c r="O143" s="563"/>
      <c r="P143" s="563"/>
      <c r="Q143" s="563"/>
      <c r="S143" s="563"/>
      <c r="T143" s="563"/>
      <c r="U143" s="563"/>
      <c r="W143" s="563"/>
      <c r="X143" s="563"/>
      <c r="Y143" s="563"/>
    </row>
    <row r="144" spans="1:35" ht="23.5" x14ac:dyDescent="0.55000000000000004">
      <c r="B144" s="7"/>
      <c r="C144" s="39">
        <f>C16/$W16</f>
        <v>0.19649344679070971</v>
      </c>
      <c r="D144" s="39">
        <f>D16/$X16</f>
        <v>0.20525270718565555</v>
      </c>
      <c r="E144" s="40">
        <f t="shared" ref="E144:E152" si="12">(C144-D144)*100</f>
        <v>-0.87592603949458447</v>
      </c>
      <c r="F144" s="10"/>
      <c r="G144" s="39">
        <f>G16/$W16</f>
        <v>0.40704680099851032</v>
      </c>
      <c r="H144" s="39">
        <f>H16/$X16</f>
        <v>0.40660536072967618</v>
      </c>
      <c r="I144" s="40">
        <f t="shared" ref="I144:I152" si="13">(G144-H144)*100</f>
        <v>4.4144026883413678E-2</v>
      </c>
      <c r="J144" s="10"/>
      <c r="K144" s="39">
        <f>K16/$W16</f>
        <v>0.28345449846265919</v>
      </c>
      <c r="L144" s="39">
        <f>L16/$X16</f>
        <v>0.31441205979268855</v>
      </c>
      <c r="M144" s="40">
        <f t="shared" ref="M144:M152" si="14">(K144-L144)*100</f>
        <v>-3.095756133002936</v>
      </c>
      <c r="N144" s="10"/>
      <c r="O144" s="8">
        <f>WAFASALAF!$B$48-WAFASALAF!$B$41</f>
        <v>605147.41100000031</v>
      </c>
      <c r="P144" s="8">
        <f>[9]WAFASALAF!$B$47-[9]WAFASALAF!$B$41</f>
        <v>265055.29973000009</v>
      </c>
      <c r="Q144" s="9">
        <f t="shared" ref="Q144:Q152" si="15">IF(P144=0,0,O144/P144-1)</f>
        <v>1.2830987028610132</v>
      </c>
      <c r="R144" s="10"/>
      <c r="S144" s="8">
        <f>WAFASALAF!$B$55</f>
        <v>74028.191999999995</v>
      </c>
      <c r="T144" s="8">
        <f>[9]WAFASALAF!$B$55</f>
        <v>175919.42038</v>
      </c>
      <c r="U144" s="9">
        <f t="shared" ref="U144:U152" si="16">IF(T144=0,0,S144/T144-1)</f>
        <v>-0.57919261079820983</v>
      </c>
      <c r="V144" s="10"/>
      <c r="W144" s="39">
        <f>W16/$W16</f>
        <v>1</v>
      </c>
      <c r="X144" s="39">
        <f>X16/$X16</f>
        <v>1</v>
      </c>
      <c r="Y144" s="40">
        <f t="shared" ref="Y144:Y152" si="17">(W144-X144)*100</f>
        <v>0</v>
      </c>
      <c r="Z144" s="35">
        <f>C144+G144-'Syn prin concurents'!E154</f>
        <v>0.60354024778922</v>
      </c>
      <c r="AA144" s="35">
        <f>D144+H144-'Syn prin concurents'!F154</f>
        <v>0.6118580679153317</v>
      </c>
      <c r="AB144" s="35">
        <f>K144-'Syn prin concurents'!I154</f>
        <v>0.28345449846265919</v>
      </c>
      <c r="AC144" s="35">
        <f>L144-'Syn prin concurents'!J154</f>
        <v>0.31441205979268855</v>
      </c>
      <c r="AD144" s="35">
        <f>O144-'Syn prin concurents'!M154</f>
        <v>605147.41100000031</v>
      </c>
      <c r="AE144" s="35">
        <f>P144-'Syn prin concurents'!N154</f>
        <v>265055.29973000009</v>
      </c>
      <c r="AF144" s="35">
        <f>S144-'Syn prin concurents'!Q154</f>
        <v>74028.191999999995</v>
      </c>
      <c r="AG144" s="35">
        <f>T144-'Syn prin concurents'!R154</f>
        <v>175919.42038</v>
      </c>
      <c r="AH144" s="35">
        <f>W144-'Syn prin concurents'!U154</f>
        <v>1</v>
      </c>
      <c r="AI144" s="35">
        <f>X144-'Syn prin concurents'!V154</f>
        <v>1</v>
      </c>
    </row>
    <row r="145" spans="2:35" ht="23.5" x14ac:dyDescent="0.55000000000000004">
      <c r="B145" s="7"/>
      <c r="C145" s="39">
        <f>C18/$W18</f>
        <v>0.44775154214488111</v>
      </c>
      <c r="D145" s="39">
        <f>D18/$X18</f>
        <v>0.44094147789543053</v>
      </c>
      <c r="E145" s="40">
        <f t="shared" si="12"/>
        <v>0.68100642494505759</v>
      </c>
      <c r="F145" s="10"/>
      <c r="G145" s="39">
        <f>G18/$W18</f>
        <v>0.42222249062196066</v>
      </c>
      <c r="H145" s="39">
        <f>H18/$X18</f>
        <v>0.42481594591684407</v>
      </c>
      <c r="I145" s="40">
        <f t="shared" si="13"/>
        <v>-0.25934552948834177</v>
      </c>
      <c r="J145" s="10"/>
      <c r="K145" s="39">
        <f>K18/$W18</f>
        <v>0.12967957438447902</v>
      </c>
      <c r="L145" s="39">
        <f>L18/$X18</f>
        <v>0.13342499532643251</v>
      </c>
      <c r="M145" s="40">
        <f t="shared" si="14"/>
        <v>-0.37454209419534867</v>
      </c>
      <c r="N145" s="10"/>
      <c r="O145" s="8">
        <f>WAFASALAF!$B$48-WAFASALAF!$B$41</f>
        <v>605147.41100000031</v>
      </c>
      <c r="P145" s="8">
        <f>[9]WAFASALAF!$B$47-[9]WAFASALAF!$B$41</f>
        <v>265055.29973000009</v>
      </c>
      <c r="Q145" s="9">
        <f t="shared" si="15"/>
        <v>1.2830987028610132</v>
      </c>
      <c r="R145" s="10"/>
      <c r="S145" s="8">
        <f>WAFASALAF!$B$55</f>
        <v>74028.191999999995</v>
      </c>
      <c r="T145" s="8">
        <f>[9]WAFASALAF!$B$55</f>
        <v>175919.42038</v>
      </c>
      <c r="U145" s="9">
        <f t="shared" si="16"/>
        <v>-0.57919261079820983</v>
      </c>
      <c r="V145" s="10"/>
      <c r="W145" s="39">
        <f>W18/$W18</f>
        <v>1</v>
      </c>
      <c r="X145" s="39">
        <f>X18/$X18</f>
        <v>1</v>
      </c>
      <c r="Y145" s="40">
        <f t="shared" si="17"/>
        <v>0</v>
      </c>
      <c r="Z145" s="35">
        <f>C145+G145-'Syn prin concurents'!E156</f>
        <v>0.86997403276684171</v>
      </c>
      <c r="AA145" s="35">
        <f>D145+H145-'Syn prin concurents'!F156</f>
        <v>0.86575742381227461</v>
      </c>
      <c r="AB145" s="35">
        <f>K145-'Syn prin concurents'!I155</f>
        <v>0.12967957438447902</v>
      </c>
      <c r="AC145" s="35">
        <f>L145-'Syn prin concurents'!J155</f>
        <v>0.13342499532643251</v>
      </c>
      <c r="AD145" s="35">
        <f>O145-'Syn prin concurents'!M156</f>
        <v>605147.41100000031</v>
      </c>
      <c r="AE145" s="35">
        <f>P145-'Syn prin concurents'!N156</f>
        <v>265055.29973000009</v>
      </c>
      <c r="AF145" s="35">
        <f>S145-'Syn prin concurents'!Q156</f>
        <v>74028.191999999995</v>
      </c>
      <c r="AG145" s="35">
        <f>T145-'Syn prin concurents'!R156</f>
        <v>175919.42038</v>
      </c>
      <c r="AH145" s="35">
        <f>W145-'Syn prin concurents'!U156</f>
        <v>1</v>
      </c>
      <c r="AI145" s="35">
        <f>X145-'Syn prin concurents'!V156</f>
        <v>1</v>
      </c>
    </row>
    <row r="146" spans="2:35" ht="23.5" x14ac:dyDescent="0.55000000000000004">
      <c r="B146" s="7"/>
      <c r="C146" s="39">
        <f>C24/$W24</f>
        <v>0.76135949435608274</v>
      </c>
      <c r="D146" s="39">
        <f>D24/$X24</f>
        <v>0.67637159775994515</v>
      </c>
      <c r="E146" s="40">
        <f t="shared" si="12"/>
        <v>8.4987896596137595</v>
      </c>
      <c r="F146" s="10"/>
      <c r="G146" s="39">
        <f>G24/$W24</f>
        <v>0.23864050564391728</v>
      </c>
      <c r="H146" s="39">
        <f>H24/$X24</f>
        <v>0.3236284022400549</v>
      </c>
      <c r="I146" s="40">
        <f t="shared" si="13"/>
        <v>-8.4987896596137613</v>
      </c>
      <c r="J146" s="10"/>
      <c r="K146" s="39">
        <f>K24/$W24</f>
        <v>0</v>
      </c>
      <c r="L146" s="39">
        <f>L24/$X24</f>
        <v>0</v>
      </c>
      <c r="M146" s="40">
        <f t="shared" si="14"/>
        <v>0</v>
      </c>
      <c r="N146" s="10"/>
      <c r="O146" s="8">
        <f>WAFASALAF!$B$48-WAFASALAF!$B$41</f>
        <v>605147.41100000031</v>
      </c>
      <c r="P146" s="8">
        <f>[9]WAFASALAF!$B$47-[9]WAFASALAF!$B$41</f>
        <v>265055.29973000009</v>
      </c>
      <c r="Q146" s="9">
        <f t="shared" si="15"/>
        <v>1.2830987028610132</v>
      </c>
      <c r="R146" s="10"/>
      <c r="S146" s="8">
        <f>WAFASALAF!$B$55</f>
        <v>74028.191999999995</v>
      </c>
      <c r="T146" s="8">
        <f>[9]WAFASALAF!$B$55</f>
        <v>175919.42038</v>
      </c>
      <c r="U146" s="9">
        <f t="shared" si="16"/>
        <v>-0.57919261079820983</v>
      </c>
      <c r="V146" s="10"/>
      <c r="W146" s="39">
        <f>W24/$W24</f>
        <v>1</v>
      </c>
      <c r="X146" s="39">
        <f>X24/$X24</f>
        <v>1</v>
      </c>
      <c r="Y146" s="40">
        <f t="shared" si="17"/>
        <v>0</v>
      </c>
      <c r="Z146" s="35">
        <f>C146+G146-'Syn prin concurents'!E158</f>
        <v>1</v>
      </c>
      <c r="AA146" s="35">
        <f>D146+H146-'Syn prin concurents'!F158</f>
        <v>1</v>
      </c>
      <c r="AB146" s="35">
        <f>K146-'Syn prin concurents'!I156</f>
        <v>0</v>
      </c>
      <c r="AC146" s="35">
        <f>L146-'Syn prin concurents'!J156</f>
        <v>0</v>
      </c>
      <c r="AD146" s="35">
        <f>O146-'Syn prin concurents'!M158</f>
        <v>605147.41100000031</v>
      </c>
      <c r="AE146" s="35">
        <f>P146-'Syn prin concurents'!N158</f>
        <v>265055.29973000009</v>
      </c>
      <c r="AF146" s="35">
        <f>S146-'Syn prin concurents'!Q158</f>
        <v>74028.191999999995</v>
      </c>
      <c r="AG146" s="35">
        <f>T146-'Syn prin concurents'!R158</f>
        <v>175919.42038</v>
      </c>
      <c r="AH146" s="35">
        <f>W146-'Syn prin concurents'!U158</f>
        <v>1</v>
      </c>
      <c r="AI146" s="35">
        <f>X146-'Syn prin concurents'!V158</f>
        <v>1</v>
      </c>
    </row>
    <row r="147" spans="2:35" ht="23.5" x14ac:dyDescent="0.55000000000000004">
      <c r="B147" s="7"/>
      <c r="C147" s="39">
        <f>C22/$W22</f>
        <v>0.24925555085618689</v>
      </c>
      <c r="D147" s="39">
        <f>D22/$X22</f>
        <v>0.18286027940012128</v>
      </c>
      <c r="E147" s="40">
        <f t="shared" si="12"/>
        <v>6.6395271456065608</v>
      </c>
      <c r="F147" s="10"/>
      <c r="G147" s="39">
        <f>G22/$W22</f>
        <v>0.44767494437099392</v>
      </c>
      <c r="H147" s="39">
        <f>H22/$X22</f>
        <v>0.40821230369547246</v>
      </c>
      <c r="I147" s="40">
        <f t="shared" si="13"/>
        <v>3.9462640675521463</v>
      </c>
      <c r="J147" s="10"/>
      <c r="K147" s="39">
        <f>K22/$W22</f>
        <v>0.30288735115177978</v>
      </c>
      <c r="L147" s="39">
        <f>L22/$X22</f>
        <v>0.40809454987040844</v>
      </c>
      <c r="M147" s="40">
        <f t="shared" si="14"/>
        <v>-10.520719871862866</v>
      </c>
      <c r="N147" s="10"/>
      <c r="O147" s="8">
        <f>WAFASALAF!$B$48-WAFASALAF!$B$41</f>
        <v>605147.41100000031</v>
      </c>
      <c r="P147" s="8">
        <f>[9]WAFASALAF!$B$47-[9]WAFASALAF!$B$41</f>
        <v>265055.29973000009</v>
      </c>
      <c r="Q147" s="9">
        <f t="shared" si="15"/>
        <v>1.2830987028610132</v>
      </c>
      <c r="R147" s="10"/>
      <c r="S147" s="8">
        <f>WAFASALAF!$B$55</f>
        <v>74028.191999999995</v>
      </c>
      <c r="T147" s="8">
        <f>[9]WAFASALAF!$B$55</f>
        <v>175919.42038</v>
      </c>
      <c r="U147" s="9">
        <f t="shared" si="16"/>
        <v>-0.57919261079820983</v>
      </c>
      <c r="V147" s="10"/>
      <c r="W147" s="39">
        <f>W22/$W22</f>
        <v>1</v>
      </c>
      <c r="X147" s="39">
        <f>X22/$X22</f>
        <v>1</v>
      </c>
      <c r="Y147" s="40">
        <f t="shared" si="17"/>
        <v>0</v>
      </c>
      <c r="Z147" s="35">
        <f>C147+G147-'Syn prin concurents'!E160</f>
        <v>0.69693049522718087</v>
      </c>
      <c r="AA147" s="35">
        <f>D147+H147-'Syn prin concurents'!F160</f>
        <v>0.59107258309559374</v>
      </c>
      <c r="AB147" s="35">
        <f>K147-'Syn prin concurents'!I157</f>
        <v>0.30288735115177978</v>
      </c>
      <c r="AC147" s="35">
        <f>L147-'Syn prin concurents'!J157</f>
        <v>0.40809454987040844</v>
      </c>
      <c r="AD147" s="35">
        <f>O147-'Syn prin concurents'!M160</f>
        <v>605147.41100000031</v>
      </c>
      <c r="AE147" s="35">
        <f>P147-'Syn prin concurents'!N160</f>
        <v>265055.29973000009</v>
      </c>
      <c r="AF147" s="35">
        <f>S147-'Syn prin concurents'!Q160</f>
        <v>74028.191999999995</v>
      </c>
      <c r="AG147" s="35">
        <f>T147-'Syn prin concurents'!R160</f>
        <v>175919.42038</v>
      </c>
      <c r="AH147" s="35">
        <f>W147-'Syn prin concurents'!U160</f>
        <v>1</v>
      </c>
      <c r="AI147" s="35">
        <f>X147-'Syn prin concurents'!V160</f>
        <v>1</v>
      </c>
    </row>
    <row r="148" spans="2:35" ht="23.5" x14ac:dyDescent="0.55000000000000004">
      <c r="B148" s="7"/>
      <c r="C148" s="39">
        <f>C26/$W26</f>
        <v>0.2064966794732766</v>
      </c>
      <c r="D148" s="39">
        <f>D26/$X26</f>
        <v>0.21382560411687482</v>
      </c>
      <c r="E148" s="40">
        <f t="shared" si="12"/>
        <v>-0.73289246435982169</v>
      </c>
      <c r="F148" s="10"/>
      <c r="G148" s="39">
        <f>G26/$W26</f>
        <v>0.39015714223524461</v>
      </c>
      <c r="H148" s="39">
        <f>H26/$X26</f>
        <v>0.31536055125212314</v>
      </c>
      <c r="I148" s="40">
        <f t="shared" si="13"/>
        <v>7.4796590983121467</v>
      </c>
      <c r="J148" s="10"/>
      <c r="K148" s="39">
        <f>K26/$W26</f>
        <v>0.39843535825194715</v>
      </c>
      <c r="L148" s="39">
        <f>L26/$X26</f>
        <v>0.46850049195103333</v>
      </c>
      <c r="M148" s="40">
        <f t="shared" si="14"/>
        <v>-7.0065133699086175</v>
      </c>
      <c r="N148" s="10"/>
      <c r="O148" s="8">
        <f>WAFASALAF!$B$48-WAFASALAF!$B$41</f>
        <v>605147.41100000031</v>
      </c>
      <c r="P148" s="8">
        <f>[9]WAFASALAF!$B$47-[9]WAFASALAF!$B$41</f>
        <v>265055.29973000009</v>
      </c>
      <c r="Q148" s="9">
        <f t="shared" si="15"/>
        <v>1.2830987028610132</v>
      </c>
      <c r="R148" s="10"/>
      <c r="S148" s="8">
        <f>WAFASALAF!$B$55</f>
        <v>74028.191999999995</v>
      </c>
      <c r="T148" s="8">
        <f>[9]WAFASALAF!$B$55</f>
        <v>175919.42038</v>
      </c>
      <c r="U148" s="9">
        <f t="shared" si="16"/>
        <v>-0.57919261079820983</v>
      </c>
      <c r="V148" s="10"/>
      <c r="W148" s="39">
        <f>W26/$W26</f>
        <v>1</v>
      </c>
      <c r="X148" s="39">
        <f>X26/$X26</f>
        <v>1</v>
      </c>
      <c r="Y148" s="40">
        <f t="shared" si="17"/>
        <v>0</v>
      </c>
      <c r="Z148" s="35">
        <f>C148+G148-'Syn prin concurents'!E162</f>
        <v>0.59665382170852121</v>
      </c>
      <c r="AA148" s="35">
        <f>D148+H148-'Syn prin concurents'!F162</f>
        <v>0.52918615536899793</v>
      </c>
      <c r="AB148" s="35">
        <f>K148-'Syn prin concurents'!I158</f>
        <v>0.39843535825194715</v>
      </c>
      <c r="AC148" s="35">
        <f>L148-'Syn prin concurents'!J158</f>
        <v>0.46850049195103333</v>
      </c>
      <c r="AD148" s="35">
        <f>O148-'Syn prin concurents'!M162</f>
        <v>605147.41100000031</v>
      </c>
      <c r="AE148" s="35">
        <f>P148-'Syn prin concurents'!N162</f>
        <v>265055.29973000009</v>
      </c>
      <c r="AF148" s="35">
        <f>S148-'Syn prin concurents'!Q162</f>
        <v>74028.191999999995</v>
      </c>
      <c r="AG148" s="35">
        <f>T148-'Syn prin concurents'!R162</f>
        <v>175919.42038</v>
      </c>
      <c r="AH148" s="35">
        <f>W148-'Syn prin concurents'!U162</f>
        <v>1</v>
      </c>
      <c r="AI148" s="35">
        <f>X148-'Syn prin concurents'!V162</f>
        <v>1</v>
      </c>
    </row>
    <row r="149" spans="2:35" ht="23.5" x14ac:dyDescent="0.55000000000000004">
      <c r="B149" s="7"/>
      <c r="C149" s="39" t="e">
        <f>#REF!/#REF!</f>
        <v>#REF!</v>
      </c>
      <c r="D149" s="39" t="e">
        <f>#REF!/#REF!</f>
        <v>#REF!</v>
      </c>
      <c r="E149" s="40" t="e">
        <f t="shared" si="12"/>
        <v>#REF!</v>
      </c>
      <c r="F149" s="10"/>
      <c r="G149" s="39" t="e">
        <f>#REF!/#REF!</f>
        <v>#REF!</v>
      </c>
      <c r="H149" s="39" t="e">
        <f>#REF!/#REF!</f>
        <v>#REF!</v>
      </c>
      <c r="I149" s="40" t="e">
        <f t="shared" si="13"/>
        <v>#REF!</v>
      </c>
      <c r="J149" s="10"/>
      <c r="K149" s="39" t="e">
        <f>#REF!/#REF!</f>
        <v>#REF!</v>
      </c>
      <c r="L149" s="39" t="e">
        <f>#REF!/#REF!</f>
        <v>#REF!</v>
      </c>
      <c r="M149" s="40" t="e">
        <f t="shared" si="14"/>
        <v>#REF!</v>
      </c>
      <c r="N149" s="10"/>
      <c r="O149" s="8">
        <f>WAFASALAF!$B$48-WAFASALAF!$B$41</f>
        <v>605147.41100000031</v>
      </c>
      <c r="P149" s="8">
        <f>[9]WAFASALAF!$B$47-[9]WAFASALAF!$B$41</f>
        <v>265055.29973000009</v>
      </c>
      <c r="Q149" s="9">
        <f t="shared" si="15"/>
        <v>1.2830987028610132</v>
      </c>
      <c r="R149" s="10"/>
      <c r="S149" s="8">
        <f>WAFASALAF!$B$55</f>
        <v>74028.191999999995</v>
      </c>
      <c r="T149" s="8">
        <f>[9]WAFASALAF!$B$55</f>
        <v>175919.42038</v>
      </c>
      <c r="U149" s="9">
        <f t="shared" si="16"/>
        <v>-0.57919261079820983</v>
      </c>
      <c r="V149" s="10"/>
      <c r="W149" s="39" t="e">
        <f>#REF!/#REF!</f>
        <v>#REF!</v>
      </c>
      <c r="X149" s="39" t="e">
        <f>#REF!/#REF!</f>
        <v>#REF!</v>
      </c>
      <c r="Y149" s="40" t="e">
        <f t="shared" si="17"/>
        <v>#REF!</v>
      </c>
      <c r="Z149" s="35" t="e">
        <f>C149+G149-'Syn prin concurents'!E164</f>
        <v>#REF!</v>
      </c>
      <c r="AA149" s="35" t="e">
        <f>D149+H149-'Syn prin concurents'!F164</f>
        <v>#REF!</v>
      </c>
      <c r="AB149" s="35" t="e">
        <f>K149-'Syn prin concurents'!I159</f>
        <v>#REF!</v>
      </c>
      <c r="AC149" s="35" t="e">
        <f>L149-'Syn prin concurents'!J159</f>
        <v>#REF!</v>
      </c>
      <c r="AD149" s="35">
        <f>O149-'Syn prin concurents'!M164</f>
        <v>605147.41100000031</v>
      </c>
      <c r="AE149" s="35">
        <f>P149-'Syn prin concurents'!N164</f>
        <v>265055.29973000009</v>
      </c>
      <c r="AF149" s="35">
        <f>S149-'Syn prin concurents'!Q164</f>
        <v>74028.191999999995</v>
      </c>
      <c r="AG149" s="35">
        <f>T149-'Syn prin concurents'!R164</f>
        <v>175919.42038</v>
      </c>
      <c r="AH149" s="35" t="e">
        <f>W149-'Syn prin concurents'!U164</f>
        <v>#REF!</v>
      </c>
      <c r="AI149" s="35" t="e">
        <f>X149-'Syn prin concurents'!V164</f>
        <v>#REF!</v>
      </c>
    </row>
    <row r="150" spans="2:35" ht="23.5" x14ac:dyDescent="0.55000000000000004">
      <c r="B150" s="7"/>
      <c r="C150" s="39">
        <f>C28/$W28</f>
        <v>2.5724890283169459E-3</v>
      </c>
      <c r="D150" s="39">
        <f>D28/$X28</f>
        <v>8.1508527657168407E-3</v>
      </c>
      <c r="E150" s="40">
        <f t="shared" si="12"/>
        <v>-0.55783637373998951</v>
      </c>
      <c r="F150" s="10"/>
      <c r="G150" s="39">
        <f>G28/$W28</f>
        <v>7.3517345899189387E-3</v>
      </c>
      <c r="H150" s="39">
        <f>H28/$X28</f>
        <v>8.3444166934953847E-3</v>
      </c>
      <c r="I150" s="40">
        <f t="shared" si="13"/>
        <v>-9.9268210357644604E-2</v>
      </c>
      <c r="J150" s="10"/>
      <c r="K150" s="39">
        <f>K28/$W28</f>
        <v>0.99007577638176414</v>
      </c>
      <c r="L150" s="39">
        <f>L28/$X28</f>
        <v>0.98350473054078791</v>
      </c>
      <c r="M150" s="40">
        <f t="shared" si="14"/>
        <v>0.65710458409762307</v>
      </c>
      <c r="N150" s="10"/>
      <c r="O150" s="8">
        <f>WAFASALAF!$B$48-WAFASALAF!$B$41</f>
        <v>605147.41100000031</v>
      </c>
      <c r="P150" s="8">
        <f>[9]WAFASALAF!$B$47-[9]WAFASALAF!$B$41</f>
        <v>265055.29973000009</v>
      </c>
      <c r="Q150" s="9">
        <f t="shared" si="15"/>
        <v>1.2830987028610132</v>
      </c>
      <c r="R150" s="10"/>
      <c r="S150" s="8">
        <f>WAFASALAF!$B$55</f>
        <v>74028.191999999995</v>
      </c>
      <c r="T150" s="8">
        <f>[9]WAFASALAF!$B$55</f>
        <v>175919.42038</v>
      </c>
      <c r="U150" s="9">
        <f t="shared" si="16"/>
        <v>-0.57919261079820983</v>
      </c>
      <c r="V150" s="10"/>
      <c r="W150" s="39">
        <f>W28/$W28</f>
        <v>1</v>
      </c>
      <c r="X150" s="39">
        <f>X28/$X28</f>
        <v>1</v>
      </c>
      <c r="Y150" s="40">
        <f t="shared" si="17"/>
        <v>0</v>
      </c>
      <c r="Z150" s="35">
        <f>C150+G150-'Syn prin concurents'!E166</f>
        <v>9.9242236182358855E-3</v>
      </c>
      <c r="AA150" s="35">
        <f>D150+H150-'Syn prin concurents'!F166</f>
        <v>1.6495269459212224E-2</v>
      </c>
      <c r="AB150" s="35">
        <f>K150-'Syn prin concurents'!I160</f>
        <v>0.99007577638176414</v>
      </c>
      <c r="AC150" s="35">
        <f>L150-'Syn prin concurents'!J160</f>
        <v>0.98350473054078791</v>
      </c>
      <c r="AD150" s="35">
        <f>O150-'Syn prin concurents'!M166</f>
        <v>605147.41100000031</v>
      </c>
      <c r="AE150" s="35">
        <f>P150-'Syn prin concurents'!N166</f>
        <v>265055.29973000009</v>
      </c>
      <c r="AF150" s="35">
        <f>S150-'Syn prin concurents'!Q166</f>
        <v>74028.191999999995</v>
      </c>
      <c r="AG150" s="35">
        <f>T150-'Syn prin concurents'!R166</f>
        <v>175919.42038</v>
      </c>
      <c r="AH150" s="35">
        <f>W150-'Syn prin concurents'!U166</f>
        <v>1</v>
      </c>
      <c r="AI150" s="35">
        <f>X150-'Syn prin concurents'!V166</f>
        <v>1</v>
      </c>
    </row>
    <row r="151" spans="2:35" ht="24" thickBot="1" x14ac:dyDescent="0.6">
      <c r="B151" s="37"/>
      <c r="C151" s="41">
        <f>C20/$W20</f>
        <v>0.34913735153939052</v>
      </c>
      <c r="D151" s="41">
        <f>D20/$X20</f>
        <v>0.40099317296553855</v>
      </c>
      <c r="E151" s="42">
        <f t="shared" si="12"/>
        <v>-5.1855821426148028</v>
      </c>
      <c r="F151" s="43"/>
      <c r="G151" s="41">
        <f>G20/$W20</f>
        <v>0.43686193296362885</v>
      </c>
      <c r="H151" s="41">
        <f>H20/$X20</f>
        <v>0.36004384216665491</v>
      </c>
      <c r="I151" s="42">
        <f t="shared" si="13"/>
        <v>7.6818090796973939</v>
      </c>
      <c r="J151" s="43"/>
      <c r="K151" s="41">
        <f>K20/$W20</f>
        <v>0.21400071549698069</v>
      </c>
      <c r="L151" s="41">
        <f>L20/$X20</f>
        <v>0.23896298486780668</v>
      </c>
      <c r="M151" s="42">
        <f t="shared" si="14"/>
        <v>-2.4962269370825991</v>
      </c>
      <c r="N151" s="43"/>
      <c r="O151" s="44">
        <f>WAFASALAF!$B$48-WAFASALAF!$B$41</f>
        <v>605147.41100000031</v>
      </c>
      <c r="P151" s="44">
        <f>[9]WAFASALAF!$B$47-[9]WAFASALAF!$B$41</f>
        <v>265055.29973000009</v>
      </c>
      <c r="Q151" s="45">
        <f t="shared" si="15"/>
        <v>1.2830987028610132</v>
      </c>
      <c r="R151" s="43"/>
      <c r="S151" s="44">
        <f>WAFASALAF!$B$55</f>
        <v>74028.191999999995</v>
      </c>
      <c r="T151" s="44">
        <f>[9]WAFASALAF!$B$55</f>
        <v>175919.42038</v>
      </c>
      <c r="U151" s="45">
        <f t="shared" si="16"/>
        <v>-0.57919261079820983</v>
      </c>
      <c r="V151" s="43"/>
      <c r="W151" s="41">
        <f>W20/$W20</f>
        <v>1</v>
      </c>
      <c r="X151" s="41">
        <f>X20/$X20</f>
        <v>1</v>
      </c>
      <c r="Y151" s="42">
        <f t="shared" si="17"/>
        <v>0</v>
      </c>
      <c r="Z151" s="35">
        <f>C151+G151-'Syn prin concurents'!E168</f>
        <v>0.78599928450301937</v>
      </c>
      <c r="AA151" s="35">
        <f>D151+H151-'Syn prin concurents'!F168</f>
        <v>0.76103701513219346</v>
      </c>
      <c r="AB151" s="35">
        <f>K151-'Syn prin concurents'!I161</f>
        <v>0.21400071549698069</v>
      </c>
      <c r="AC151" s="35">
        <f>L151-'Syn prin concurents'!J161</f>
        <v>0.23896298486780668</v>
      </c>
      <c r="AD151" s="35">
        <f>O151-'Syn prin concurents'!M168</f>
        <v>605147.41100000031</v>
      </c>
      <c r="AE151" s="35">
        <f>P151-'Syn prin concurents'!N168</f>
        <v>265055.29973000009</v>
      </c>
      <c r="AF151" s="35">
        <f>S151-'Syn prin concurents'!Q168</f>
        <v>74028.191999999995</v>
      </c>
      <c r="AG151" s="35">
        <f>T151-'Syn prin concurents'!R168</f>
        <v>175919.42038</v>
      </c>
      <c r="AH151" s="35">
        <f>W151-'Syn prin concurents'!U168</f>
        <v>1</v>
      </c>
      <c r="AI151" s="35">
        <f>X151-'Syn prin concurents'!V168</f>
        <v>1</v>
      </c>
    </row>
    <row r="152" spans="2:35" ht="26.5" thickBot="1" x14ac:dyDescent="0.65">
      <c r="B152" s="38"/>
      <c r="C152" s="46">
        <f>C30/$W30</f>
        <v>0.38268613083339398</v>
      </c>
      <c r="D152" s="46">
        <f>D30/$X30</f>
        <v>0.36209913184052256</v>
      </c>
      <c r="E152" s="47">
        <f t="shared" si="12"/>
        <v>2.0586998992871419</v>
      </c>
      <c r="F152" s="3"/>
      <c r="G152" s="46">
        <f>G30/$W30</f>
        <v>0.38919155574958819</v>
      </c>
      <c r="H152" s="46">
        <f>H30/$X30</f>
        <v>0.37948840530302153</v>
      </c>
      <c r="I152" s="47">
        <f t="shared" si="13"/>
        <v>0.97031504465666663</v>
      </c>
      <c r="J152" s="3"/>
      <c r="K152" s="46">
        <f>K30/$W30</f>
        <v>0.19854757345919202</v>
      </c>
      <c r="L152" s="46">
        <f>L30/$X30</f>
        <v>0.23863645782513965</v>
      </c>
      <c r="M152" s="47">
        <f t="shared" si="14"/>
        <v>-4.0088884365947628</v>
      </c>
      <c r="N152" s="3"/>
      <c r="O152" s="24" t="e">
        <f>#REF!-#REF!</f>
        <v>#REF!</v>
      </c>
      <c r="P152" s="24">
        <f>[9]GLOBAL!$B$47-[9]GLOBAL!$B$41</f>
        <v>385328.01306537539</v>
      </c>
      <c r="Q152" s="25" t="e">
        <f t="shared" si="15"/>
        <v>#REF!</v>
      </c>
      <c r="R152" s="3"/>
      <c r="S152" s="24" t="e">
        <f>#REF!</f>
        <v>#REF!</v>
      </c>
      <c r="T152" s="24">
        <f>[9]GLOBAL!$B$55</f>
        <v>393291.42038000003</v>
      </c>
      <c r="U152" s="25" t="e">
        <f t="shared" si="16"/>
        <v>#REF!</v>
      </c>
      <c r="V152" s="3"/>
      <c r="W152" s="46">
        <f>W30/$W30</f>
        <v>1</v>
      </c>
      <c r="X152" s="46">
        <f>X30/$X30</f>
        <v>1</v>
      </c>
      <c r="Y152" s="47">
        <f t="shared" si="17"/>
        <v>0</v>
      </c>
      <c r="Z152" s="35">
        <f>C152+G152-'Syn prin concurents'!E170</f>
        <v>0.77187768658298217</v>
      </c>
      <c r="AA152" s="35">
        <f>D152+H152-'Syn prin concurents'!F170</f>
        <v>0.74158753714354408</v>
      </c>
      <c r="AB152" s="35">
        <f>K152-'Syn prin concurents'!I162</f>
        <v>0.19854757345919202</v>
      </c>
      <c r="AC152" s="35">
        <f>L152-'Syn prin concurents'!J162</f>
        <v>0.23863645782513965</v>
      </c>
      <c r="AD152" s="35" t="e">
        <f>O152-'Syn prin concurents'!M170</f>
        <v>#REF!</v>
      </c>
      <c r="AE152" s="35">
        <f>P152-'Syn prin concurents'!N170</f>
        <v>385328.01306537539</v>
      </c>
      <c r="AF152" s="35" t="e">
        <f>S152-'Syn prin concurents'!Q170</f>
        <v>#REF!</v>
      </c>
      <c r="AG152" s="35">
        <f>T152-'Syn prin concurents'!R170</f>
        <v>393291.42038000003</v>
      </c>
      <c r="AH152" s="35">
        <f>W152-'Syn prin concurents'!U170</f>
        <v>1</v>
      </c>
      <c r="AI152" s="35">
        <f>X152-'Syn prin concurents'!V170</f>
        <v>1</v>
      </c>
    </row>
  </sheetData>
  <mergeCells count="49">
    <mergeCell ref="A9:Y9"/>
    <mergeCell ref="C11:E11"/>
    <mergeCell ref="G11:I11"/>
    <mergeCell ref="K11:M11"/>
    <mergeCell ref="O11:Q11"/>
    <mergeCell ref="S11:U11"/>
    <mergeCell ref="W11:Y11"/>
    <mergeCell ref="A32:Y32"/>
    <mergeCell ref="C34:E34"/>
    <mergeCell ref="G34:I34"/>
    <mergeCell ref="K34:M34"/>
    <mergeCell ref="O34:Q34"/>
    <mergeCell ref="S34:U34"/>
    <mergeCell ref="W34:Y34"/>
    <mergeCell ref="A55:Y55"/>
    <mergeCell ref="C57:E57"/>
    <mergeCell ref="G57:I57"/>
    <mergeCell ref="K57:M57"/>
    <mergeCell ref="O57:Q57"/>
    <mergeCell ref="S57:U57"/>
    <mergeCell ref="W57:Y57"/>
    <mergeCell ref="A78:Y78"/>
    <mergeCell ref="C80:E80"/>
    <mergeCell ref="G80:I80"/>
    <mergeCell ref="K80:M80"/>
    <mergeCell ref="O80:Q80"/>
    <mergeCell ref="S80:U80"/>
    <mergeCell ref="W80:Y80"/>
    <mergeCell ref="A101:Y101"/>
    <mergeCell ref="C103:E103"/>
    <mergeCell ref="G103:I103"/>
    <mergeCell ref="K103:M103"/>
    <mergeCell ref="O103:Q103"/>
    <mergeCell ref="S103:U103"/>
    <mergeCell ref="W103:Y103"/>
    <mergeCell ref="A118:Y118"/>
    <mergeCell ref="C120:E120"/>
    <mergeCell ref="G120:I120"/>
    <mergeCell ref="K120:M120"/>
    <mergeCell ref="O120:Q120"/>
    <mergeCell ref="S120:U120"/>
    <mergeCell ref="W120:Y120"/>
    <mergeCell ref="A137:Y137"/>
    <mergeCell ref="C139:E139"/>
    <mergeCell ref="G139:I139"/>
    <mergeCell ref="K139:M139"/>
    <mergeCell ref="O139:Q139"/>
    <mergeCell ref="S139:U139"/>
    <mergeCell ref="W139:Y139"/>
  </mergeCells>
  <printOptions horizontalCentered="1"/>
  <pageMargins left="0" right="0" top="0" bottom="0" header="0" footer="0"/>
  <pageSetup paperSize="9" scale="40" fitToWidth="3" fitToHeight="2" orientation="landscape" r:id="rId1"/>
  <rowBreaks count="1" manualBreakCount="1">
    <brk id="54" max="2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tabColor rgb="FF0070C0"/>
  </sheetPr>
  <dimension ref="B2:AL31"/>
  <sheetViews>
    <sheetView showGridLines="0" view="pageBreakPreview" zoomScale="60" zoomScaleNormal="60" workbookViewId="0">
      <pane xSplit="2" topLeftCell="C1" activePane="topRight" state="frozen"/>
      <selection activeCell="B50" sqref="B50"/>
      <selection pane="topRight" activeCell="B50" sqref="B50"/>
    </sheetView>
  </sheetViews>
  <sheetFormatPr baseColWidth="10" defaultColWidth="11.453125" defaultRowHeight="12.5" x14ac:dyDescent="0.25"/>
  <cols>
    <col min="1" max="1" width="2.453125" style="56" customWidth="1"/>
    <col min="2" max="2" width="35.7265625" style="56" customWidth="1"/>
    <col min="3" max="3" width="3" style="56" customWidth="1"/>
    <col min="4" max="4" width="1.453125" style="56" customWidth="1"/>
    <col min="5" max="7" width="18.7265625" style="56" customWidth="1"/>
    <col min="8" max="8" width="1.7265625" style="56" customWidth="1"/>
    <col min="9" max="11" width="18.7265625" style="56" customWidth="1"/>
    <col min="12" max="12" width="1.26953125" style="56" hidden="1" customWidth="1"/>
    <col min="13" max="15" width="19.26953125" style="56" hidden="1" customWidth="1"/>
    <col min="16" max="16" width="1.7265625" style="56" hidden="1" customWidth="1"/>
    <col min="17" max="17" width="17.1796875" style="56" hidden="1" customWidth="1"/>
    <col min="18" max="18" width="15.453125" style="56" hidden="1" customWidth="1"/>
    <col min="19" max="19" width="17" style="56" hidden="1" customWidth="1"/>
    <col min="20" max="20" width="1.7265625" style="56" customWidth="1"/>
    <col min="21" max="23" width="18.7265625" style="56" customWidth="1"/>
    <col min="24" max="24" width="2.54296875" style="56" customWidth="1"/>
    <col min="25" max="25" width="14.7265625" style="56" bestFit="1" customWidth="1"/>
    <col min="26" max="26" width="11.453125" style="56"/>
    <col min="27" max="27" width="12.7265625" style="56" bestFit="1" customWidth="1"/>
    <col min="28" max="28" width="12.26953125" style="56" bestFit="1" customWidth="1"/>
    <col min="29" max="32" width="11.453125" style="56"/>
    <col min="33" max="33" width="13.26953125" style="56" bestFit="1" customWidth="1"/>
    <col min="34" max="257" width="11.453125" style="56"/>
    <col min="258" max="258" width="35.7265625" style="56" customWidth="1"/>
    <col min="259" max="259" width="3" style="56" customWidth="1"/>
    <col min="260" max="260" width="1.453125" style="56" customWidth="1"/>
    <col min="261" max="263" width="18.7265625" style="56" customWidth="1"/>
    <col min="264" max="264" width="1.7265625" style="56" customWidth="1"/>
    <col min="265" max="267" width="18.7265625" style="56" customWidth="1"/>
    <col min="268" max="268" width="1.26953125" style="56" customWidth="1"/>
    <col min="269" max="275" width="11.453125" style="56" customWidth="1"/>
    <col min="276" max="276" width="1.7265625" style="56" customWidth="1"/>
    <col min="277" max="279" width="18.7265625" style="56" customWidth="1"/>
    <col min="280" max="280" width="12.54296875" style="56" bestFit="1" customWidth="1"/>
    <col min="281" max="513" width="11.453125" style="56"/>
    <col min="514" max="514" width="35.7265625" style="56" customWidth="1"/>
    <col min="515" max="515" width="3" style="56" customWidth="1"/>
    <col min="516" max="516" width="1.453125" style="56" customWidth="1"/>
    <col min="517" max="519" width="18.7265625" style="56" customWidth="1"/>
    <col min="520" max="520" width="1.7265625" style="56" customWidth="1"/>
    <col min="521" max="523" width="18.7265625" style="56" customWidth="1"/>
    <col min="524" max="524" width="1.26953125" style="56" customWidth="1"/>
    <col min="525" max="531" width="11.453125" style="56" customWidth="1"/>
    <col min="532" max="532" width="1.7265625" style="56" customWidth="1"/>
    <col min="533" max="535" width="18.7265625" style="56" customWidth="1"/>
    <col min="536" max="536" width="12.54296875" style="56" bestFit="1" customWidth="1"/>
    <col min="537" max="769" width="11.453125" style="56"/>
    <col min="770" max="770" width="35.7265625" style="56" customWidth="1"/>
    <col min="771" max="771" width="3" style="56" customWidth="1"/>
    <col min="772" max="772" width="1.453125" style="56" customWidth="1"/>
    <col min="773" max="775" width="18.7265625" style="56" customWidth="1"/>
    <col min="776" max="776" width="1.7265625" style="56" customWidth="1"/>
    <col min="777" max="779" width="18.7265625" style="56" customWidth="1"/>
    <col min="780" max="780" width="1.26953125" style="56" customWidth="1"/>
    <col min="781" max="787" width="11.453125" style="56" customWidth="1"/>
    <col min="788" max="788" width="1.7265625" style="56" customWidth="1"/>
    <col min="789" max="791" width="18.7265625" style="56" customWidth="1"/>
    <col min="792" max="792" width="12.54296875" style="56" bestFit="1" customWidth="1"/>
    <col min="793" max="1025" width="11.453125" style="56"/>
    <col min="1026" max="1026" width="35.7265625" style="56" customWidth="1"/>
    <col min="1027" max="1027" width="3" style="56" customWidth="1"/>
    <col min="1028" max="1028" width="1.453125" style="56" customWidth="1"/>
    <col min="1029" max="1031" width="18.7265625" style="56" customWidth="1"/>
    <col min="1032" max="1032" width="1.7265625" style="56" customWidth="1"/>
    <col min="1033" max="1035" width="18.7265625" style="56" customWidth="1"/>
    <col min="1036" max="1036" width="1.26953125" style="56" customWidth="1"/>
    <col min="1037" max="1043" width="11.453125" style="56" customWidth="1"/>
    <col min="1044" max="1044" width="1.7265625" style="56" customWidth="1"/>
    <col min="1045" max="1047" width="18.7265625" style="56" customWidth="1"/>
    <col min="1048" max="1048" width="12.54296875" style="56" bestFit="1" customWidth="1"/>
    <col min="1049" max="1281" width="11.453125" style="56"/>
    <col min="1282" max="1282" width="35.7265625" style="56" customWidth="1"/>
    <col min="1283" max="1283" width="3" style="56" customWidth="1"/>
    <col min="1284" max="1284" width="1.453125" style="56" customWidth="1"/>
    <col min="1285" max="1287" width="18.7265625" style="56" customWidth="1"/>
    <col min="1288" max="1288" width="1.7265625" style="56" customWidth="1"/>
    <col min="1289" max="1291" width="18.7265625" style="56" customWidth="1"/>
    <col min="1292" max="1292" width="1.26953125" style="56" customWidth="1"/>
    <col min="1293" max="1299" width="11.453125" style="56" customWidth="1"/>
    <col min="1300" max="1300" width="1.7265625" style="56" customWidth="1"/>
    <col min="1301" max="1303" width="18.7265625" style="56" customWidth="1"/>
    <col min="1304" max="1304" width="12.54296875" style="56" bestFit="1" customWidth="1"/>
    <col min="1305" max="1537" width="11.453125" style="56"/>
    <col min="1538" max="1538" width="35.7265625" style="56" customWidth="1"/>
    <col min="1539" max="1539" width="3" style="56" customWidth="1"/>
    <col min="1540" max="1540" width="1.453125" style="56" customWidth="1"/>
    <col min="1541" max="1543" width="18.7265625" style="56" customWidth="1"/>
    <col min="1544" max="1544" width="1.7265625" style="56" customWidth="1"/>
    <col min="1545" max="1547" width="18.7265625" style="56" customWidth="1"/>
    <col min="1548" max="1548" width="1.26953125" style="56" customWidth="1"/>
    <col min="1549" max="1555" width="11.453125" style="56" customWidth="1"/>
    <col min="1556" max="1556" width="1.7265625" style="56" customWidth="1"/>
    <col min="1557" max="1559" width="18.7265625" style="56" customWidth="1"/>
    <col min="1560" max="1560" width="12.54296875" style="56" bestFit="1" customWidth="1"/>
    <col min="1561" max="1793" width="11.453125" style="56"/>
    <col min="1794" max="1794" width="35.7265625" style="56" customWidth="1"/>
    <col min="1795" max="1795" width="3" style="56" customWidth="1"/>
    <col min="1796" max="1796" width="1.453125" style="56" customWidth="1"/>
    <col min="1797" max="1799" width="18.7265625" style="56" customWidth="1"/>
    <col min="1800" max="1800" width="1.7265625" style="56" customWidth="1"/>
    <col min="1801" max="1803" width="18.7265625" style="56" customWidth="1"/>
    <col min="1804" max="1804" width="1.26953125" style="56" customWidth="1"/>
    <col min="1805" max="1811" width="11.453125" style="56" customWidth="1"/>
    <col min="1812" max="1812" width="1.7265625" style="56" customWidth="1"/>
    <col min="1813" max="1815" width="18.7265625" style="56" customWidth="1"/>
    <col min="1816" max="1816" width="12.54296875" style="56" bestFit="1" customWidth="1"/>
    <col min="1817" max="2049" width="11.453125" style="56"/>
    <col min="2050" max="2050" width="35.7265625" style="56" customWidth="1"/>
    <col min="2051" max="2051" width="3" style="56" customWidth="1"/>
    <col min="2052" max="2052" width="1.453125" style="56" customWidth="1"/>
    <col min="2053" max="2055" width="18.7265625" style="56" customWidth="1"/>
    <col min="2056" max="2056" width="1.7265625" style="56" customWidth="1"/>
    <col min="2057" max="2059" width="18.7265625" style="56" customWidth="1"/>
    <col min="2060" max="2060" width="1.26953125" style="56" customWidth="1"/>
    <col min="2061" max="2067" width="11.453125" style="56" customWidth="1"/>
    <col min="2068" max="2068" width="1.7265625" style="56" customWidth="1"/>
    <col min="2069" max="2071" width="18.7265625" style="56" customWidth="1"/>
    <col min="2072" max="2072" width="12.54296875" style="56" bestFit="1" customWidth="1"/>
    <col min="2073" max="2305" width="11.453125" style="56"/>
    <col min="2306" max="2306" width="35.7265625" style="56" customWidth="1"/>
    <col min="2307" max="2307" width="3" style="56" customWidth="1"/>
    <col min="2308" max="2308" width="1.453125" style="56" customWidth="1"/>
    <col min="2309" max="2311" width="18.7265625" style="56" customWidth="1"/>
    <col min="2312" max="2312" width="1.7265625" style="56" customWidth="1"/>
    <col min="2313" max="2315" width="18.7265625" style="56" customWidth="1"/>
    <col min="2316" max="2316" width="1.26953125" style="56" customWidth="1"/>
    <col min="2317" max="2323" width="11.453125" style="56" customWidth="1"/>
    <col min="2324" max="2324" width="1.7265625" style="56" customWidth="1"/>
    <col min="2325" max="2327" width="18.7265625" style="56" customWidth="1"/>
    <col min="2328" max="2328" width="12.54296875" style="56" bestFit="1" customWidth="1"/>
    <col min="2329" max="2561" width="11.453125" style="56"/>
    <col min="2562" max="2562" width="35.7265625" style="56" customWidth="1"/>
    <col min="2563" max="2563" width="3" style="56" customWidth="1"/>
    <col min="2564" max="2564" width="1.453125" style="56" customWidth="1"/>
    <col min="2565" max="2567" width="18.7265625" style="56" customWidth="1"/>
    <col min="2568" max="2568" width="1.7265625" style="56" customWidth="1"/>
    <col min="2569" max="2571" width="18.7265625" style="56" customWidth="1"/>
    <col min="2572" max="2572" width="1.26953125" style="56" customWidth="1"/>
    <col min="2573" max="2579" width="11.453125" style="56" customWidth="1"/>
    <col min="2580" max="2580" width="1.7265625" style="56" customWidth="1"/>
    <col min="2581" max="2583" width="18.7265625" style="56" customWidth="1"/>
    <col min="2584" max="2584" width="12.54296875" style="56" bestFit="1" customWidth="1"/>
    <col min="2585" max="2817" width="11.453125" style="56"/>
    <col min="2818" max="2818" width="35.7265625" style="56" customWidth="1"/>
    <col min="2819" max="2819" width="3" style="56" customWidth="1"/>
    <col min="2820" max="2820" width="1.453125" style="56" customWidth="1"/>
    <col min="2821" max="2823" width="18.7265625" style="56" customWidth="1"/>
    <col min="2824" max="2824" width="1.7265625" style="56" customWidth="1"/>
    <col min="2825" max="2827" width="18.7265625" style="56" customWidth="1"/>
    <col min="2828" max="2828" width="1.26953125" style="56" customWidth="1"/>
    <col min="2829" max="2835" width="11.453125" style="56" customWidth="1"/>
    <col min="2836" max="2836" width="1.7265625" style="56" customWidth="1"/>
    <col min="2837" max="2839" width="18.7265625" style="56" customWidth="1"/>
    <col min="2840" max="2840" width="12.54296875" style="56" bestFit="1" customWidth="1"/>
    <col min="2841" max="3073" width="11.453125" style="56"/>
    <col min="3074" max="3074" width="35.7265625" style="56" customWidth="1"/>
    <col min="3075" max="3075" width="3" style="56" customWidth="1"/>
    <col min="3076" max="3076" width="1.453125" style="56" customWidth="1"/>
    <col min="3077" max="3079" width="18.7265625" style="56" customWidth="1"/>
    <col min="3080" max="3080" width="1.7265625" style="56" customWidth="1"/>
    <col min="3081" max="3083" width="18.7265625" style="56" customWidth="1"/>
    <col min="3084" max="3084" width="1.26953125" style="56" customWidth="1"/>
    <col min="3085" max="3091" width="11.453125" style="56" customWidth="1"/>
    <col min="3092" max="3092" width="1.7265625" style="56" customWidth="1"/>
    <col min="3093" max="3095" width="18.7265625" style="56" customWidth="1"/>
    <col min="3096" max="3096" width="12.54296875" style="56" bestFit="1" customWidth="1"/>
    <col min="3097" max="3329" width="11.453125" style="56"/>
    <col min="3330" max="3330" width="35.7265625" style="56" customWidth="1"/>
    <col min="3331" max="3331" width="3" style="56" customWidth="1"/>
    <col min="3332" max="3332" width="1.453125" style="56" customWidth="1"/>
    <col min="3333" max="3335" width="18.7265625" style="56" customWidth="1"/>
    <col min="3336" max="3336" width="1.7265625" style="56" customWidth="1"/>
    <col min="3337" max="3339" width="18.7265625" style="56" customWidth="1"/>
    <col min="3340" max="3340" width="1.26953125" style="56" customWidth="1"/>
    <col min="3341" max="3347" width="11.453125" style="56" customWidth="1"/>
    <col min="3348" max="3348" width="1.7265625" style="56" customWidth="1"/>
    <col min="3349" max="3351" width="18.7265625" style="56" customWidth="1"/>
    <col min="3352" max="3352" width="12.54296875" style="56" bestFit="1" customWidth="1"/>
    <col min="3353" max="3585" width="11.453125" style="56"/>
    <col min="3586" max="3586" width="35.7265625" style="56" customWidth="1"/>
    <col min="3587" max="3587" width="3" style="56" customWidth="1"/>
    <col min="3588" max="3588" width="1.453125" style="56" customWidth="1"/>
    <col min="3589" max="3591" width="18.7265625" style="56" customWidth="1"/>
    <col min="3592" max="3592" width="1.7265625" style="56" customWidth="1"/>
    <col min="3593" max="3595" width="18.7265625" style="56" customWidth="1"/>
    <col min="3596" max="3596" width="1.26953125" style="56" customWidth="1"/>
    <col min="3597" max="3603" width="11.453125" style="56" customWidth="1"/>
    <col min="3604" max="3604" width="1.7265625" style="56" customWidth="1"/>
    <col min="3605" max="3607" width="18.7265625" style="56" customWidth="1"/>
    <col min="3608" max="3608" width="12.54296875" style="56" bestFit="1" customWidth="1"/>
    <col min="3609" max="3841" width="11.453125" style="56"/>
    <col min="3842" max="3842" width="35.7265625" style="56" customWidth="1"/>
    <col min="3843" max="3843" width="3" style="56" customWidth="1"/>
    <col min="3844" max="3844" width="1.453125" style="56" customWidth="1"/>
    <col min="3845" max="3847" width="18.7265625" style="56" customWidth="1"/>
    <col min="3848" max="3848" width="1.7265625" style="56" customWidth="1"/>
    <col min="3849" max="3851" width="18.7265625" style="56" customWidth="1"/>
    <col min="3852" max="3852" width="1.26953125" style="56" customWidth="1"/>
    <col min="3853" max="3859" width="11.453125" style="56" customWidth="1"/>
    <col min="3860" max="3860" width="1.7265625" style="56" customWidth="1"/>
    <col min="3861" max="3863" width="18.7265625" style="56" customWidth="1"/>
    <col min="3864" max="3864" width="12.54296875" style="56" bestFit="1" customWidth="1"/>
    <col min="3865" max="4097" width="11.453125" style="56"/>
    <col min="4098" max="4098" width="35.7265625" style="56" customWidth="1"/>
    <col min="4099" max="4099" width="3" style="56" customWidth="1"/>
    <col min="4100" max="4100" width="1.453125" style="56" customWidth="1"/>
    <col min="4101" max="4103" width="18.7265625" style="56" customWidth="1"/>
    <col min="4104" max="4104" width="1.7265625" style="56" customWidth="1"/>
    <col min="4105" max="4107" width="18.7265625" style="56" customWidth="1"/>
    <col min="4108" max="4108" width="1.26953125" style="56" customWidth="1"/>
    <col min="4109" max="4115" width="11.453125" style="56" customWidth="1"/>
    <col min="4116" max="4116" width="1.7265625" style="56" customWidth="1"/>
    <col min="4117" max="4119" width="18.7265625" style="56" customWidth="1"/>
    <col min="4120" max="4120" width="12.54296875" style="56" bestFit="1" customWidth="1"/>
    <col min="4121" max="4353" width="11.453125" style="56"/>
    <col min="4354" max="4354" width="35.7265625" style="56" customWidth="1"/>
    <col min="4355" max="4355" width="3" style="56" customWidth="1"/>
    <col min="4356" max="4356" width="1.453125" style="56" customWidth="1"/>
    <col min="4357" max="4359" width="18.7265625" style="56" customWidth="1"/>
    <col min="4360" max="4360" width="1.7265625" style="56" customWidth="1"/>
    <col min="4361" max="4363" width="18.7265625" style="56" customWidth="1"/>
    <col min="4364" max="4364" width="1.26953125" style="56" customWidth="1"/>
    <col min="4365" max="4371" width="11.453125" style="56" customWidth="1"/>
    <col min="4372" max="4372" width="1.7265625" style="56" customWidth="1"/>
    <col min="4373" max="4375" width="18.7265625" style="56" customWidth="1"/>
    <col min="4376" max="4376" width="12.54296875" style="56" bestFit="1" customWidth="1"/>
    <col min="4377" max="4609" width="11.453125" style="56"/>
    <col min="4610" max="4610" width="35.7265625" style="56" customWidth="1"/>
    <col min="4611" max="4611" width="3" style="56" customWidth="1"/>
    <col min="4612" max="4612" width="1.453125" style="56" customWidth="1"/>
    <col min="4613" max="4615" width="18.7265625" style="56" customWidth="1"/>
    <col min="4616" max="4616" width="1.7265625" style="56" customWidth="1"/>
    <col min="4617" max="4619" width="18.7265625" style="56" customWidth="1"/>
    <col min="4620" max="4620" width="1.26953125" style="56" customWidth="1"/>
    <col min="4621" max="4627" width="11.453125" style="56" customWidth="1"/>
    <col min="4628" max="4628" width="1.7265625" style="56" customWidth="1"/>
    <col min="4629" max="4631" width="18.7265625" style="56" customWidth="1"/>
    <col min="4632" max="4632" width="12.54296875" style="56" bestFit="1" customWidth="1"/>
    <col min="4633" max="4865" width="11.453125" style="56"/>
    <col min="4866" max="4866" width="35.7265625" style="56" customWidth="1"/>
    <col min="4867" max="4867" width="3" style="56" customWidth="1"/>
    <col min="4868" max="4868" width="1.453125" style="56" customWidth="1"/>
    <col min="4869" max="4871" width="18.7265625" style="56" customWidth="1"/>
    <col min="4872" max="4872" width="1.7265625" style="56" customWidth="1"/>
    <col min="4873" max="4875" width="18.7265625" style="56" customWidth="1"/>
    <col min="4876" max="4876" width="1.26953125" style="56" customWidth="1"/>
    <col min="4877" max="4883" width="11.453125" style="56" customWidth="1"/>
    <col min="4884" max="4884" width="1.7265625" style="56" customWidth="1"/>
    <col min="4885" max="4887" width="18.7265625" style="56" customWidth="1"/>
    <col min="4888" max="4888" width="12.54296875" style="56" bestFit="1" customWidth="1"/>
    <col min="4889" max="5121" width="11.453125" style="56"/>
    <col min="5122" max="5122" width="35.7265625" style="56" customWidth="1"/>
    <col min="5123" max="5123" width="3" style="56" customWidth="1"/>
    <col min="5124" max="5124" width="1.453125" style="56" customWidth="1"/>
    <col min="5125" max="5127" width="18.7265625" style="56" customWidth="1"/>
    <col min="5128" max="5128" width="1.7265625" style="56" customWidth="1"/>
    <col min="5129" max="5131" width="18.7265625" style="56" customWidth="1"/>
    <col min="5132" max="5132" width="1.26953125" style="56" customWidth="1"/>
    <col min="5133" max="5139" width="11.453125" style="56" customWidth="1"/>
    <col min="5140" max="5140" width="1.7265625" style="56" customWidth="1"/>
    <col min="5141" max="5143" width="18.7265625" style="56" customWidth="1"/>
    <col min="5144" max="5144" width="12.54296875" style="56" bestFit="1" customWidth="1"/>
    <col min="5145" max="5377" width="11.453125" style="56"/>
    <col min="5378" max="5378" width="35.7265625" style="56" customWidth="1"/>
    <col min="5379" max="5379" width="3" style="56" customWidth="1"/>
    <col min="5380" max="5380" width="1.453125" style="56" customWidth="1"/>
    <col min="5381" max="5383" width="18.7265625" style="56" customWidth="1"/>
    <col min="5384" max="5384" width="1.7265625" style="56" customWidth="1"/>
    <col min="5385" max="5387" width="18.7265625" style="56" customWidth="1"/>
    <col min="5388" max="5388" width="1.26953125" style="56" customWidth="1"/>
    <col min="5389" max="5395" width="11.453125" style="56" customWidth="1"/>
    <col min="5396" max="5396" width="1.7265625" style="56" customWidth="1"/>
    <col min="5397" max="5399" width="18.7265625" style="56" customWidth="1"/>
    <col min="5400" max="5400" width="12.54296875" style="56" bestFit="1" customWidth="1"/>
    <col min="5401" max="5633" width="11.453125" style="56"/>
    <col min="5634" max="5634" width="35.7265625" style="56" customWidth="1"/>
    <col min="5635" max="5635" width="3" style="56" customWidth="1"/>
    <col min="5636" max="5636" width="1.453125" style="56" customWidth="1"/>
    <col min="5637" max="5639" width="18.7265625" style="56" customWidth="1"/>
    <col min="5640" max="5640" width="1.7265625" style="56" customWidth="1"/>
    <col min="5641" max="5643" width="18.7265625" style="56" customWidth="1"/>
    <col min="5644" max="5644" width="1.26953125" style="56" customWidth="1"/>
    <col min="5645" max="5651" width="11.453125" style="56" customWidth="1"/>
    <col min="5652" max="5652" width="1.7265625" style="56" customWidth="1"/>
    <col min="5653" max="5655" width="18.7265625" style="56" customWidth="1"/>
    <col min="5656" max="5656" width="12.54296875" style="56" bestFit="1" customWidth="1"/>
    <col min="5657" max="5889" width="11.453125" style="56"/>
    <col min="5890" max="5890" width="35.7265625" style="56" customWidth="1"/>
    <col min="5891" max="5891" width="3" style="56" customWidth="1"/>
    <col min="5892" max="5892" width="1.453125" style="56" customWidth="1"/>
    <col min="5893" max="5895" width="18.7265625" style="56" customWidth="1"/>
    <col min="5896" max="5896" width="1.7265625" style="56" customWidth="1"/>
    <col min="5897" max="5899" width="18.7265625" style="56" customWidth="1"/>
    <col min="5900" max="5900" width="1.26953125" style="56" customWidth="1"/>
    <col min="5901" max="5907" width="11.453125" style="56" customWidth="1"/>
    <col min="5908" max="5908" width="1.7265625" style="56" customWidth="1"/>
    <col min="5909" max="5911" width="18.7265625" style="56" customWidth="1"/>
    <col min="5912" max="5912" width="12.54296875" style="56" bestFit="1" customWidth="1"/>
    <col min="5913" max="6145" width="11.453125" style="56"/>
    <col min="6146" max="6146" width="35.7265625" style="56" customWidth="1"/>
    <col min="6147" max="6147" width="3" style="56" customWidth="1"/>
    <col min="6148" max="6148" width="1.453125" style="56" customWidth="1"/>
    <col min="6149" max="6151" width="18.7265625" style="56" customWidth="1"/>
    <col min="6152" max="6152" width="1.7265625" style="56" customWidth="1"/>
    <col min="6153" max="6155" width="18.7265625" style="56" customWidth="1"/>
    <col min="6156" max="6156" width="1.26953125" style="56" customWidth="1"/>
    <col min="6157" max="6163" width="11.453125" style="56" customWidth="1"/>
    <col min="6164" max="6164" width="1.7265625" style="56" customWidth="1"/>
    <col min="6165" max="6167" width="18.7265625" style="56" customWidth="1"/>
    <col min="6168" max="6168" width="12.54296875" style="56" bestFit="1" customWidth="1"/>
    <col min="6169" max="6401" width="11.453125" style="56"/>
    <col min="6402" max="6402" width="35.7265625" style="56" customWidth="1"/>
    <col min="6403" max="6403" width="3" style="56" customWidth="1"/>
    <col min="6404" max="6404" width="1.453125" style="56" customWidth="1"/>
    <col min="6405" max="6407" width="18.7265625" style="56" customWidth="1"/>
    <col min="6408" max="6408" width="1.7265625" style="56" customWidth="1"/>
    <col min="6409" max="6411" width="18.7265625" style="56" customWidth="1"/>
    <col min="6412" max="6412" width="1.26953125" style="56" customWidth="1"/>
    <col min="6413" max="6419" width="11.453125" style="56" customWidth="1"/>
    <col min="6420" max="6420" width="1.7265625" style="56" customWidth="1"/>
    <col min="6421" max="6423" width="18.7265625" style="56" customWidth="1"/>
    <col min="6424" max="6424" width="12.54296875" style="56" bestFit="1" customWidth="1"/>
    <col min="6425" max="6657" width="11.453125" style="56"/>
    <col min="6658" max="6658" width="35.7265625" style="56" customWidth="1"/>
    <col min="6659" max="6659" width="3" style="56" customWidth="1"/>
    <col min="6660" max="6660" width="1.453125" style="56" customWidth="1"/>
    <col min="6661" max="6663" width="18.7265625" style="56" customWidth="1"/>
    <col min="6664" max="6664" width="1.7265625" style="56" customWidth="1"/>
    <col min="6665" max="6667" width="18.7265625" style="56" customWidth="1"/>
    <col min="6668" max="6668" width="1.26953125" style="56" customWidth="1"/>
    <col min="6669" max="6675" width="11.453125" style="56" customWidth="1"/>
    <col min="6676" max="6676" width="1.7265625" style="56" customWidth="1"/>
    <col min="6677" max="6679" width="18.7265625" style="56" customWidth="1"/>
    <col min="6680" max="6680" width="12.54296875" style="56" bestFit="1" customWidth="1"/>
    <col min="6681" max="6913" width="11.453125" style="56"/>
    <col min="6914" max="6914" width="35.7265625" style="56" customWidth="1"/>
    <col min="6915" max="6915" width="3" style="56" customWidth="1"/>
    <col min="6916" max="6916" width="1.453125" style="56" customWidth="1"/>
    <col min="6917" max="6919" width="18.7265625" style="56" customWidth="1"/>
    <col min="6920" max="6920" width="1.7265625" style="56" customWidth="1"/>
    <col min="6921" max="6923" width="18.7265625" style="56" customWidth="1"/>
    <col min="6924" max="6924" width="1.26953125" style="56" customWidth="1"/>
    <col min="6925" max="6931" width="11.453125" style="56" customWidth="1"/>
    <col min="6932" max="6932" width="1.7265625" style="56" customWidth="1"/>
    <col min="6933" max="6935" width="18.7265625" style="56" customWidth="1"/>
    <col min="6936" max="6936" width="12.54296875" style="56" bestFit="1" customWidth="1"/>
    <col min="6937" max="7169" width="11.453125" style="56"/>
    <col min="7170" max="7170" width="35.7265625" style="56" customWidth="1"/>
    <col min="7171" max="7171" width="3" style="56" customWidth="1"/>
    <col min="7172" max="7172" width="1.453125" style="56" customWidth="1"/>
    <col min="7173" max="7175" width="18.7265625" style="56" customWidth="1"/>
    <col min="7176" max="7176" width="1.7265625" style="56" customWidth="1"/>
    <col min="7177" max="7179" width="18.7265625" style="56" customWidth="1"/>
    <col min="7180" max="7180" width="1.26953125" style="56" customWidth="1"/>
    <col min="7181" max="7187" width="11.453125" style="56" customWidth="1"/>
    <col min="7188" max="7188" width="1.7265625" style="56" customWidth="1"/>
    <col min="7189" max="7191" width="18.7265625" style="56" customWidth="1"/>
    <col min="7192" max="7192" width="12.54296875" style="56" bestFit="1" customWidth="1"/>
    <col min="7193" max="7425" width="11.453125" style="56"/>
    <col min="7426" max="7426" width="35.7265625" style="56" customWidth="1"/>
    <col min="7427" max="7427" width="3" style="56" customWidth="1"/>
    <col min="7428" max="7428" width="1.453125" style="56" customWidth="1"/>
    <col min="7429" max="7431" width="18.7265625" style="56" customWidth="1"/>
    <col min="7432" max="7432" width="1.7265625" style="56" customWidth="1"/>
    <col min="7433" max="7435" width="18.7265625" style="56" customWidth="1"/>
    <col min="7436" max="7436" width="1.26953125" style="56" customWidth="1"/>
    <col min="7437" max="7443" width="11.453125" style="56" customWidth="1"/>
    <col min="7444" max="7444" width="1.7265625" style="56" customWidth="1"/>
    <col min="7445" max="7447" width="18.7265625" style="56" customWidth="1"/>
    <col min="7448" max="7448" width="12.54296875" style="56" bestFit="1" customWidth="1"/>
    <col min="7449" max="7681" width="11.453125" style="56"/>
    <col min="7682" max="7682" width="35.7265625" style="56" customWidth="1"/>
    <col min="7683" max="7683" width="3" style="56" customWidth="1"/>
    <col min="7684" max="7684" width="1.453125" style="56" customWidth="1"/>
    <col min="7685" max="7687" width="18.7265625" style="56" customWidth="1"/>
    <col min="7688" max="7688" width="1.7265625" style="56" customWidth="1"/>
    <col min="7689" max="7691" width="18.7265625" style="56" customWidth="1"/>
    <col min="7692" max="7692" width="1.26953125" style="56" customWidth="1"/>
    <col min="7693" max="7699" width="11.453125" style="56" customWidth="1"/>
    <col min="7700" max="7700" width="1.7265625" style="56" customWidth="1"/>
    <col min="7701" max="7703" width="18.7265625" style="56" customWidth="1"/>
    <col min="7704" max="7704" width="12.54296875" style="56" bestFit="1" customWidth="1"/>
    <col min="7705" max="7937" width="11.453125" style="56"/>
    <col min="7938" max="7938" width="35.7265625" style="56" customWidth="1"/>
    <col min="7939" max="7939" width="3" style="56" customWidth="1"/>
    <col min="7940" max="7940" width="1.453125" style="56" customWidth="1"/>
    <col min="7941" max="7943" width="18.7265625" style="56" customWidth="1"/>
    <col min="7944" max="7944" width="1.7265625" style="56" customWidth="1"/>
    <col min="7945" max="7947" width="18.7265625" style="56" customWidth="1"/>
    <col min="7948" max="7948" width="1.26953125" style="56" customWidth="1"/>
    <col min="7949" max="7955" width="11.453125" style="56" customWidth="1"/>
    <col min="7956" max="7956" width="1.7265625" style="56" customWidth="1"/>
    <col min="7957" max="7959" width="18.7265625" style="56" customWidth="1"/>
    <col min="7960" max="7960" width="12.54296875" style="56" bestFit="1" customWidth="1"/>
    <col min="7961" max="8193" width="11.453125" style="56"/>
    <col min="8194" max="8194" width="35.7265625" style="56" customWidth="1"/>
    <col min="8195" max="8195" width="3" style="56" customWidth="1"/>
    <col min="8196" max="8196" width="1.453125" style="56" customWidth="1"/>
    <col min="8197" max="8199" width="18.7265625" style="56" customWidth="1"/>
    <col min="8200" max="8200" width="1.7265625" style="56" customWidth="1"/>
    <col min="8201" max="8203" width="18.7265625" style="56" customWidth="1"/>
    <col min="8204" max="8204" width="1.26953125" style="56" customWidth="1"/>
    <col min="8205" max="8211" width="11.453125" style="56" customWidth="1"/>
    <col min="8212" max="8212" width="1.7265625" style="56" customWidth="1"/>
    <col min="8213" max="8215" width="18.7265625" style="56" customWidth="1"/>
    <col min="8216" max="8216" width="12.54296875" style="56" bestFit="1" customWidth="1"/>
    <col min="8217" max="8449" width="11.453125" style="56"/>
    <col min="8450" max="8450" width="35.7265625" style="56" customWidth="1"/>
    <col min="8451" max="8451" width="3" style="56" customWidth="1"/>
    <col min="8452" max="8452" width="1.453125" style="56" customWidth="1"/>
    <col min="8453" max="8455" width="18.7265625" style="56" customWidth="1"/>
    <col min="8456" max="8456" width="1.7265625" style="56" customWidth="1"/>
    <col min="8457" max="8459" width="18.7265625" style="56" customWidth="1"/>
    <col min="8460" max="8460" width="1.26953125" style="56" customWidth="1"/>
    <col min="8461" max="8467" width="11.453125" style="56" customWidth="1"/>
    <col min="8468" max="8468" width="1.7265625" style="56" customWidth="1"/>
    <col min="8469" max="8471" width="18.7265625" style="56" customWidth="1"/>
    <col min="8472" max="8472" width="12.54296875" style="56" bestFit="1" customWidth="1"/>
    <col min="8473" max="8705" width="11.453125" style="56"/>
    <col min="8706" max="8706" width="35.7265625" style="56" customWidth="1"/>
    <col min="8707" max="8707" width="3" style="56" customWidth="1"/>
    <col min="8708" max="8708" width="1.453125" style="56" customWidth="1"/>
    <col min="8709" max="8711" width="18.7265625" style="56" customWidth="1"/>
    <col min="8712" max="8712" width="1.7265625" style="56" customWidth="1"/>
    <col min="8713" max="8715" width="18.7265625" style="56" customWidth="1"/>
    <col min="8716" max="8716" width="1.26953125" style="56" customWidth="1"/>
    <col min="8717" max="8723" width="11.453125" style="56" customWidth="1"/>
    <col min="8724" max="8724" width="1.7265625" style="56" customWidth="1"/>
    <col min="8725" max="8727" width="18.7265625" style="56" customWidth="1"/>
    <col min="8728" max="8728" width="12.54296875" style="56" bestFit="1" customWidth="1"/>
    <col min="8729" max="8961" width="11.453125" style="56"/>
    <col min="8962" max="8962" width="35.7265625" style="56" customWidth="1"/>
    <col min="8963" max="8963" width="3" style="56" customWidth="1"/>
    <col min="8964" max="8964" width="1.453125" style="56" customWidth="1"/>
    <col min="8965" max="8967" width="18.7265625" style="56" customWidth="1"/>
    <col min="8968" max="8968" width="1.7265625" style="56" customWidth="1"/>
    <col min="8969" max="8971" width="18.7265625" style="56" customWidth="1"/>
    <col min="8972" max="8972" width="1.26953125" style="56" customWidth="1"/>
    <col min="8973" max="8979" width="11.453125" style="56" customWidth="1"/>
    <col min="8980" max="8980" width="1.7265625" style="56" customWidth="1"/>
    <col min="8981" max="8983" width="18.7265625" style="56" customWidth="1"/>
    <col min="8984" max="8984" width="12.54296875" style="56" bestFit="1" customWidth="1"/>
    <col min="8985" max="9217" width="11.453125" style="56"/>
    <col min="9218" max="9218" width="35.7265625" style="56" customWidth="1"/>
    <col min="9219" max="9219" width="3" style="56" customWidth="1"/>
    <col min="9220" max="9220" width="1.453125" style="56" customWidth="1"/>
    <col min="9221" max="9223" width="18.7265625" style="56" customWidth="1"/>
    <col min="9224" max="9224" width="1.7265625" style="56" customWidth="1"/>
    <col min="9225" max="9227" width="18.7265625" style="56" customWidth="1"/>
    <col min="9228" max="9228" width="1.26953125" style="56" customWidth="1"/>
    <col min="9229" max="9235" width="11.453125" style="56" customWidth="1"/>
    <col min="9236" max="9236" width="1.7265625" style="56" customWidth="1"/>
    <col min="9237" max="9239" width="18.7265625" style="56" customWidth="1"/>
    <col min="9240" max="9240" width="12.54296875" style="56" bestFit="1" customWidth="1"/>
    <col min="9241" max="9473" width="11.453125" style="56"/>
    <col min="9474" max="9474" width="35.7265625" style="56" customWidth="1"/>
    <col min="9475" max="9475" width="3" style="56" customWidth="1"/>
    <col min="9476" max="9476" width="1.453125" style="56" customWidth="1"/>
    <col min="9477" max="9479" width="18.7265625" style="56" customWidth="1"/>
    <col min="9480" max="9480" width="1.7265625" style="56" customWidth="1"/>
    <col min="9481" max="9483" width="18.7265625" style="56" customWidth="1"/>
    <col min="9484" max="9484" width="1.26953125" style="56" customWidth="1"/>
    <col min="9485" max="9491" width="11.453125" style="56" customWidth="1"/>
    <col min="9492" max="9492" width="1.7265625" style="56" customWidth="1"/>
    <col min="9493" max="9495" width="18.7265625" style="56" customWidth="1"/>
    <col min="9496" max="9496" width="12.54296875" style="56" bestFit="1" customWidth="1"/>
    <col min="9497" max="9729" width="11.453125" style="56"/>
    <col min="9730" max="9730" width="35.7265625" style="56" customWidth="1"/>
    <col min="9731" max="9731" width="3" style="56" customWidth="1"/>
    <col min="9732" max="9732" width="1.453125" style="56" customWidth="1"/>
    <col min="9733" max="9735" width="18.7265625" style="56" customWidth="1"/>
    <col min="9736" max="9736" width="1.7265625" style="56" customWidth="1"/>
    <col min="9737" max="9739" width="18.7265625" style="56" customWidth="1"/>
    <col min="9740" max="9740" width="1.26953125" style="56" customWidth="1"/>
    <col min="9741" max="9747" width="11.453125" style="56" customWidth="1"/>
    <col min="9748" max="9748" width="1.7265625" style="56" customWidth="1"/>
    <col min="9749" max="9751" width="18.7265625" style="56" customWidth="1"/>
    <col min="9752" max="9752" width="12.54296875" style="56" bestFit="1" customWidth="1"/>
    <col min="9753" max="9985" width="11.453125" style="56"/>
    <col min="9986" max="9986" width="35.7265625" style="56" customWidth="1"/>
    <col min="9987" max="9987" width="3" style="56" customWidth="1"/>
    <col min="9988" max="9988" width="1.453125" style="56" customWidth="1"/>
    <col min="9989" max="9991" width="18.7265625" style="56" customWidth="1"/>
    <col min="9992" max="9992" width="1.7265625" style="56" customWidth="1"/>
    <col min="9993" max="9995" width="18.7265625" style="56" customWidth="1"/>
    <col min="9996" max="9996" width="1.26953125" style="56" customWidth="1"/>
    <col min="9997" max="10003" width="11.453125" style="56" customWidth="1"/>
    <col min="10004" max="10004" width="1.7265625" style="56" customWidth="1"/>
    <col min="10005" max="10007" width="18.7265625" style="56" customWidth="1"/>
    <col min="10008" max="10008" width="12.54296875" style="56" bestFit="1" customWidth="1"/>
    <col min="10009" max="10241" width="11.453125" style="56"/>
    <col min="10242" max="10242" width="35.7265625" style="56" customWidth="1"/>
    <col min="10243" max="10243" width="3" style="56" customWidth="1"/>
    <col min="10244" max="10244" width="1.453125" style="56" customWidth="1"/>
    <col min="10245" max="10247" width="18.7265625" style="56" customWidth="1"/>
    <col min="10248" max="10248" width="1.7265625" style="56" customWidth="1"/>
    <col min="10249" max="10251" width="18.7265625" style="56" customWidth="1"/>
    <col min="10252" max="10252" width="1.26953125" style="56" customWidth="1"/>
    <col min="10253" max="10259" width="11.453125" style="56" customWidth="1"/>
    <col min="10260" max="10260" width="1.7265625" style="56" customWidth="1"/>
    <col min="10261" max="10263" width="18.7265625" style="56" customWidth="1"/>
    <col min="10264" max="10264" width="12.54296875" style="56" bestFit="1" customWidth="1"/>
    <col min="10265" max="10497" width="11.453125" style="56"/>
    <col min="10498" max="10498" width="35.7265625" style="56" customWidth="1"/>
    <col min="10499" max="10499" width="3" style="56" customWidth="1"/>
    <col min="10500" max="10500" width="1.453125" style="56" customWidth="1"/>
    <col min="10501" max="10503" width="18.7265625" style="56" customWidth="1"/>
    <col min="10504" max="10504" width="1.7265625" style="56" customWidth="1"/>
    <col min="10505" max="10507" width="18.7265625" style="56" customWidth="1"/>
    <col min="10508" max="10508" width="1.26953125" style="56" customWidth="1"/>
    <col min="10509" max="10515" width="11.453125" style="56" customWidth="1"/>
    <col min="10516" max="10516" width="1.7265625" style="56" customWidth="1"/>
    <col min="10517" max="10519" width="18.7265625" style="56" customWidth="1"/>
    <col min="10520" max="10520" width="12.54296875" style="56" bestFit="1" customWidth="1"/>
    <col min="10521" max="10753" width="11.453125" style="56"/>
    <col min="10754" max="10754" width="35.7265625" style="56" customWidth="1"/>
    <col min="10755" max="10755" width="3" style="56" customWidth="1"/>
    <col min="10756" max="10756" width="1.453125" style="56" customWidth="1"/>
    <col min="10757" max="10759" width="18.7265625" style="56" customWidth="1"/>
    <col min="10760" max="10760" width="1.7265625" style="56" customWidth="1"/>
    <col min="10761" max="10763" width="18.7265625" style="56" customWidth="1"/>
    <col min="10764" max="10764" width="1.26953125" style="56" customWidth="1"/>
    <col min="10765" max="10771" width="11.453125" style="56" customWidth="1"/>
    <col min="10772" max="10772" width="1.7265625" style="56" customWidth="1"/>
    <col min="10773" max="10775" width="18.7265625" style="56" customWidth="1"/>
    <col min="10776" max="10776" width="12.54296875" style="56" bestFit="1" customWidth="1"/>
    <col min="10777" max="11009" width="11.453125" style="56"/>
    <col min="11010" max="11010" width="35.7265625" style="56" customWidth="1"/>
    <col min="11011" max="11011" width="3" style="56" customWidth="1"/>
    <col min="11012" max="11012" width="1.453125" style="56" customWidth="1"/>
    <col min="11013" max="11015" width="18.7265625" style="56" customWidth="1"/>
    <col min="11016" max="11016" width="1.7265625" style="56" customWidth="1"/>
    <col min="11017" max="11019" width="18.7265625" style="56" customWidth="1"/>
    <col min="11020" max="11020" width="1.26953125" style="56" customWidth="1"/>
    <col min="11021" max="11027" width="11.453125" style="56" customWidth="1"/>
    <col min="11028" max="11028" width="1.7265625" style="56" customWidth="1"/>
    <col min="11029" max="11031" width="18.7265625" style="56" customWidth="1"/>
    <col min="11032" max="11032" width="12.54296875" style="56" bestFit="1" customWidth="1"/>
    <col min="11033" max="11265" width="11.453125" style="56"/>
    <col min="11266" max="11266" width="35.7265625" style="56" customWidth="1"/>
    <col min="11267" max="11267" width="3" style="56" customWidth="1"/>
    <col min="11268" max="11268" width="1.453125" style="56" customWidth="1"/>
    <col min="11269" max="11271" width="18.7265625" style="56" customWidth="1"/>
    <col min="11272" max="11272" width="1.7265625" style="56" customWidth="1"/>
    <col min="11273" max="11275" width="18.7265625" style="56" customWidth="1"/>
    <col min="11276" max="11276" width="1.26953125" style="56" customWidth="1"/>
    <col min="11277" max="11283" width="11.453125" style="56" customWidth="1"/>
    <col min="11284" max="11284" width="1.7265625" style="56" customWidth="1"/>
    <col min="11285" max="11287" width="18.7265625" style="56" customWidth="1"/>
    <col min="11288" max="11288" width="12.54296875" style="56" bestFit="1" customWidth="1"/>
    <col min="11289" max="11521" width="11.453125" style="56"/>
    <col min="11522" max="11522" width="35.7265625" style="56" customWidth="1"/>
    <col min="11523" max="11523" width="3" style="56" customWidth="1"/>
    <col min="11524" max="11524" width="1.453125" style="56" customWidth="1"/>
    <col min="11525" max="11527" width="18.7265625" style="56" customWidth="1"/>
    <col min="11528" max="11528" width="1.7265625" style="56" customWidth="1"/>
    <col min="11529" max="11531" width="18.7265625" style="56" customWidth="1"/>
    <col min="11532" max="11532" width="1.26953125" style="56" customWidth="1"/>
    <col min="11533" max="11539" width="11.453125" style="56" customWidth="1"/>
    <col min="11540" max="11540" width="1.7265625" style="56" customWidth="1"/>
    <col min="11541" max="11543" width="18.7265625" style="56" customWidth="1"/>
    <col min="11544" max="11544" width="12.54296875" style="56" bestFit="1" customWidth="1"/>
    <col min="11545" max="11777" width="11.453125" style="56"/>
    <col min="11778" max="11778" width="35.7265625" style="56" customWidth="1"/>
    <col min="11779" max="11779" width="3" style="56" customWidth="1"/>
    <col min="11780" max="11780" width="1.453125" style="56" customWidth="1"/>
    <col min="11781" max="11783" width="18.7265625" style="56" customWidth="1"/>
    <col min="11784" max="11784" width="1.7265625" style="56" customWidth="1"/>
    <col min="11785" max="11787" width="18.7265625" style="56" customWidth="1"/>
    <col min="11788" max="11788" width="1.26953125" style="56" customWidth="1"/>
    <col min="11789" max="11795" width="11.453125" style="56" customWidth="1"/>
    <col min="11796" max="11796" width="1.7265625" style="56" customWidth="1"/>
    <col min="11797" max="11799" width="18.7265625" style="56" customWidth="1"/>
    <col min="11800" max="11800" width="12.54296875" style="56" bestFit="1" customWidth="1"/>
    <col min="11801" max="12033" width="11.453125" style="56"/>
    <col min="12034" max="12034" width="35.7265625" style="56" customWidth="1"/>
    <col min="12035" max="12035" width="3" style="56" customWidth="1"/>
    <col min="12036" max="12036" width="1.453125" style="56" customWidth="1"/>
    <col min="12037" max="12039" width="18.7265625" style="56" customWidth="1"/>
    <col min="12040" max="12040" width="1.7265625" style="56" customWidth="1"/>
    <col min="12041" max="12043" width="18.7265625" style="56" customWidth="1"/>
    <col min="12044" max="12044" width="1.26953125" style="56" customWidth="1"/>
    <col min="12045" max="12051" width="11.453125" style="56" customWidth="1"/>
    <col min="12052" max="12052" width="1.7265625" style="56" customWidth="1"/>
    <col min="12053" max="12055" width="18.7265625" style="56" customWidth="1"/>
    <col min="12056" max="12056" width="12.54296875" style="56" bestFit="1" customWidth="1"/>
    <col min="12057" max="12289" width="11.453125" style="56"/>
    <col min="12290" max="12290" width="35.7265625" style="56" customWidth="1"/>
    <col min="12291" max="12291" width="3" style="56" customWidth="1"/>
    <col min="12292" max="12292" width="1.453125" style="56" customWidth="1"/>
    <col min="12293" max="12295" width="18.7265625" style="56" customWidth="1"/>
    <col min="12296" max="12296" width="1.7265625" style="56" customWidth="1"/>
    <col min="12297" max="12299" width="18.7265625" style="56" customWidth="1"/>
    <col min="12300" max="12300" width="1.26953125" style="56" customWidth="1"/>
    <col min="12301" max="12307" width="11.453125" style="56" customWidth="1"/>
    <col min="12308" max="12308" width="1.7265625" style="56" customWidth="1"/>
    <col min="12309" max="12311" width="18.7265625" style="56" customWidth="1"/>
    <col min="12312" max="12312" width="12.54296875" style="56" bestFit="1" customWidth="1"/>
    <col min="12313" max="12545" width="11.453125" style="56"/>
    <col min="12546" max="12546" width="35.7265625" style="56" customWidth="1"/>
    <col min="12547" max="12547" width="3" style="56" customWidth="1"/>
    <col min="12548" max="12548" width="1.453125" style="56" customWidth="1"/>
    <col min="12549" max="12551" width="18.7265625" style="56" customWidth="1"/>
    <col min="12552" max="12552" width="1.7265625" style="56" customWidth="1"/>
    <col min="12553" max="12555" width="18.7265625" style="56" customWidth="1"/>
    <col min="12556" max="12556" width="1.26953125" style="56" customWidth="1"/>
    <col min="12557" max="12563" width="11.453125" style="56" customWidth="1"/>
    <col min="12564" max="12564" width="1.7265625" style="56" customWidth="1"/>
    <col min="12565" max="12567" width="18.7265625" style="56" customWidth="1"/>
    <col min="12568" max="12568" width="12.54296875" style="56" bestFit="1" customWidth="1"/>
    <col min="12569" max="12801" width="11.453125" style="56"/>
    <col min="12802" max="12802" width="35.7265625" style="56" customWidth="1"/>
    <col min="12803" max="12803" width="3" style="56" customWidth="1"/>
    <col min="12804" max="12804" width="1.453125" style="56" customWidth="1"/>
    <col min="12805" max="12807" width="18.7265625" style="56" customWidth="1"/>
    <col min="12808" max="12808" width="1.7265625" style="56" customWidth="1"/>
    <col min="12809" max="12811" width="18.7265625" style="56" customWidth="1"/>
    <col min="12812" max="12812" width="1.26953125" style="56" customWidth="1"/>
    <col min="12813" max="12819" width="11.453125" style="56" customWidth="1"/>
    <col min="12820" max="12820" width="1.7265625" style="56" customWidth="1"/>
    <col min="12821" max="12823" width="18.7265625" style="56" customWidth="1"/>
    <col min="12824" max="12824" width="12.54296875" style="56" bestFit="1" customWidth="1"/>
    <col min="12825" max="13057" width="11.453125" style="56"/>
    <col min="13058" max="13058" width="35.7265625" style="56" customWidth="1"/>
    <col min="13059" max="13059" width="3" style="56" customWidth="1"/>
    <col min="13060" max="13060" width="1.453125" style="56" customWidth="1"/>
    <col min="13061" max="13063" width="18.7265625" style="56" customWidth="1"/>
    <col min="13064" max="13064" width="1.7265625" style="56" customWidth="1"/>
    <col min="13065" max="13067" width="18.7265625" style="56" customWidth="1"/>
    <col min="13068" max="13068" width="1.26953125" style="56" customWidth="1"/>
    <col min="13069" max="13075" width="11.453125" style="56" customWidth="1"/>
    <col min="13076" max="13076" width="1.7265625" style="56" customWidth="1"/>
    <col min="13077" max="13079" width="18.7265625" style="56" customWidth="1"/>
    <col min="13080" max="13080" width="12.54296875" style="56" bestFit="1" customWidth="1"/>
    <col min="13081" max="13313" width="11.453125" style="56"/>
    <col min="13314" max="13314" width="35.7265625" style="56" customWidth="1"/>
    <col min="13315" max="13315" width="3" style="56" customWidth="1"/>
    <col min="13316" max="13316" width="1.453125" style="56" customWidth="1"/>
    <col min="13317" max="13319" width="18.7265625" style="56" customWidth="1"/>
    <col min="13320" max="13320" width="1.7265625" style="56" customWidth="1"/>
    <col min="13321" max="13323" width="18.7265625" style="56" customWidth="1"/>
    <col min="13324" max="13324" width="1.26953125" style="56" customWidth="1"/>
    <col min="13325" max="13331" width="11.453125" style="56" customWidth="1"/>
    <col min="13332" max="13332" width="1.7265625" style="56" customWidth="1"/>
    <col min="13333" max="13335" width="18.7265625" style="56" customWidth="1"/>
    <col min="13336" max="13336" width="12.54296875" style="56" bestFit="1" customWidth="1"/>
    <col min="13337" max="13569" width="11.453125" style="56"/>
    <col min="13570" max="13570" width="35.7265625" style="56" customWidth="1"/>
    <col min="13571" max="13571" width="3" style="56" customWidth="1"/>
    <col min="13572" max="13572" width="1.453125" style="56" customWidth="1"/>
    <col min="13573" max="13575" width="18.7265625" style="56" customWidth="1"/>
    <col min="13576" max="13576" width="1.7265625" style="56" customWidth="1"/>
    <col min="13577" max="13579" width="18.7265625" style="56" customWidth="1"/>
    <col min="13580" max="13580" width="1.26953125" style="56" customWidth="1"/>
    <col min="13581" max="13587" width="11.453125" style="56" customWidth="1"/>
    <col min="13588" max="13588" width="1.7265625" style="56" customWidth="1"/>
    <col min="13589" max="13591" width="18.7265625" style="56" customWidth="1"/>
    <col min="13592" max="13592" width="12.54296875" style="56" bestFit="1" customWidth="1"/>
    <col min="13593" max="13825" width="11.453125" style="56"/>
    <col min="13826" max="13826" width="35.7265625" style="56" customWidth="1"/>
    <col min="13827" max="13827" width="3" style="56" customWidth="1"/>
    <col min="13828" max="13828" width="1.453125" style="56" customWidth="1"/>
    <col min="13829" max="13831" width="18.7265625" style="56" customWidth="1"/>
    <col min="13832" max="13832" width="1.7265625" style="56" customWidth="1"/>
    <col min="13833" max="13835" width="18.7265625" style="56" customWidth="1"/>
    <col min="13836" max="13836" width="1.26953125" style="56" customWidth="1"/>
    <col min="13837" max="13843" width="11.453125" style="56" customWidth="1"/>
    <col min="13844" max="13844" width="1.7265625" style="56" customWidth="1"/>
    <col min="13845" max="13847" width="18.7265625" style="56" customWidth="1"/>
    <col min="13848" max="13848" width="12.54296875" style="56" bestFit="1" customWidth="1"/>
    <col min="13849" max="14081" width="11.453125" style="56"/>
    <col min="14082" max="14082" width="35.7265625" style="56" customWidth="1"/>
    <col min="14083" max="14083" width="3" style="56" customWidth="1"/>
    <col min="14084" max="14084" width="1.453125" style="56" customWidth="1"/>
    <col min="14085" max="14087" width="18.7265625" style="56" customWidth="1"/>
    <col min="14088" max="14088" width="1.7265625" style="56" customWidth="1"/>
    <col min="14089" max="14091" width="18.7265625" style="56" customWidth="1"/>
    <col min="14092" max="14092" width="1.26953125" style="56" customWidth="1"/>
    <col min="14093" max="14099" width="11.453125" style="56" customWidth="1"/>
    <col min="14100" max="14100" width="1.7265625" style="56" customWidth="1"/>
    <col min="14101" max="14103" width="18.7265625" style="56" customWidth="1"/>
    <col min="14104" max="14104" width="12.54296875" style="56" bestFit="1" customWidth="1"/>
    <col min="14105" max="14337" width="11.453125" style="56"/>
    <col min="14338" max="14338" width="35.7265625" style="56" customWidth="1"/>
    <col min="14339" max="14339" width="3" style="56" customWidth="1"/>
    <col min="14340" max="14340" width="1.453125" style="56" customWidth="1"/>
    <col min="14341" max="14343" width="18.7265625" style="56" customWidth="1"/>
    <col min="14344" max="14344" width="1.7265625" style="56" customWidth="1"/>
    <col min="14345" max="14347" width="18.7265625" style="56" customWidth="1"/>
    <col min="14348" max="14348" width="1.26953125" style="56" customWidth="1"/>
    <col min="14349" max="14355" width="11.453125" style="56" customWidth="1"/>
    <col min="14356" max="14356" width="1.7265625" style="56" customWidth="1"/>
    <col min="14357" max="14359" width="18.7265625" style="56" customWidth="1"/>
    <col min="14360" max="14360" width="12.54296875" style="56" bestFit="1" customWidth="1"/>
    <col min="14361" max="14593" width="11.453125" style="56"/>
    <col min="14594" max="14594" width="35.7265625" style="56" customWidth="1"/>
    <col min="14595" max="14595" width="3" style="56" customWidth="1"/>
    <col min="14596" max="14596" width="1.453125" style="56" customWidth="1"/>
    <col min="14597" max="14599" width="18.7265625" style="56" customWidth="1"/>
    <col min="14600" max="14600" width="1.7265625" style="56" customWidth="1"/>
    <col min="14601" max="14603" width="18.7265625" style="56" customWidth="1"/>
    <col min="14604" max="14604" width="1.26953125" style="56" customWidth="1"/>
    <col min="14605" max="14611" width="11.453125" style="56" customWidth="1"/>
    <col min="14612" max="14612" width="1.7265625" style="56" customWidth="1"/>
    <col min="14613" max="14615" width="18.7265625" style="56" customWidth="1"/>
    <col min="14616" max="14616" width="12.54296875" style="56" bestFit="1" customWidth="1"/>
    <col min="14617" max="14849" width="11.453125" style="56"/>
    <col min="14850" max="14850" width="35.7265625" style="56" customWidth="1"/>
    <col min="14851" max="14851" width="3" style="56" customWidth="1"/>
    <col min="14852" max="14852" width="1.453125" style="56" customWidth="1"/>
    <col min="14853" max="14855" width="18.7265625" style="56" customWidth="1"/>
    <col min="14856" max="14856" width="1.7265625" style="56" customWidth="1"/>
    <col min="14857" max="14859" width="18.7265625" style="56" customWidth="1"/>
    <col min="14860" max="14860" width="1.26953125" style="56" customWidth="1"/>
    <col min="14861" max="14867" width="11.453125" style="56" customWidth="1"/>
    <col min="14868" max="14868" width="1.7265625" style="56" customWidth="1"/>
    <col min="14869" max="14871" width="18.7265625" style="56" customWidth="1"/>
    <col min="14872" max="14872" width="12.54296875" style="56" bestFit="1" customWidth="1"/>
    <col min="14873" max="15105" width="11.453125" style="56"/>
    <col min="15106" max="15106" width="35.7265625" style="56" customWidth="1"/>
    <col min="15107" max="15107" width="3" style="56" customWidth="1"/>
    <col min="15108" max="15108" width="1.453125" style="56" customWidth="1"/>
    <col min="15109" max="15111" width="18.7265625" style="56" customWidth="1"/>
    <col min="15112" max="15112" width="1.7265625" style="56" customWidth="1"/>
    <col min="15113" max="15115" width="18.7265625" style="56" customWidth="1"/>
    <col min="15116" max="15116" width="1.26953125" style="56" customWidth="1"/>
    <col min="15117" max="15123" width="11.453125" style="56" customWidth="1"/>
    <col min="15124" max="15124" width="1.7265625" style="56" customWidth="1"/>
    <col min="15125" max="15127" width="18.7265625" style="56" customWidth="1"/>
    <col min="15128" max="15128" width="12.54296875" style="56" bestFit="1" customWidth="1"/>
    <col min="15129" max="15361" width="11.453125" style="56"/>
    <col min="15362" max="15362" width="35.7265625" style="56" customWidth="1"/>
    <col min="15363" max="15363" width="3" style="56" customWidth="1"/>
    <col min="15364" max="15364" width="1.453125" style="56" customWidth="1"/>
    <col min="15365" max="15367" width="18.7265625" style="56" customWidth="1"/>
    <col min="15368" max="15368" width="1.7265625" style="56" customWidth="1"/>
    <col min="15369" max="15371" width="18.7265625" style="56" customWidth="1"/>
    <col min="15372" max="15372" width="1.26953125" style="56" customWidth="1"/>
    <col min="15373" max="15379" width="11.453125" style="56" customWidth="1"/>
    <col min="15380" max="15380" width="1.7265625" style="56" customWidth="1"/>
    <col min="15381" max="15383" width="18.7265625" style="56" customWidth="1"/>
    <col min="15384" max="15384" width="12.54296875" style="56" bestFit="1" customWidth="1"/>
    <col min="15385" max="15617" width="11.453125" style="56"/>
    <col min="15618" max="15618" width="35.7265625" style="56" customWidth="1"/>
    <col min="15619" max="15619" width="3" style="56" customWidth="1"/>
    <col min="15620" max="15620" width="1.453125" style="56" customWidth="1"/>
    <col min="15621" max="15623" width="18.7265625" style="56" customWidth="1"/>
    <col min="15624" max="15624" width="1.7265625" style="56" customWidth="1"/>
    <col min="15625" max="15627" width="18.7265625" style="56" customWidth="1"/>
    <col min="15628" max="15628" width="1.26953125" style="56" customWidth="1"/>
    <col min="15629" max="15635" width="11.453125" style="56" customWidth="1"/>
    <col min="15636" max="15636" width="1.7265625" style="56" customWidth="1"/>
    <col min="15637" max="15639" width="18.7265625" style="56" customWidth="1"/>
    <col min="15640" max="15640" width="12.54296875" style="56" bestFit="1" customWidth="1"/>
    <col min="15641" max="15873" width="11.453125" style="56"/>
    <col min="15874" max="15874" width="35.7265625" style="56" customWidth="1"/>
    <col min="15875" max="15875" width="3" style="56" customWidth="1"/>
    <col min="15876" max="15876" width="1.453125" style="56" customWidth="1"/>
    <col min="15877" max="15879" width="18.7265625" style="56" customWidth="1"/>
    <col min="15880" max="15880" width="1.7265625" style="56" customWidth="1"/>
    <col min="15881" max="15883" width="18.7265625" style="56" customWidth="1"/>
    <col min="15884" max="15884" width="1.26953125" style="56" customWidth="1"/>
    <col min="15885" max="15891" width="11.453125" style="56" customWidth="1"/>
    <col min="15892" max="15892" width="1.7265625" style="56" customWidth="1"/>
    <col min="15893" max="15895" width="18.7265625" style="56" customWidth="1"/>
    <col min="15896" max="15896" width="12.54296875" style="56" bestFit="1" customWidth="1"/>
    <col min="15897" max="16129" width="11.453125" style="56"/>
    <col min="16130" max="16130" width="35.7265625" style="56" customWidth="1"/>
    <col min="16131" max="16131" width="3" style="56" customWidth="1"/>
    <col min="16132" max="16132" width="1.453125" style="56" customWidth="1"/>
    <col min="16133" max="16135" width="18.7265625" style="56" customWidth="1"/>
    <col min="16136" max="16136" width="1.7265625" style="56" customWidth="1"/>
    <col min="16137" max="16139" width="18.7265625" style="56" customWidth="1"/>
    <col min="16140" max="16140" width="1.26953125" style="56" customWidth="1"/>
    <col min="16141" max="16147" width="11.453125" style="56" customWidth="1"/>
    <col min="16148" max="16148" width="1.7265625" style="56" customWidth="1"/>
    <col min="16149" max="16151" width="18.7265625" style="56" customWidth="1"/>
    <col min="16152" max="16152" width="12.54296875" style="56" bestFit="1" customWidth="1"/>
    <col min="16153" max="16384" width="11.453125" style="56"/>
  </cols>
  <sheetData>
    <row r="2" spans="2:36" ht="45.5" x14ac:dyDescent="0.25">
      <c r="B2" s="1">
        <f>'Syn prin concurents'!B2:V2</f>
        <v>46082</v>
      </c>
      <c r="C2" s="1"/>
      <c r="D2" s="1"/>
      <c r="E2" s="1"/>
      <c r="F2" s="1"/>
      <c r="G2" s="1"/>
      <c r="H2" s="1"/>
      <c r="I2" s="1"/>
      <c r="J2" s="1"/>
      <c r="K2" s="1"/>
      <c r="L2" s="1"/>
      <c r="M2" s="1"/>
      <c r="N2" s="1"/>
      <c r="O2" s="1"/>
      <c r="P2" s="1"/>
      <c r="Q2" s="1"/>
      <c r="R2" s="1"/>
      <c r="S2" s="1"/>
      <c r="T2" s="1"/>
      <c r="U2" s="1"/>
      <c r="V2" s="1"/>
      <c r="W2" s="1"/>
    </row>
    <row r="9" spans="2:36" ht="27.5" x14ac:dyDescent="0.25">
      <c r="B9" s="762" t="s">
        <v>0</v>
      </c>
      <c r="C9" s="762"/>
      <c r="D9" s="762"/>
      <c r="E9" s="762"/>
      <c r="F9" s="762"/>
      <c r="G9" s="762"/>
      <c r="H9" s="762"/>
      <c r="I9" s="762"/>
      <c r="J9" s="762"/>
      <c r="K9" s="762"/>
      <c r="L9" s="762"/>
      <c r="M9" s="762"/>
      <c r="N9" s="762"/>
      <c r="O9" s="762"/>
      <c r="P9" s="762"/>
      <c r="Q9" s="762"/>
      <c r="R9" s="762"/>
      <c r="S9" s="762"/>
      <c r="T9" s="762"/>
      <c r="U9" s="762"/>
      <c r="V9" s="762"/>
      <c r="W9" s="762"/>
    </row>
    <row r="12" spans="2:36" ht="25" x14ac:dyDescent="0.25">
      <c r="B12" s="238"/>
      <c r="C12" s="238"/>
      <c r="D12" s="238"/>
      <c r="E12" s="758" t="s">
        <v>87</v>
      </c>
      <c r="F12" s="758"/>
      <c r="G12" s="758"/>
      <c r="H12" s="239"/>
      <c r="I12" s="758" t="s">
        <v>88</v>
      </c>
      <c r="J12" s="758"/>
      <c r="K12" s="758"/>
      <c r="L12" s="239"/>
      <c r="M12" s="758" t="s">
        <v>89</v>
      </c>
      <c r="N12" s="758"/>
      <c r="O12" s="758"/>
      <c r="P12" s="239"/>
      <c r="Q12" s="758" t="s">
        <v>90</v>
      </c>
      <c r="R12" s="758"/>
      <c r="S12" s="758"/>
      <c r="T12" s="239"/>
      <c r="U12" s="758" t="s">
        <v>91</v>
      </c>
      <c r="V12" s="758"/>
      <c r="W12" s="758"/>
    </row>
    <row r="13" spans="2:36" ht="6.75" customHeight="1" x14ac:dyDescent="0.25">
      <c r="B13" s="238"/>
      <c r="C13" s="238"/>
      <c r="D13" s="238"/>
      <c r="E13" s="553"/>
      <c r="F13" s="553"/>
      <c r="G13" s="553"/>
      <c r="H13" s="238"/>
      <c r="I13" s="553"/>
      <c r="J13" s="553"/>
      <c r="K13" s="553"/>
      <c r="L13" s="238"/>
      <c r="M13" s="553"/>
      <c r="N13" s="553"/>
      <c r="O13" s="553"/>
      <c r="P13" s="238"/>
      <c r="Q13" s="553"/>
      <c r="R13" s="553"/>
      <c r="S13" s="553"/>
      <c r="T13" s="238"/>
      <c r="U13" s="553"/>
      <c r="V13" s="553"/>
      <c r="W13" s="553"/>
    </row>
    <row r="14" spans="2:36" ht="24.75" customHeight="1" x14ac:dyDescent="0.25">
      <c r="B14" s="240"/>
      <c r="C14" s="241"/>
      <c r="D14" s="242"/>
      <c r="E14" s="554">
        <f>'Syn prin concurents'!E13</f>
        <v>46082</v>
      </c>
      <c r="F14" s="555">
        <f>E14-360</f>
        <v>45722</v>
      </c>
      <c r="G14" s="556" t="s">
        <v>62</v>
      </c>
      <c r="H14" s="239"/>
      <c r="I14" s="554">
        <f>E14</f>
        <v>46082</v>
      </c>
      <c r="J14" s="555">
        <f>F14</f>
        <v>45722</v>
      </c>
      <c r="K14" s="556" t="s">
        <v>62</v>
      </c>
      <c r="L14" s="239"/>
      <c r="M14" s="554">
        <f>I14</f>
        <v>46082</v>
      </c>
      <c r="N14" s="555">
        <f>J14</f>
        <v>45722</v>
      </c>
      <c r="O14" s="556" t="s">
        <v>62</v>
      </c>
      <c r="P14" s="239"/>
      <c r="Q14" s="554">
        <f>M14</f>
        <v>46082</v>
      </c>
      <c r="R14" s="555">
        <f>N14</f>
        <v>45722</v>
      </c>
      <c r="S14" s="556" t="s">
        <v>62</v>
      </c>
      <c r="T14" s="239"/>
      <c r="U14" s="554">
        <f>Q14</f>
        <v>46082</v>
      </c>
      <c r="V14" s="555">
        <f>R14</f>
        <v>45722</v>
      </c>
      <c r="W14" s="556" t="s">
        <v>62</v>
      </c>
      <c r="AE14" s="756"/>
      <c r="AF14" s="756"/>
      <c r="AG14" s="756"/>
      <c r="AH14" s="756"/>
      <c r="AI14" s="756"/>
      <c r="AJ14" s="756"/>
    </row>
    <row r="15" spans="2:36" ht="6.75" customHeight="1" x14ac:dyDescent="0.25">
      <c r="B15" s="238"/>
      <c r="C15" s="238"/>
      <c r="D15" s="238"/>
      <c r="E15" s="553"/>
      <c r="F15" s="553"/>
      <c r="G15" s="553"/>
      <c r="H15" s="238"/>
      <c r="I15" s="553"/>
      <c r="J15" s="553"/>
      <c r="K15" s="553"/>
      <c r="L15" s="238"/>
      <c r="M15" s="553"/>
      <c r="N15" s="553"/>
      <c r="O15" s="553"/>
      <c r="P15" s="238"/>
      <c r="Q15" s="553"/>
      <c r="R15" s="553"/>
      <c r="S15" s="553"/>
      <c r="T15" s="238"/>
      <c r="U15" s="553"/>
      <c r="V15" s="553"/>
      <c r="W15" s="553"/>
      <c r="AE15" s="756"/>
      <c r="AF15" s="756"/>
      <c r="AG15" s="756"/>
    </row>
    <row r="16" spans="2:36" ht="6" customHeight="1" x14ac:dyDescent="0.25">
      <c r="B16" s="557"/>
      <c r="C16" s="557"/>
      <c r="D16" s="557"/>
      <c r="E16" s="557"/>
      <c r="F16" s="557"/>
      <c r="G16" s="557"/>
      <c r="H16" s="238"/>
      <c r="I16" s="557"/>
      <c r="J16" s="557"/>
      <c r="K16" s="557"/>
      <c r="L16" s="238"/>
      <c r="M16" s="557"/>
      <c r="N16" s="557"/>
      <c r="O16" s="557"/>
      <c r="P16" s="238"/>
      <c r="Q16" s="557"/>
      <c r="R16" s="557"/>
      <c r="S16" s="557"/>
      <c r="T16" s="238"/>
      <c r="U16" s="557"/>
      <c r="V16" s="557"/>
      <c r="W16" s="557"/>
    </row>
    <row r="17" spans="2:38" s="315" customFormat="1" ht="23" x14ac:dyDescent="0.25">
      <c r="B17" s="243" t="s">
        <v>10</v>
      </c>
      <c r="C17" s="312"/>
      <c r="D17" s="312"/>
      <c r="E17" s="334">
        <f>WAFASALAF!$D$11</f>
        <v>7879</v>
      </c>
      <c r="F17" s="334">
        <f>WAFASALAF!$E$11</f>
        <v>7491</v>
      </c>
      <c r="G17" s="290">
        <f>IF(F17=0,0,E17/F17-1)</f>
        <v>5.1795487918836036E-2</v>
      </c>
      <c r="H17" s="291"/>
      <c r="I17" s="334">
        <f>WAFASALAF!$D$23</f>
        <v>12058</v>
      </c>
      <c r="J17" s="334">
        <f>WAFASALAF!$E$23</f>
        <v>14202</v>
      </c>
      <c r="K17" s="290">
        <f>IF(J17=0,0,I17/J17-1)</f>
        <v>-0.15096465286579352</v>
      </c>
      <c r="L17" s="291"/>
      <c r="M17" s="334">
        <f>WAFASALAF!$D$18</f>
        <v>27117</v>
      </c>
      <c r="N17" s="334">
        <f>WAFASALAF!$E$18</f>
        <v>18156</v>
      </c>
      <c r="O17" s="290">
        <f>IF(N17=0,0,M17/N17-1)</f>
        <v>0.49355584930601459</v>
      </c>
      <c r="P17" s="291"/>
      <c r="Q17" s="334">
        <f>WAFASALAF!$D$28</f>
        <v>88</v>
      </c>
      <c r="R17" s="334">
        <f>WAFASALAF!$E$28</f>
        <v>44</v>
      </c>
      <c r="S17" s="290">
        <f>IF(R17=0,0,Q17/R17-1)</f>
        <v>1</v>
      </c>
      <c r="T17" s="291"/>
      <c r="U17" s="334">
        <f>Q17+M17+I17+E17</f>
        <v>47142</v>
      </c>
      <c r="V17" s="334">
        <f>R17+N17+J17+F17</f>
        <v>39893</v>
      </c>
      <c r="W17" s="290">
        <f>IF(V17=0,0,U17/V17-1)</f>
        <v>0.18171107713132639</v>
      </c>
      <c r="X17" s="314"/>
      <c r="AE17" s="314"/>
      <c r="AF17" s="314"/>
      <c r="AG17" s="314"/>
      <c r="AH17" s="314"/>
      <c r="AI17" s="314"/>
      <c r="AJ17" s="314"/>
      <c r="AL17" s="325"/>
    </row>
    <row r="18" spans="2:38" s="320" customFormat="1" ht="18" x14ac:dyDescent="0.25">
      <c r="B18" s="248" t="s">
        <v>67</v>
      </c>
      <c r="C18" s="316"/>
      <c r="D18" s="316"/>
      <c r="E18" s="317">
        <f>E17/E$31</f>
        <v>0.21810380622837369</v>
      </c>
      <c r="F18" s="317">
        <f>F17/F$31</f>
        <v>0.23194822888283378</v>
      </c>
      <c r="G18" s="318">
        <f>(E18-F18)*100</f>
        <v>-1.3844422654460091</v>
      </c>
      <c r="H18" s="319"/>
      <c r="I18" s="317">
        <f>I17/I$31</f>
        <v>0.37107247268810584</v>
      </c>
      <c r="J18" s="317">
        <f>J17/J$31</f>
        <v>0.3389660604324789</v>
      </c>
      <c r="K18" s="318">
        <f>(I18-J18)*100</f>
        <v>3.2106412255626937</v>
      </c>
      <c r="L18" s="319"/>
      <c r="M18" s="317">
        <f>M17/M$31</f>
        <v>0.99522883253202188</v>
      </c>
      <c r="N18" s="317">
        <f>N17/N$31</f>
        <v>0.98732938169557893</v>
      </c>
      <c r="O18" s="318">
        <f>(M18-N18)*100</f>
        <v>0.7899450836442945</v>
      </c>
      <c r="P18" s="319"/>
      <c r="Q18" s="317">
        <f>Q17/Q$31</f>
        <v>0.91666666666666663</v>
      </c>
      <c r="R18" s="317">
        <f>R17/R$31</f>
        <v>0.37606837606837606</v>
      </c>
      <c r="S18" s="318">
        <f>(Q18-R18)*100</f>
        <v>54.059829059829056</v>
      </c>
      <c r="T18" s="319"/>
      <c r="U18" s="317">
        <f>U17/U$31</f>
        <v>0.49125183664537375</v>
      </c>
      <c r="V18" s="317">
        <f>V17/V$31</f>
        <v>0.43034519956850054</v>
      </c>
      <c r="W18" s="318">
        <f>(U18-V18)*100</f>
        <v>6.0906637076873213</v>
      </c>
      <c r="AG18" s="321"/>
    </row>
    <row r="19" spans="2:38" ht="23.5" x14ac:dyDescent="0.25">
      <c r="B19" s="223" t="s">
        <v>2</v>
      </c>
      <c r="C19" s="224"/>
      <c r="D19" s="224"/>
      <c r="E19" s="335">
        <f>SOFAC!$D$11+2</f>
        <v>12683</v>
      </c>
      <c r="F19" s="335">
        <f>SOFAC!$E$11+3</f>
        <v>10603</v>
      </c>
      <c r="G19" s="226">
        <f>IF(F19=0,0,E19/F19-1)</f>
        <v>0.19617089502970853</v>
      </c>
      <c r="H19" s="247"/>
      <c r="I19" s="335">
        <f>SOFAC!$D$23</f>
        <v>4623</v>
      </c>
      <c r="J19" s="335">
        <f>SOFAC!$E$23</f>
        <v>5361</v>
      </c>
      <c r="K19" s="226">
        <f>IF(J19=0,0,I19/J19-1)</f>
        <v>-0.13766088416340239</v>
      </c>
      <c r="L19" s="247"/>
      <c r="M19" s="335">
        <f>SOFAC!$D$18</f>
        <v>118</v>
      </c>
      <c r="N19" s="335">
        <f>SOFAC!$E$18</f>
        <v>152</v>
      </c>
      <c r="O19" s="226">
        <f>IF(N19=0,0,M19/N19-1)</f>
        <v>-0.22368421052631582</v>
      </c>
      <c r="P19" s="247"/>
      <c r="Q19" s="335">
        <f>SOFAC!$D$28</f>
        <v>0</v>
      </c>
      <c r="R19" s="335">
        <f>SOFAC!$E$28</f>
        <v>0</v>
      </c>
      <c r="S19" s="226">
        <f>IF(R19=0,0,Q19/R19-1)</f>
        <v>0</v>
      </c>
      <c r="T19" s="247"/>
      <c r="U19" s="335">
        <f>Q19+M19+I19+E19</f>
        <v>17424</v>
      </c>
      <c r="V19" s="335">
        <f>R19+N19+J19+F19</f>
        <v>16116</v>
      </c>
      <c r="W19" s="226">
        <f>IF(V19=0,0,U19/V19-1)</f>
        <v>8.1161578555472902E-2</v>
      </c>
      <c r="X19" s="57"/>
      <c r="Z19" s="64"/>
      <c r="AA19" s="57"/>
      <c r="AB19" s="57"/>
      <c r="AC19" s="58"/>
      <c r="AE19" s="314"/>
      <c r="AF19" s="314"/>
      <c r="AG19" s="314"/>
      <c r="AH19" s="314"/>
      <c r="AI19" s="314"/>
      <c r="AJ19" s="314"/>
      <c r="AL19" s="325"/>
    </row>
    <row r="20" spans="2:38" ht="18.5" x14ac:dyDescent="0.25">
      <c r="B20" s="227" t="s">
        <v>67</v>
      </c>
      <c r="C20" s="228"/>
      <c r="D20" s="228"/>
      <c r="E20" s="229">
        <f>E19/E$31</f>
        <v>0.35108650519031143</v>
      </c>
      <c r="F20" s="229">
        <f>F19/F$31</f>
        <v>0.32830691107257864</v>
      </c>
      <c r="G20" s="230">
        <f>(E20-F20)*100</f>
        <v>2.2779594117732782</v>
      </c>
      <c r="H20" s="252"/>
      <c r="I20" s="229">
        <f>I19/I$31</f>
        <v>0.1422680412371134</v>
      </c>
      <c r="J20" s="229">
        <f>J19/J$31</f>
        <v>0.12795360160389518</v>
      </c>
      <c r="K20" s="230">
        <f>(I20-J20)*100</f>
        <v>1.4314439633218212</v>
      </c>
      <c r="L20" s="252"/>
      <c r="M20" s="229">
        <f>M19/M$31</f>
        <v>4.3307520093955297E-3</v>
      </c>
      <c r="N20" s="229">
        <f>N19/N$31</f>
        <v>8.265811082712491E-3</v>
      </c>
      <c r="O20" s="230">
        <f>(M20-N20)*100</f>
        <v>-0.3935059073316961</v>
      </c>
      <c r="P20" s="252"/>
      <c r="Q20" s="229">
        <f>Q19/Q$31</f>
        <v>0</v>
      </c>
      <c r="R20" s="229">
        <f>R19/R$31</f>
        <v>0</v>
      </c>
      <c r="S20" s="230">
        <f>(Q20-R20)*100</f>
        <v>0</v>
      </c>
      <c r="T20" s="252"/>
      <c r="U20" s="229">
        <f>U19/U$31</f>
        <v>0.18156998009649553</v>
      </c>
      <c r="V20" s="229">
        <f>V19/V$31</f>
        <v>0.17385113268608415</v>
      </c>
      <c r="W20" s="230">
        <f>(U20-V20)*100</f>
        <v>0.77188474104113725</v>
      </c>
      <c r="AA20" s="57"/>
      <c r="AB20" s="57"/>
      <c r="AC20" s="58"/>
      <c r="AG20" s="57"/>
    </row>
    <row r="21" spans="2:38" ht="23.5" x14ac:dyDescent="0.25">
      <c r="B21" s="243" t="s">
        <v>5</v>
      </c>
      <c r="C21" s="278"/>
      <c r="D21" s="278"/>
      <c r="E21" s="336">
        <f>VIVALIS!$D$11</f>
        <v>4449</v>
      </c>
      <c r="F21" s="336">
        <f>VIVALIS!$E$11</f>
        <v>5026</v>
      </c>
      <c r="G21" s="280">
        <f>IF(F21=0,0,E21/F21-1)</f>
        <v>-0.11480302427377631</v>
      </c>
      <c r="H21" s="247"/>
      <c r="I21" s="336">
        <f>VIVALIS!$D$23</f>
        <v>5849</v>
      </c>
      <c r="J21" s="336">
        <f>VIVALIS!$E$23</f>
        <v>8309</v>
      </c>
      <c r="K21" s="280">
        <f>IF(J21=0,0,I21/J21-1)</f>
        <v>-0.29606450836442411</v>
      </c>
      <c r="L21" s="247"/>
      <c r="M21" s="336">
        <f>VIVALIS!$D$18</f>
        <v>0</v>
      </c>
      <c r="N21" s="336">
        <f>VIVALIS!$E$18</f>
        <v>0</v>
      </c>
      <c r="O21" s="280">
        <f>IF(N21=0,0,M21/N21-1)</f>
        <v>0</v>
      </c>
      <c r="P21" s="247"/>
      <c r="Q21" s="336">
        <f>VIVALIS!$D$28</f>
        <v>0</v>
      </c>
      <c r="R21" s="336">
        <f>VIVALIS!$E$28</f>
        <v>0</v>
      </c>
      <c r="S21" s="280">
        <f>IF(R21=0,0,Q21/R21-1)</f>
        <v>0</v>
      </c>
      <c r="T21" s="247"/>
      <c r="U21" s="336">
        <f>Q21+M21+I21+E21</f>
        <v>10298</v>
      </c>
      <c r="V21" s="336">
        <f>R21+N21+J21+F21</f>
        <v>13335</v>
      </c>
      <c r="W21" s="280">
        <f>IF(V21=0,0,U21/V21-1)</f>
        <v>-0.22774653168353953</v>
      </c>
      <c r="X21" s="57"/>
      <c r="AA21" s="57"/>
      <c r="AB21" s="57"/>
      <c r="AC21" s="58"/>
      <c r="AE21" s="314"/>
      <c r="AF21" s="314"/>
      <c r="AG21" s="314"/>
      <c r="AH21" s="314"/>
      <c r="AI21" s="314"/>
      <c r="AJ21" s="314"/>
      <c r="AL21" s="325"/>
    </row>
    <row r="22" spans="2:38" ht="18.5" x14ac:dyDescent="0.25">
      <c r="B22" s="248" t="s">
        <v>67</v>
      </c>
      <c r="C22" s="281"/>
      <c r="D22" s="281"/>
      <c r="E22" s="282">
        <f>E21/E$31</f>
        <v>0.12315570934256055</v>
      </c>
      <c r="F22" s="282">
        <f>F21/F$31</f>
        <v>0.15562298736685656</v>
      </c>
      <c r="G22" s="283">
        <f>(E22-F22)*100</f>
        <v>-3.2467278024296014</v>
      </c>
      <c r="H22" s="252"/>
      <c r="I22" s="282">
        <f>I21/I$31</f>
        <v>0.17999692260347747</v>
      </c>
      <c r="J22" s="282">
        <f>J21/J$31</f>
        <v>0.19831495536779797</v>
      </c>
      <c r="K22" s="283">
        <f>(I22-J22)*100</f>
        <v>-1.8318032764320509</v>
      </c>
      <c r="L22" s="252"/>
      <c r="M22" s="282">
        <f>M21/M$31</f>
        <v>0</v>
      </c>
      <c r="N22" s="282">
        <f>N21/N$31</f>
        <v>0</v>
      </c>
      <c r="O22" s="283">
        <f>(M22-N22)*100</f>
        <v>0</v>
      </c>
      <c r="P22" s="252"/>
      <c r="Q22" s="282">
        <f>Q21/Q$31</f>
        <v>0</v>
      </c>
      <c r="R22" s="282">
        <f>R21/R$31</f>
        <v>0</v>
      </c>
      <c r="S22" s="283">
        <f>(Q22-R22)*100</f>
        <v>0</v>
      </c>
      <c r="T22" s="252"/>
      <c r="U22" s="282">
        <f>U21/U$31</f>
        <v>0.10731219324114502</v>
      </c>
      <c r="V22" s="282">
        <f>V21/V$31</f>
        <v>0.14385113268608415</v>
      </c>
      <c r="W22" s="283">
        <f>(U22-V22)*100</f>
        <v>-3.6538939444939134</v>
      </c>
      <c r="AA22" s="57"/>
      <c r="AB22" s="57"/>
      <c r="AC22" s="58"/>
      <c r="AG22" s="57"/>
    </row>
    <row r="23" spans="2:38" ht="23.5" x14ac:dyDescent="0.25">
      <c r="B23" s="243" t="s">
        <v>6</v>
      </c>
      <c r="C23" s="244"/>
      <c r="D23" s="244"/>
      <c r="E23" s="337">
        <f>EQDOM!$D$11</f>
        <v>2667</v>
      </c>
      <c r="F23" s="337">
        <f>EQDOM!$E$11</f>
        <v>2138</v>
      </c>
      <c r="G23" s="246">
        <f>IF(F23=0,0,E23/F23-1)</f>
        <v>0.24742750233863431</v>
      </c>
      <c r="H23" s="247"/>
      <c r="I23" s="337">
        <f>EQDOM!$D$23</f>
        <v>6125</v>
      </c>
      <c r="J23" s="337">
        <f>EQDOM!$E$23</f>
        <v>8043</v>
      </c>
      <c r="K23" s="246">
        <f>IF(J23=0,0,I23/J23-1)</f>
        <v>-0.23846823324630118</v>
      </c>
      <c r="L23" s="247"/>
      <c r="M23" s="337">
        <f>EQDOM!$D$18</f>
        <v>12</v>
      </c>
      <c r="N23" s="337">
        <f>EQDOM!$E$18</f>
        <v>81</v>
      </c>
      <c r="O23" s="246">
        <f>IF(N23=0,0,M23/N23-1)</f>
        <v>-0.85185185185185186</v>
      </c>
      <c r="P23" s="247"/>
      <c r="Q23" s="337">
        <f>EQDOM!$D$28</f>
        <v>0</v>
      </c>
      <c r="R23" s="337">
        <f>EQDOM!$E$28</f>
        <v>0</v>
      </c>
      <c r="S23" s="246">
        <f>IF(R23=0,0,Q23/R23-1)</f>
        <v>0</v>
      </c>
      <c r="T23" s="247"/>
      <c r="U23" s="337">
        <f>Q23+M23+I23+E23</f>
        <v>8804</v>
      </c>
      <c r="V23" s="337">
        <f>R23+N23+J23+F23</f>
        <v>10262</v>
      </c>
      <c r="W23" s="246">
        <f>IF(V23=0,0,U23/V23-1)</f>
        <v>-0.14207756772558955</v>
      </c>
      <c r="X23" s="57"/>
      <c r="AE23" s="314"/>
      <c r="AF23" s="314"/>
      <c r="AG23" s="314"/>
      <c r="AH23" s="314"/>
      <c r="AI23" s="314"/>
      <c r="AJ23" s="314"/>
      <c r="AL23" s="325"/>
    </row>
    <row r="24" spans="2:38" ht="18.5" x14ac:dyDescent="0.25">
      <c r="B24" s="248" t="s">
        <v>67</v>
      </c>
      <c r="C24" s="249"/>
      <c r="D24" s="249"/>
      <c r="E24" s="250">
        <f>E23/E$31</f>
        <v>7.3826989619377156E-2</v>
      </c>
      <c r="F24" s="250">
        <f>F23/F$31</f>
        <v>6.620014862521674E-2</v>
      </c>
      <c r="G24" s="251">
        <f>(E24-F24)*100</f>
        <v>0.76268409941604165</v>
      </c>
      <c r="H24" s="252"/>
      <c r="I24" s="250">
        <f>I23/I$31</f>
        <v>0.18849053700569318</v>
      </c>
      <c r="J24" s="250">
        <f>J23/J$31</f>
        <v>0.19196620363740513</v>
      </c>
      <c r="K24" s="251">
        <f>(I24-J24)*100</f>
        <v>-0.34756666317119489</v>
      </c>
      <c r="L24" s="252"/>
      <c r="M24" s="250">
        <f>M23/M$31</f>
        <v>4.4041545858259626E-4</v>
      </c>
      <c r="N24" s="250">
        <f>N23/N$31</f>
        <v>4.4048072217086299E-3</v>
      </c>
      <c r="O24" s="251">
        <f>(M24-N24)*100</f>
        <v>-0.39643917631260339</v>
      </c>
      <c r="P24" s="252"/>
      <c r="Q24" s="250">
        <f>Q23/Q$31</f>
        <v>0</v>
      </c>
      <c r="R24" s="250">
        <f>R23/R$31</f>
        <v>0</v>
      </c>
      <c r="S24" s="251">
        <f>(Q24-R24)*100</f>
        <v>0</v>
      </c>
      <c r="T24" s="252"/>
      <c r="U24" s="250">
        <f>U23/U$31</f>
        <v>9.1743692881631464E-2</v>
      </c>
      <c r="V24" s="250">
        <f>V23/V$31</f>
        <v>0.11070118662351672</v>
      </c>
      <c r="W24" s="251">
        <f>(U24-V24)*100</f>
        <v>-1.8957493741885254</v>
      </c>
      <c r="AG24" s="57"/>
    </row>
    <row r="25" spans="2:38" ht="23.5" x14ac:dyDescent="0.25">
      <c r="B25" s="243" t="s">
        <v>4</v>
      </c>
      <c r="C25" s="244"/>
      <c r="D25" s="244"/>
      <c r="E25" s="337">
        <f>'RCI '!$D$11</f>
        <v>7423</v>
      </c>
      <c r="F25" s="337">
        <f>'RCI '!$E$11</f>
        <v>5984</v>
      </c>
      <c r="G25" s="246">
        <f>IF(F25=0,0,E25/F25-1)</f>
        <v>0.24047459893048129</v>
      </c>
      <c r="H25" s="247"/>
      <c r="I25" s="337">
        <f>'RCI '!$D$23</f>
        <v>0</v>
      </c>
      <c r="J25" s="337">
        <f>'RCI '!$E$23</f>
        <v>0</v>
      </c>
      <c r="K25" s="246">
        <f>IF(J25=0,0,I25/J25-1)</f>
        <v>0</v>
      </c>
      <c r="L25" s="247"/>
      <c r="M25" s="337">
        <f>'RCI '!$D$18</f>
        <v>0</v>
      </c>
      <c r="N25" s="337">
        <f>'RCI '!$E$18</f>
        <v>0</v>
      </c>
      <c r="O25" s="246">
        <f>IF(N25=0,0,M25/N25-1)</f>
        <v>0</v>
      </c>
      <c r="P25" s="247"/>
      <c r="Q25" s="337">
        <f>'RCI '!$D$28</f>
        <v>0</v>
      </c>
      <c r="R25" s="337">
        <f>'RCI '!$E$28</f>
        <v>0</v>
      </c>
      <c r="S25" s="246">
        <f>IF(R25=0,0,Q25/R25-1)</f>
        <v>0</v>
      </c>
      <c r="T25" s="247"/>
      <c r="U25" s="337">
        <f>Q25+M25+I25+E25</f>
        <v>7423</v>
      </c>
      <c r="V25" s="337">
        <f>R25+N25+J25+F25</f>
        <v>5984</v>
      </c>
      <c r="W25" s="246">
        <f>IF(V25=0,0,U25/V25-1)</f>
        <v>0.24047459893048129</v>
      </c>
      <c r="X25" s="57"/>
      <c r="Y25" s="332"/>
      <c r="AE25" s="314"/>
      <c r="AF25" s="314"/>
      <c r="AG25" s="314"/>
      <c r="AH25" s="314"/>
      <c r="AI25" s="314"/>
      <c r="AJ25" s="314"/>
      <c r="AL25" s="325"/>
    </row>
    <row r="26" spans="2:38" ht="18.5" x14ac:dyDescent="0.25">
      <c r="B26" s="248" t="s">
        <v>67</v>
      </c>
      <c r="C26" s="249"/>
      <c r="D26" s="249"/>
      <c r="E26" s="250">
        <f>E25/E$31</f>
        <v>0.2054809688581315</v>
      </c>
      <c r="F26" s="250">
        <f>F25/F$31</f>
        <v>0.18528610354223432</v>
      </c>
      <c r="G26" s="251">
        <f>(E26-F26)*100</f>
        <v>2.0194865315897177</v>
      </c>
      <c r="H26" s="252"/>
      <c r="I26" s="250">
        <f>I25/I$31</f>
        <v>0</v>
      </c>
      <c r="J26" s="250">
        <f>J25/J$31</f>
        <v>0</v>
      </c>
      <c r="K26" s="251">
        <f>(I26-J26)*100</f>
        <v>0</v>
      </c>
      <c r="L26" s="252"/>
      <c r="M26" s="250">
        <f>M25/M$31</f>
        <v>0</v>
      </c>
      <c r="N26" s="250">
        <f>N25/N$31</f>
        <v>0</v>
      </c>
      <c r="O26" s="251">
        <f>(M26-N26)*100</f>
        <v>0</v>
      </c>
      <c r="P26" s="252"/>
      <c r="Q26" s="250">
        <f>Q25/Q$31</f>
        <v>0</v>
      </c>
      <c r="R26" s="250">
        <f>R25/R$31</f>
        <v>0</v>
      </c>
      <c r="S26" s="251">
        <f>(Q26-R26)*100</f>
        <v>0</v>
      </c>
      <c r="T26" s="252"/>
      <c r="U26" s="250">
        <f>U25/U$31</f>
        <v>7.7352729697904396E-2</v>
      </c>
      <c r="V26" s="250">
        <f>V25/V$31</f>
        <v>6.455231930960087E-2</v>
      </c>
      <c r="W26" s="251">
        <f>(U26-V26)*100</f>
        <v>1.2800410388303527</v>
      </c>
      <c r="AG26" s="57"/>
    </row>
    <row r="27" spans="2:38" ht="23.5" x14ac:dyDescent="0.25">
      <c r="B27" s="243" t="s">
        <v>7</v>
      </c>
      <c r="C27" s="244"/>
      <c r="D27" s="244"/>
      <c r="E27" s="337">
        <f>SALAFIN!$D$11</f>
        <v>377</v>
      </c>
      <c r="F27" s="337">
        <f>SALAFIN!$E$11</f>
        <v>439</v>
      </c>
      <c r="G27" s="246">
        <f>IF(F27=0,0,E27/F27-1)</f>
        <v>-0.14123006833712981</v>
      </c>
      <c r="H27" s="247"/>
      <c r="I27" s="337">
        <f>SALAFIN!$D$23</f>
        <v>1534</v>
      </c>
      <c r="J27" s="337">
        <f>SALAFIN!$E$23</f>
        <v>1918</v>
      </c>
      <c r="K27" s="246">
        <f>IF(J27=0,0,I27/J27-1)</f>
        <v>-0.20020855057351405</v>
      </c>
      <c r="L27" s="247"/>
      <c r="M27" s="337">
        <f>SALAFIN!$D$18</f>
        <v>0</v>
      </c>
      <c r="N27" s="337">
        <f>SALAFIN!$E$18</f>
        <v>0</v>
      </c>
      <c r="O27" s="246">
        <f>IF(N27=0,0,M27/N27-1)</f>
        <v>0</v>
      </c>
      <c r="P27" s="247"/>
      <c r="Q27" s="337">
        <f>SALAFIN!$D$28</f>
        <v>8</v>
      </c>
      <c r="R27" s="337">
        <f>SALAFIN!$E$28</f>
        <v>73</v>
      </c>
      <c r="S27" s="246">
        <f>IF(R27=0,0,Q27/R27-1)</f>
        <v>-0.8904109589041096</v>
      </c>
      <c r="T27" s="247"/>
      <c r="U27" s="337">
        <f>Q27+M27+I27+E27</f>
        <v>1919</v>
      </c>
      <c r="V27" s="337">
        <f>R27+N27+J27+F27</f>
        <v>2430</v>
      </c>
      <c r="W27" s="246">
        <f>IF(V27=0,0,U27/V27-1)</f>
        <v>-0.21028806584362136</v>
      </c>
      <c r="X27" s="57"/>
      <c r="AE27" s="314"/>
      <c r="AF27" s="314"/>
      <c r="AG27" s="314"/>
      <c r="AH27" s="314"/>
      <c r="AI27" s="314"/>
      <c r="AJ27" s="314"/>
      <c r="AL27" s="325"/>
    </row>
    <row r="28" spans="2:38" ht="18.5" x14ac:dyDescent="0.25">
      <c r="B28" s="248" t="s">
        <v>67</v>
      </c>
      <c r="C28" s="249"/>
      <c r="D28" s="249"/>
      <c r="E28" s="250">
        <f>E27/E$31</f>
        <v>1.043598615916955E-2</v>
      </c>
      <c r="F28" s="250">
        <f>F27/F$31</f>
        <v>1.3593014614812981E-2</v>
      </c>
      <c r="G28" s="251">
        <f>(E28-F28)*100</f>
        <v>-0.31570284556434303</v>
      </c>
      <c r="H28" s="252"/>
      <c r="I28" s="250">
        <f>I27/I$31</f>
        <v>4.7207262655793197E-2</v>
      </c>
      <c r="J28" s="250">
        <f>J27/J$31</f>
        <v>4.5777841424411665E-2</v>
      </c>
      <c r="K28" s="251">
        <f>(I28-J28)*100</f>
        <v>0.14294212313815322</v>
      </c>
      <c r="L28" s="252"/>
      <c r="M28" s="250">
        <f>M27/M$31</f>
        <v>0</v>
      </c>
      <c r="N28" s="250">
        <f>N27/N$31</f>
        <v>0</v>
      </c>
      <c r="O28" s="251">
        <f>(M28-N28)*100</f>
        <v>0</v>
      </c>
      <c r="P28" s="252"/>
      <c r="Q28" s="250">
        <f>Q27/Q$31</f>
        <v>8.3333333333333329E-2</v>
      </c>
      <c r="R28" s="250">
        <f>R27/R$31</f>
        <v>0.62393162393162394</v>
      </c>
      <c r="S28" s="251">
        <f>(Q28-R28)*100</f>
        <v>-54.059829059829056</v>
      </c>
      <c r="T28" s="252"/>
      <c r="U28" s="250">
        <f>U27/U$31</f>
        <v>1.9997290622427395E-2</v>
      </c>
      <c r="V28" s="250">
        <f>V27/V$31</f>
        <v>2.621359223300971E-2</v>
      </c>
      <c r="W28" s="251">
        <f>(U28-V28)*100</f>
        <v>-0.62163016105823143</v>
      </c>
      <c r="AG28" s="57"/>
    </row>
    <row r="29" spans="2:38" ht="23.5" x14ac:dyDescent="0.25">
      <c r="B29" s="243" t="s">
        <v>11</v>
      </c>
      <c r="C29" s="244"/>
      <c r="D29" s="244"/>
      <c r="E29" s="337">
        <f>'AXA CREDIT'!$D$11</f>
        <v>5</v>
      </c>
      <c r="F29" s="337">
        <f>'AXA CREDIT'!$E$11</f>
        <v>5</v>
      </c>
      <c r="G29" s="246">
        <f>IF(F29=0,0,E29/F29-1)</f>
        <v>0</v>
      </c>
      <c r="H29" s="247"/>
      <c r="I29" s="337">
        <f>'AXA CREDIT'!$D$23</f>
        <v>2167</v>
      </c>
      <c r="J29" s="337">
        <f>'AXA CREDIT'!$E$23</f>
        <v>3772</v>
      </c>
      <c r="K29" s="246">
        <f>IF(J29=0,0,I29/J29-1)</f>
        <v>-0.42550371155885469</v>
      </c>
      <c r="L29" s="247"/>
      <c r="M29" s="337">
        <f>'AXA CREDIT'!$D$18</f>
        <v>0</v>
      </c>
      <c r="N29" s="337">
        <f>'AXA CREDIT'!$E$18</f>
        <v>0</v>
      </c>
      <c r="O29" s="246">
        <f>IF(N29=0,0,M29/N29-1)</f>
        <v>0</v>
      </c>
      <c r="P29" s="247"/>
      <c r="Q29" s="337">
        <f>'AXA CREDIT'!$D$28</f>
        <v>0</v>
      </c>
      <c r="R29" s="337">
        <f>'AXA CREDIT'!$E$28</f>
        <v>0</v>
      </c>
      <c r="S29" s="246">
        <f>IF(R29=0,0,Q29/R29-1)</f>
        <v>0</v>
      </c>
      <c r="T29" s="247"/>
      <c r="U29" s="337">
        <f>Q29+M29+I29+E29</f>
        <v>2172</v>
      </c>
      <c r="V29" s="337">
        <f>R29+N29+J29+F29</f>
        <v>3777</v>
      </c>
      <c r="W29" s="246">
        <f>IF(V29=0,0,U29/V29-1)</f>
        <v>-0.42494042891183481</v>
      </c>
      <c r="X29" s="57"/>
      <c r="AE29" s="314"/>
      <c r="AF29" s="314"/>
      <c r="AG29" s="314"/>
      <c r="AH29" s="314"/>
      <c r="AI29" s="314"/>
      <c r="AJ29" s="314"/>
      <c r="AL29" s="325"/>
    </row>
    <row r="30" spans="2:38" ht="19" thickBot="1" x14ac:dyDescent="0.3">
      <c r="B30" s="248" t="s">
        <v>67</v>
      </c>
      <c r="C30" s="249"/>
      <c r="D30" s="249"/>
      <c r="E30" s="250">
        <f>E29/E$31</f>
        <v>1.3840830449826991E-4</v>
      </c>
      <c r="F30" s="250">
        <f>F29/F$31</f>
        <v>1.5481793410948723E-4</v>
      </c>
      <c r="G30" s="251">
        <f>(E30-F30)*100</f>
        <v>-1.6409629611217327E-3</v>
      </c>
      <c r="H30" s="252"/>
      <c r="I30" s="250">
        <f>I29/I$31</f>
        <v>6.6687182643483611E-2</v>
      </c>
      <c r="J30" s="250">
        <f>J29/J$31</f>
        <v>9.0028163635495734E-2</v>
      </c>
      <c r="K30" s="251">
        <f>(I30-J30)*100</f>
        <v>-2.3340980992012121</v>
      </c>
      <c r="L30" s="252"/>
      <c r="M30" s="250">
        <f>M29/M$31</f>
        <v>0</v>
      </c>
      <c r="N30" s="250">
        <f>N29/N$31</f>
        <v>0</v>
      </c>
      <c r="O30" s="251">
        <f>(M30-N30)*100</f>
        <v>0</v>
      </c>
      <c r="P30" s="252"/>
      <c r="Q30" s="250">
        <f>Q29/Q$31</f>
        <v>0</v>
      </c>
      <c r="R30" s="250">
        <f>R29/R$31</f>
        <v>0</v>
      </c>
      <c r="S30" s="251">
        <f>(Q30-R30)*100</f>
        <v>0</v>
      </c>
      <c r="T30" s="252"/>
      <c r="U30" s="250">
        <f>U29/U$31</f>
        <v>2.263372341423257E-2</v>
      </c>
      <c r="V30" s="250">
        <f>V29/V$31</f>
        <v>4.0744336569579286E-2</v>
      </c>
      <c r="W30" s="251">
        <f>(U30-V30)*100</f>
        <v>-1.8110613155346715</v>
      </c>
      <c r="AG30" s="57"/>
    </row>
    <row r="31" spans="2:38" ht="26.5" thickBot="1" x14ac:dyDescent="0.65">
      <c r="B31" s="231" t="s">
        <v>8</v>
      </c>
      <c r="C31" s="232"/>
      <c r="D31" s="233"/>
      <c r="E31" s="338">
        <f>GLOBAL!$D$11</f>
        <v>36125</v>
      </c>
      <c r="F31" s="338">
        <f>GLOBAL!$E$11</f>
        <v>32296</v>
      </c>
      <c r="G31" s="234">
        <f>IF(F31=0,0,E31/F31-1)</f>
        <v>0.11855957394104544</v>
      </c>
      <c r="H31" s="239"/>
      <c r="I31" s="338">
        <f>GLOBAL!$D$23</f>
        <v>32495</v>
      </c>
      <c r="J31" s="338">
        <f>GLOBAL!$E$23</f>
        <v>41898</v>
      </c>
      <c r="K31" s="234">
        <f>IF(J31=0,0,I31/J31-1)</f>
        <v>-0.22442598692061677</v>
      </c>
      <c r="L31" s="239"/>
      <c r="M31" s="339">
        <f>GLOBAL!$D$18</f>
        <v>27247</v>
      </c>
      <c r="N31" s="339">
        <f>GLOBAL!$E$18</f>
        <v>18389</v>
      </c>
      <c r="O31" s="234">
        <f>IF(N31=0,0,M31/N31-1)</f>
        <v>0.48170101691228462</v>
      </c>
      <c r="P31" s="239"/>
      <c r="Q31" s="339">
        <f>GLOBAL!$D$28</f>
        <v>96</v>
      </c>
      <c r="R31" s="339">
        <f>GLOBAL!$E$28</f>
        <v>117</v>
      </c>
      <c r="S31" s="234">
        <f>IF(R31=0,0,Q31/R31-1)</f>
        <v>-0.17948717948717952</v>
      </c>
      <c r="T31" s="239"/>
      <c r="U31" s="338">
        <f>Q31+M31+I31+E31</f>
        <v>95963</v>
      </c>
      <c r="V31" s="338">
        <f>R31+N31+J31+F31</f>
        <v>92700</v>
      </c>
      <c r="W31" s="234">
        <f>IF(V31=0,0,U31/V31-1)</f>
        <v>3.5199568500539291E-2</v>
      </c>
      <c r="X31" s="64"/>
      <c r="Y31" s="263"/>
      <c r="AE31" s="314"/>
      <c r="AF31" s="314"/>
      <c r="AG31" s="314"/>
      <c r="AH31" s="314"/>
      <c r="AI31" s="314"/>
      <c r="AJ31" s="314"/>
      <c r="AL31" s="325"/>
    </row>
  </sheetData>
  <mergeCells count="8">
    <mergeCell ref="B9:W9"/>
    <mergeCell ref="AE14:AG15"/>
    <mergeCell ref="AH14:AJ14"/>
    <mergeCell ref="E12:G12"/>
    <mergeCell ref="I12:K12"/>
    <mergeCell ref="M12:O12"/>
    <mergeCell ref="Q12:S12"/>
    <mergeCell ref="U12:W12"/>
  </mergeCells>
  <printOptions horizontalCentered="1"/>
  <pageMargins left="0" right="0" top="0" bottom="0" header="0" footer="0"/>
  <pageSetup paperSize="9" scale="44" fitToHeight="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tabColor rgb="FF0070C0"/>
  </sheetPr>
  <dimension ref="A2:AX44"/>
  <sheetViews>
    <sheetView showGridLines="0" view="pageBreakPreview" zoomScale="60" zoomScaleNormal="60" workbookViewId="0">
      <pane xSplit="1" topLeftCell="B1" activePane="topRight" state="frozen"/>
      <selection activeCell="B50" sqref="B50"/>
      <selection pane="topRight" activeCell="B50" sqref="B50"/>
    </sheetView>
  </sheetViews>
  <sheetFormatPr baseColWidth="10" defaultColWidth="11.453125" defaultRowHeight="12.5" x14ac:dyDescent="0.25"/>
  <cols>
    <col min="1" max="1" width="35.7265625" style="2" customWidth="1"/>
    <col min="2" max="2" width="1.453125" style="2" customWidth="1"/>
    <col min="3" max="3" width="17.81640625" style="2" bestFit="1" customWidth="1"/>
    <col min="4" max="4" width="15.54296875" style="2" bestFit="1" customWidth="1"/>
    <col min="5" max="5" width="17.54296875" style="2" bestFit="1" customWidth="1"/>
    <col min="6" max="6" width="1.26953125" style="2" customWidth="1"/>
    <col min="7" max="7" width="17.81640625" style="2" bestFit="1" customWidth="1"/>
    <col min="8" max="8" width="15.54296875" style="2" bestFit="1" customWidth="1"/>
    <col min="9" max="9" width="16.1796875" style="2" customWidth="1"/>
    <col min="10" max="10" width="1.7265625" style="2" customWidth="1"/>
    <col min="11" max="12" width="15.453125" style="2" bestFit="1" customWidth="1"/>
    <col min="13" max="13" width="18.453125" style="2" customWidth="1"/>
    <col min="14" max="14" width="1.26953125" style="2" customWidth="1"/>
    <col min="15" max="16" width="15.453125" style="2" bestFit="1" customWidth="1"/>
    <col min="17" max="17" width="18.453125" style="2" customWidth="1"/>
    <col min="18" max="18" width="1.26953125" style="2" customWidth="1"/>
    <col min="19" max="20" width="15.453125" style="2" bestFit="1" customWidth="1"/>
    <col min="21" max="21" width="18.453125" style="2" customWidth="1"/>
    <col min="22" max="22" width="1.26953125" style="2" customWidth="1"/>
    <col min="23" max="24" width="15.453125" style="2" customWidth="1"/>
    <col min="25" max="25" width="18.453125" style="2" customWidth="1"/>
    <col min="26" max="26" width="1.26953125" style="2" customWidth="1"/>
    <col min="27" max="29" width="19.26953125" style="2" hidden="1" customWidth="1"/>
    <col min="30" max="30" width="1.7265625" style="2" hidden="1" customWidth="1"/>
    <col min="31" max="31" width="17.1796875" style="2" hidden="1" customWidth="1"/>
    <col min="32" max="32" width="15.54296875" style="2" hidden="1" customWidth="1"/>
    <col min="33" max="33" width="17" style="2" hidden="1" customWidth="1"/>
    <col min="34" max="34" width="1.7265625" style="2" hidden="1" customWidth="1"/>
    <col min="35" max="37" width="18.7265625" style="2" bestFit="1" customWidth="1"/>
    <col min="38" max="38" width="13.54296875" style="35" bestFit="1" customWidth="1"/>
    <col min="39" max="39" width="13.1796875" style="35" bestFit="1" customWidth="1"/>
    <col min="40" max="40" width="13.54296875" style="35" bestFit="1" customWidth="1"/>
    <col min="41" max="41" width="13.1796875" style="35" bestFit="1" customWidth="1"/>
    <col min="42" max="42" width="13.54296875" style="35" bestFit="1" customWidth="1"/>
    <col min="43" max="43" width="13.1796875" style="35" bestFit="1" customWidth="1"/>
    <col min="44" max="44" width="13.54296875" style="35" bestFit="1" customWidth="1"/>
    <col min="45" max="45" width="13.1796875" style="35" bestFit="1" customWidth="1"/>
    <col min="46" max="46" width="13.54296875" style="35" bestFit="1" customWidth="1"/>
    <col min="47" max="47" width="13.1796875" style="35" bestFit="1" customWidth="1"/>
    <col min="48" max="48" width="11.453125" style="29"/>
    <col min="49" max="256" width="11.453125" style="2"/>
    <col min="257" max="257" width="27.453125" style="2" customWidth="1"/>
    <col min="258" max="258" width="1.453125" style="2" customWidth="1"/>
    <col min="259" max="259" width="17.81640625" style="2" bestFit="1" customWidth="1"/>
    <col min="260" max="260" width="15.54296875" style="2" bestFit="1" customWidth="1"/>
    <col min="261" max="261" width="16.1796875" style="2" customWidth="1"/>
    <col min="262" max="262" width="1.26953125" style="2" customWidth="1"/>
    <col min="263" max="263" width="17.81640625" style="2" bestFit="1" customWidth="1"/>
    <col min="264" max="264" width="15.54296875" style="2" bestFit="1" customWidth="1"/>
    <col min="265" max="265" width="16.1796875" style="2" customWidth="1"/>
    <col min="266" max="266" width="1.7265625" style="2" customWidth="1"/>
    <col min="267" max="268" width="15.453125" style="2" bestFit="1" customWidth="1"/>
    <col min="269" max="269" width="18.453125" style="2" customWidth="1"/>
    <col min="270" max="270" width="1.26953125" style="2" customWidth="1"/>
    <col min="271" max="272" width="15.453125" style="2" bestFit="1" customWidth="1"/>
    <col min="273" max="273" width="18.453125" style="2" customWidth="1"/>
    <col min="274" max="274" width="1.26953125" style="2" customWidth="1"/>
    <col min="275" max="276" width="15.453125" style="2" bestFit="1" customWidth="1"/>
    <col min="277" max="277" width="18.453125" style="2" customWidth="1"/>
    <col min="278" max="278" width="1.26953125" style="2" customWidth="1"/>
    <col min="279" max="280" width="15.453125" style="2" customWidth="1"/>
    <col min="281" max="281" width="18.453125" style="2" customWidth="1"/>
    <col min="282" max="282" width="1.26953125" style="2" customWidth="1"/>
    <col min="283" max="290" width="11.453125" style="2" customWidth="1"/>
    <col min="291" max="293" width="18.7265625" style="2" bestFit="1" customWidth="1"/>
    <col min="294" max="294" width="13.54296875" style="2" bestFit="1" customWidth="1"/>
    <col min="295" max="295" width="13.1796875" style="2" bestFit="1" customWidth="1"/>
    <col min="296" max="296" width="13.54296875" style="2" bestFit="1" customWidth="1"/>
    <col min="297" max="297" width="13.1796875" style="2" bestFit="1" customWidth="1"/>
    <col min="298" max="298" width="13.54296875" style="2" bestFit="1" customWidth="1"/>
    <col min="299" max="299" width="13.1796875" style="2" bestFit="1" customWidth="1"/>
    <col min="300" max="300" width="13.54296875" style="2" bestFit="1" customWidth="1"/>
    <col min="301" max="301" width="13.1796875" style="2" bestFit="1" customWidth="1"/>
    <col min="302" max="302" width="13.54296875" style="2" bestFit="1" customWidth="1"/>
    <col min="303" max="303" width="13.1796875" style="2" bestFit="1" customWidth="1"/>
    <col min="304" max="512" width="11.453125" style="2"/>
    <col min="513" max="513" width="27.453125" style="2" customWidth="1"/>
    <col min="514" max="514" width="1.453125" style="2" customWidth="1"/>
    <col min="515" max="515" width="17.81640625" style="2" bestFit="1" customWidth="1"/>
    <col min="516" max="516" width="15.54296875" style="2" bestFit="1" customWidth="1"/>
    <col min="517" max="517" width="16.1796875" style="2" customWidth="1"/>
    <col min="518" max="518" width="1.26953125" style="2" customWidth="1"/>
    <col min="519" max="519" width="17.81640625" style="2" bestFit="1" customWidth="1"/>
    <col min="520" max="520" width="15.54296875" style="2" bestFit="1" customWidth="1"/>
    <col min="521" max="521" width="16.1796875" style="2" customWidth="1"/>
    <col min="522" max="522" width="1.7265625" style="2" customWidth="1"/>
    <col min="523" max="524" width="15.453125" style="2" bestFit="1" customWidth="1"/>
    <col min="525" max="525" width="18.453125" style="2" customWidth="1"/>
    <col min="526" max="526" width="1.26953125" style="2" customWidth="1"/>
    <col min="527" max="528" width="15.453125" style="2" bestFit="1" customWidth="1"/>
    <col min="529" max="529" width="18.453125" style="2" customWidth="1"/>
    <col min="530" max="530" width="1.26953125" style="2" customWidth="1"/>
    <col min="531" max="532" width="15.453125" style="2" bestFit="1" customWidth="1"/>
    <col min="533" max="533" width="18.453125" style="2" customWidth="1"/>
    <col min="534" max="534" width="1.26953125" style="2" customWidth="1"/>
    <col min="535" max="536" width="15.453125" style="2" customWidth="1"/>
    <col min="537" max="537" width="18.453125" style="2" customWidth="1"/>
    <col min="538" max="538" width="1.26953125" style="2" customWidth="1"/>
    <col min="539" max="546" width="11.453125" style="2" customWidth="1"/>
    <col min="547" max="549" width="18.7265625" style="2" bestFit="1" customWidth="1"/>
    <col min="550" max="550" width="13.54296875" style="2" bestFit="1" customWidth="1"/>
    <col min="551" max="551" width="13.1796875" style="2" bestFit="1" customWidth="1"/>
    <col min="552" max="552" width="13.54296875" style="2" bestFit="1" customWidth="1"/>
    <col min="553" max="553" width="13.1796875" style="2" bestFit="1" customWidth="1"/>
    <col min="554" max="554" width="13.54296875" style="2" bestFit="1" customWidth="1"/>
    <col min="555" max="555" width="13.1796875" style="2" bestFit="1" customWidth="1"/>
    <col min="556" max="556" width="13.54296875" style="2" bestFit="1" customWidth="1"/>
    <col min="557" max="557" width="13.1796875" style="2" bestFit="1" customWidth="1"/>
    <col min="558" max="558" width="13.54296875" style="2" bestFit="1" customWidth="1"/>
    <col min="559" max="559" width="13.1796875" style="2" bestFit="1" customWidth="1"/>
    <col min="560" max="768" width="11.453125" style="2"/>
    <col min="769" max="769" width="27.453125" style="2" customWidth="1"/>
    <col min="770" max="770" width="1.453125" style="2" customWidth="1"/>
    <col min="771" max="771" width="17.81640625" style="2" bestFit="1" customWidth="1"/>
    <col min="772" max="772" width="15.54296875" style="2" bestFit="1" customWidth="1"/>
    <col min="773" max="773" width="16.1796875" style="2" customWidth="1"/>
    <col min="774" max="774" width="1.26953125" style="2" customWidth="1"/>
    <col min="775" max="775" width="17.81640625" style="2" bestFit="1" customWidth="1"/>
    <col min="776" max="776" width="15.54296875" style="2" bestFit="1" customWidth="1"/>
    <col min="777" max="777" width="16.1796875" style="2" customWidth="1"/>
    <col min="778" max="778" width="1.7265625" style="2" customWidth="1"/>
    <col min="779" max="780" width="15.453125" style="2" bestFit="1" customWidth="1"/>
    <col min="781" max="781" width="18.453125" style="2" customWidth="1"/>
    <col min="782" max="782" width="1.26953125" style="2" customWidth="1"/>
    <col min="783" max="784" width="15.453125" style="2" bestFit="1" customWidth="1"/>
    <col min="785" max="785" width="18.453125" style="2" customWidth="1"/>
    <col min="786" max="786" width="1.26953125" style="2" customWidth="1"/>
    <col min="787" max="788" width="15.453125" style="2" bestFit="1" customWidth="1"/>
    <col min="789" max="789" width="18.453125" style="2" customWidth="1"/>
    <col min="790" max="790" width="1.26953125" style="2" customWidth="1"/>
    <col min="791" max="792" width="15.453125" style="2" customWidth="1"/>
    <col min="793" max="793" width="18.453125" style="2" customWidth="1"/>
    <col min="794" max="794" width="1.26953125" style="2" customWidth="1"/>
    <col min="795" max="802" width="11.453125" style="2" customWidth="1"/>
    <col min="803" max="805" width="18.7265625" style="2" bestFit="1" customWidth="1"/>
    <col min="806" max="806" width="13.54296875" style="2" bestFit="1" customWidth="1"/>
    <col min="807" max="807" width="13.1796875" style="2" bestFit="1" customWidth="1"/>
    <col min="808" max="808" width="13.54296875" style="2" bestFit="1" customWidth="1"/>
    <col min="809" max="809" width="13.1796875" style="2" bestFit="1" customWidth="1"/>
    <col min="810" max="810" width="13.54296875" style="2" bestFit="1" customWidth="1"/>
    <col min="811" max="811" width="13.1796875" style="2" bestFit="1" customWidth="1"/>
    <col min="812" max="812" width="13.54296875" style="2" bestFit="1" customWidth="1"/>
    <col min="813" max="813" width="13.1796875" style="2" bestFit="1" customWidth="1"/>
    <col min="814" max="814" width="13.54296875" style="2" bestFit="1" customWidth="1"/>
    <col min="815" max="815" width="13.1796875" style="2" bestFit="1" customWidth="1"/>
    <col min="816" max="1024" width="11.453125" style="2"/>
    <col min="1025" max="1025" width="27.453125" style="2" customWidth="1"/>
    <col min="1026" max="1026" width="1.453125" style="2" customWidth="1"/>
    <col min="1027" max="1027" width="17.81640625" style="2" bestFit="1" customWidth="1"/>
    <col min="1028" max="1028" width="15.54296875" style="2" bestFit="1" customWidth="1"/>
    <col min="1029" max="1029" width="16.1796875" style="2" customWidth="1"/>
    <col min="1030" max="1030" width="1.26953125" style="2" customWidth="1"/>
    <col min="1031" max="1031" width="17.81640625" style="2" bestFit="1" customWidth="1"/>
    <col min="1032" max="1032" width="15.54296875" style="2" bestFit="1" customWidth="1"/>
    <col min="1033" max="1033" width="16.1796875" style="2" customWidth="1"/>
    <col min="1034" max="1034" width="1.7265625" style="2" customWidth="1"/>
    <col min="1035" max="1036" width="15.453125" style="2" bestFit="1" customWidth="1"/>
    <col min="1037" max="1037" width="18.453125" style="2" customWidth="1"/>
    <col min="1038" max="1038" width="1.26953125" style="2" customWidth="1"/>
    <col min="1039" max="1040" width="15.453125" style="2" bestFit="1" customWidth="1"/>
    <col min="1041" max="1041" width="18.453125" style="2" customWidth="1"/>
    <col min="1042" max="1042" width="1.26953125" style="2" customWidth="1"/>
    <col min="1043" max="1044" width="15.453125" style="2" bestFit="1" customWidth="1"/>
    <col min="1045" max="1045" width="18.453125" style="2" customWidth="1"/>
    <col min="1046" max="1046" width="1.26953125" style="2" customWidth="1"/>
    <col min="1047" max="1048" width="15.453125" style="2" customWidth="1"/>
    <col min="1049" max="1049" width="18.453125" style="2" customWidth="1"/>
    <col min="1050" max="1050" width="1.26953125" style="2" customWidth="1"/>
    <col min="1051" max="1058" width="11.453125" style="2" customWidth="1"/>
    <col min="1059" max="1061" width="18.7265625" style="2" bestFit="1" customWidth="1"/>
    <col min="1062" max="1062" width="13.54296875" style="2" bestFit="1" customWidth="1"/>
    <col min="1063" max="1063" width="13.1796875" style="2" bestFit="1" customWidth="1"/>
    <col min="1064" max="1064" width="13.54296875" style="2" bestFit="1" customWidth="1"/>
    <col min="1065" max="1065" width="13.1796875" style="2" bestFit="1" customWidth="1"/>
    <col min="1066" max="1066" width="13.54296875" style="2" bestFit="1" customWidth="1"/>
    <col min="1067" max="1067" width="13.1796875" style="2" bestFit="1" customWidth="1"/>
    <col min="1068" max="1068" width="13.54296875" style="2" bestFit="1" customWidth="1"/>
    <col min="1069" max="1069" width="13.1796875" style="2" bestFit="1" customWidth="1"/>
    <col min="1070" max="1070" width="13.54296875" style="2" bestFit="1" customWidth="1"/>
    <col min="1071" max="1071" width="13.1796875" style="2" bestFit="1" customWidth="1"/>
    <col min="1072" max="1280" width="11.453125" style="2"/>
    <col min="1281" max="1281" width="27.453125" style="2" customWidth="1"/>
    <col min="1282" max="1282" width="1.453125" style="2" customWidth="1"/>
    <col min="1283" max="1283" width="17.81640625" style="2" bestFit="1" customWidth="1"/>
    <col min="1284" max="1284" width="15.54296875" style="2" bestFit="1" customWidth="1"/>
    <col min="1285" max="1285" width="16.1796875" style="2" customWidth="1"/>
    <col min="1286" max="1286" width="1.26953125" style="2" customWidth="1"/>
    <col min="1287" max="1287" width="17.81640625" style="2" bestFit="1" customWidth="1"/>
    <col min="1288" max="1288" width="15.54296875" style="2" bestFit="1" customWidth="1"/>
    <col min="1289" max="1289" width="16.1796875" style="2" customWidth="1"/>
    <col min="1290" max="1290" width="1.7265625" style="2" customWidth="1"/>
    <col min="1291" max="1292" width="15.453125" style="2" bestFit="1" customWidth="1"/>
    <col min="1293" max="1293" width="18.453125" style="2" customWidth="1"/>
    <col min="1294" max="1294" width="1.26953125" style="2" customWidth="1"/>
    <col min="1295" max="1296" width="15.453125" style="2" bestFit="1" customWidth="1"/>
    <col min="1297" max="1297" width="18.453125" style="2" customWidth="1"/>
    <col min="1298" max="1298" width="1.26953125" style="2" customWidth="1"/>
    <col min="1299" max="1300" width="15.453125" style="2" bestFit="1" customWidth="1"/>
    <col min="1301" max="1301" width="18.453125" style="2" customWidth="1"/>
    <col min="1302" max="1302" width="1.26953125" style="2" customWidth="1"/>
    <col min="1303" max="1304" width="15.453125" style="2" customWidth="1"/>
    <col min="1305" max="1305" width="18.453125" style="2" customWidth="1"/>
    <col min="1306" max="1306" width="1.26953125" style="2" customWidth="1"/>
    <col min="1307" max="1314" width="11.453125" style="2" customWidth="1"/>
    <col min="1315" max="1317" width="18.7265625" style="2" bestFit="1" customWidth="1"/>
    <col min="1318" max="1318" width="13.54296875" style="2" bestFit="1" customWidth="1"/>
    <col min="1319" max="1319" width="13.1796875" style="2" bestFit="1" customWidth="1"/>
    <col min="1320" max="1320" width="13.54296875" style="2" bestFit="1" customWidth="1"/>
    <col min="1321" max="1321" width="13.1796875" style="2" bestFit="1" customWidth="1"/>
    <col min="1322" max="1322" width="13.54296875" style="2" bestFit="1" customWidth="1"/>
    <col min="1323" max="1323" width="13.1796875" style="2" bestFit="1" customWidth="1"/>
    <col min="1324" max="1324" width="13.54296875" style="2" bestFit="1" customWidth="1"/>
    <col min="1325" max="1325" width="13.1796875" style="2" bestFit="1" customWidth="1"/>
    <col min="1326" max="1326" width="13.54296875" style="2" bestFit="1" customWidth="1"/>
    <col min="1327" max="1327" width="13.1796875" style="2" bestFit="1" customWidth="1"/>
    <col min="1328" max="1536" width="11.453125" style="2"/>
    <col min="1537" max="1537" width="27.453125" style="2" customWidth="1"/>
    <col min="1538" max="1538" width="1.453125" style="2" customWidth="1"/>
    <col min="1539" max="1539" width="17.81640625" style="2" bestFit="1" customWidth="1"/>
    <col min="1540" max="1540" width="15.54296875" style="2" bestFit="1" customWidth="1"/>
    <col min="1541" max="1541" width="16.1796875" style="2" customWidth="1"/>
    <col min="1542" max="1542" width="1.26953125" style="2" customWidth="1"/>
    <col min="1543" max="1543" width="17.81640625" style="2" bestFit="1" customWidth="1"/>
    <col min="1544" max="1544" width="15.54296875" style="2" bestFit="1" customWidth="1"/>
    <col min="1545" max="1545" width="16.1796875" style="2" customWidth="1"/>
    <col min="1546" max="1546" width="1.7265625" style="2" customWidth="1"/>
    <col min="1547" max="1548" width="15.453125" style="2" bestFit="1" customWidth="1"/>
    <col min="1549" max="1549" width="18.453125" style="2" customWidth="1"/>
    <col min="1550" max="1550" width="1.26953125" style="2" customWidth="1"/>
    <col min="1551" max="1552" width="15.453125" style="2" bestFit="1" customWidth="1"/>
    <col min="1553" max="1553" width="18.453125" style="2" customWidth="1"/>
    <col min="1554" max="1554" width="1.26953125" style="2" customWidth="1"/>
    <col min="1555" max="1556" width="15.453125" style="2" bestFit="1" customWidth="1"/>
    <col min="1557" max="1557" width="18.453125" style="2" customWidth="1"/>
    <col min="1558" max="1558" width="1.26953125" style="2" customWidth="1"/>
    <col min="1559" max="1560" width="15.453125" style="2" customWidth="1"/>
    <col min="1561" max="1561" width="18.453125" style="2" customWidth="1"/>
    <col min="1562" max="1562" width="1.26953125" style="2" customWidth="1"/>
    <col min="1563" max="1570" width="11.453125" style="2" customWidth="1"/>
    <col min="1571" max="1573" width="18.7265625" style="2" bestFit="1" customWidth="1"/>
    <col min="1574" max="1574" width="13.54296875" style="2" bestFit="1" customWidth="1"/>
    <col min="1575" max="1575" width="13.1796875" style="2" bestFit="1" customWidth="1"/>
    <col min="1576" max="1576" width="13.54296875" style="2" bestFit="1" customWidth="1"/>
    <col min="1577" max="1577" width="13.1796875" style="2" bestFit="1" customWidth="1"/>
    <col min="1578" max="1578" width="13.54296875" style="2" bestFit="1" customWidth="1"/>
    <col min="1579" max="1579" width="13.1796875" style="2" bestFit="1" customWidth="1"/>
    <col min="1580" max="1580" width="13.54296875" style="2" bestFit="1" customWidth="1"/>
    <col min="1581" max="1581" width="13.1796875" style="2" bestFit="1" customWidth="1"/>
    <col min="1582" max="1582" width="13.54296875" style="2" bestFit="1" customWidth="1"/>
    <col min="1583" max="1583" width="13.1796875" style="2" bestFit="1" customWidth="1"/>
    <col min="1584" max="1792" width="11.453125" style="2"/>
    <col min="1793" max="1793" width="27.453125" style="2" customWidth="1"/>
    <col min="1794" max="1794" width="1.453125" style="2" customWidth="1"/>
    <col min="1795" max="1795" width="17.81640625" style="2" bestFit="1" customWidth="1"/>
    <col min="1796" max="1796" width="15.54296875" style="2" bestFit="1" customWidth="1"/>
    <col min="1797" max="1797" width="16.1796875" style="2" customWidth="1"/>
    <col min="1798" max="1798" width="1.26953125" style="2" customWidth="1"/>
    <col min="1799" max="1799" width="17.81640625" style="2" bestFit="1" customWidth="1"/>
    <col min="1800" max="1800" width="15.54296875" style="2" bestFit="1" customWidth="1"/>
    <col min="1801" max="1801" width="16.1796875" style="2" customWidth="1"/>
    <col min="1802" max="1802" width="1.7265625" style="2" customWidth="1"/>
    <col min="1803" max="1804" width="15.453125" style="2" bestFit="1" customWidth="1"/>
    <col min="1805" max="1805" width="18.453125" style="2" customWidth="1"/>
    <col min="1806" max="1806" width="1.26953125" style="2" customWidth="1"/>
    <col min="1807" max="1808" width="15.453125" style="2" bestFit="1" customWidth="1"/>
    <col min="1809" max="1809" width="18.453125" style="2" customWidth="1"/>
    <col min="1810" max="1810" width="1.26953125" style="2" customWidth="1"/>
    <col min="1811" max="1812" width="15.453125" style="2" bestFit="1" customWidth="1"/>
    <col min="1813" max="1813" width="18.453125" style="2" customWidth="1"/>
    <col min="1814" max="1814" width="1.26953125" style="2" customWidth="1"/>
    <col min="1815" max="1816" width="15.453125" style="2" customWidth="1"/>
    <col min="1817" max="1817" width="18.453125" style="2" customWidth="1"/>
    <col min="1818" max="1818" width="1.26953125" style="2" customWidth="1"/>
    <col min="1819" max="1826" width="11.453125" style="2" customWidth="1"/>
    <col min="1827" max="1829" width="18.7265625" style="2" bestFit="1" customWidth="1"/>
    <col min="1830" max="1830" width="13.54296875" style="2" bestFit="1" customWidth="1"/>
    <col min="1831" max="1831" width="13.1796875" style="2" bestFit="1" customWidth="1"/>
    <col min="1832" max="1832" width="13.54296875" style="2" bestFit="1" customWidth="1"/>
    <col min="1833" max="1833" width="13.1796875" style="2" bestFit="1" customWidth="1"/>
    <col min="1834" max="1834" width="13.54296875" style="2" bestFit="1" customWidth="1"/>
    <col min="1835" max="1835" width="13.1796875" style="2" bestFit="1" customWidth="1"/>
    <col min="1836" max="1836" width="13.54296875" style="2" bestFit="1" customWidth="1"/>
    <col min="1837" max="1837" width="13.1796875" style="2" bestFit="1" customWidth="1"/>
    <col min="1838" max="1838" width="13.54296875" style="2" bestFit="1" customWidth="1"/>
    <col min="1839" max="1839" width="13.1796875" style="2" bestFit="1" customWidth="1"/>
    <col min="1840" max="2048" width="11.453125" style="2"/>
    <col min="2049" max="2049" width="27.453125" style="2" customWidth="1"/>
    <col min="2050" max="2050" width="1.453125" style="2" customWidth="1"/>
    <col min="2051" max="2051" width="17.81640625" style="2" bestFit="1" customWidth="1"/>
    <col min="2052" max="2052" width="15.54296875" style="2" bestFit="1" customWidth="1"/>
    <col min="2053" max="2053" width="16.1796875" style="2" customWidth="1"/>
    <col min="2054" max="2054" width="1.26953125" style="2" customWidth="1"/>
    <col min="2055" max="2055" width="17.81640625" style="2" bestFit="1" customWidth="1"/>
    <col min="2056" max="2056" width="15.54296875" style="2" bestFit="1" customWidth="1"/>
    <col min="2057" max="2057" width="16.1796875" style="2" customWidth="1"/>
    <col min="2058" max="2058" width="1.7265625" style="2" customWidth="1"/>
    <col min="2059" max="2060" width="15.453125" style="2" bestFit="1" customWidth="1"/>
    <col min="2061" max="2061" width="18.453125" style="2" customWidth="1"/>
    <col min="2062" max="2062" width="1.26953125" style="2" customWidth="1"/>
    <col min="2063" max="2064" width="15.453125" style="2" bestFit="1" customWidth="1"/>
    <col min="2065" max="2065" width="18.453125" style="2" customWidth="1"/>
    <col min="2066" max="2066" width="1.26953125" style="2" customWidth="1"/>
    <col min="2067" max="2068" width="15.453125" style="2" bestFit="1" customWidth="1"/>
    <col min="2069" max="2069" width="18.453125" style="2" customWidth="1"/>
    <col min="2070" max="2070" width="1.26953125" style="2" customWidth="1"/>
    <col min="2071" max="2072" width="15.453125" style="2" customWidth="1"/>
    <col min="2073" max="2073" width="18.453125" style="2" customWidth="1"/>
    <col min="2074" max="2074" width="1.26953125" style="2" customWidth="1"/>
    <col min="2075" max="2082" width="11.453125" style="2" customWidth="1"/>
    <col min="2083" max="2085" width="18.7265625" style="2" bestFit="1" customWidth="1"/>
    <col min="2086" max="2086" width="13.54296875" style="2" bestFit="1" customWidth="1"/>
    <col min="2087" max="2087" width="13.1796875" style="2" bestFit="1" customWidth="1"/>
    <col min="2088" max="2088" width="13.54296875" style="2" bestFit="1" customWidth="1"/>
    <col min="2089" max="2089" width="13.1796875" style="2" bestFit="1" customWidth="1"/>
    <col min="2090" max="2090" width="13.54296875" style="2" bestFit="1" customWidth="1"/>
    <col min="2091" max="2091" width="13.1796875" style="2" bestFit="1" customWidth="1"/>
    <col min="2092" max="2092" width="13.54296875" style="2" bestFit="1" customWidth="1"/>
    <col min="2093" max="2093" width="13.1796875" style="2" bestFit="1" customWidth="1"/>
    <col min="2094" max="2094" width="13.54296875" style="2" bestFit="1" customWidth="1"/>
    <col min="2095" max="2095" width="13.1796875" style="2" bestFit="1" customWidth="1"/>
    <col min="2096" max="2304" width="11.453125" style="2"/>
    <col min="2305" max="2305" width="27.453125" style="2" customWidth="1"/>
    <col min="2306" max="2306" width="1.453125" style="2" customWidth="1"/>
    <col min="2307" max="2307" width="17.81640625" style="2" bestFit="1" customWidth="1"/>
    <col min="2308" max="2308" width="15.54296875" style="2" bestFit="1" customWidth="1"/>
    <col min="2309" max="2309" width="16.1796875" style="2" customWidth="1"/>
    <col min="2310" max="2310" width="1.26953125" style="2" customWidth="1"/>
    <col min="2311" max="2311" width="17.81640625" style="2" bestFit="1" customWidth="1"/>
    <col min="2312" max="2312" width="15.54296875" style="2" bestFit="1" customWidth="1"/>
    <col min="2313" max="2313" width="16.1796875" style="2" customWidth="1"/>
    <col min="2314" max="2314" width="1.7265625" style="2" customWidth="1"/>
    <col min="2315" max="2316" width="15.453125" style="2" bestFit="1" customWidth="1"/>
    <col min="2317" max="2317" width="18.453125" style="2" customWidth="1"/>
    <col min="2318" max="2318" width="1.26953125" style="2" customWidth="1"/>
    <col min="2319" max="2320" width="15.453125" style="2" bestFit="1" customWidth="1"/>
    <col min="2321" max="2321" width="18.453125" style="2" customWidth="1"/>
    <col min="2322" max="2322" width="1.26953125" style="2" customWidth="1"/>
    <col min="2323" max="2324" width="15.453125" style="2" bestFit="1" customWidth="1"/>
    <col min="2325" max="2325" width="18.453125" style="2" customWidth="1"/>
    <col min="2326" max="2326" width="1.26953125" style="2" customWidth="1"/>
    <col min="2327" max="2328" width="15.453125" style="2" customWidth="1"/>
    <col min="2329" max="2329" width="18.453125" style="2" customWidth="1"/>
    <col min="2330" max="2330" width="1.26953125" style="2" customWidth="1"/>
    <col min="2331" max="2338" width="11.453125" style="2" customWidth="1"/>
    <col min="2339" max="2341" width="18.7265625" style="2" bestFit="1" customWidth="1"/>
    <col min="2342" max="2342" width="13.54296875" style="2" bestFit="1" customWidth="1"/>
    <col min="2343" max="2343" width="13.1796875" style="2" bestFit="1" customWidth="1"/>
    <col min="2344" max="2344" width="13.54296875" style="2" bestFit="1" customWidth="1"/>
    <col min="2345" max="2345" width="13.1796875" style="2" bestFit="1" customWidth="1"/>
    <col min="2346" max="2346" width="13.54296875" style="2" bestFit="1" customWidth="1"/>
    <col min="2347" max="2347" width="13.1796875" style="2" bestFit="1" customWidth="1"/>
    <col min="2348" max="2348" width="13.54296875" style="2" bestFit="1" customWidth="1"/>
    <col min="2349" max="2349" width="13.1796875" style="2" bestFit="1" customWidth="1"/>
    <col min="2350" max="2350" width="13.54296875" style="2" bestFit="1" customWidth="1"/>
    <col min="2351" max="2351" width="13.1796875" style="2" bestFit="1" customWidth="1"/>
    <col min="2352" max="2560" width="11.453125" style="2"/>
    <col min="2561" max="2561" width="27.453125" style="2" customWidth="1"/>
    <col min="2562" max="2562" width="1.453125" style="2" customWidth="1"/>
    <col min="2563" max="2563" width="17.81640625" style="2" bestFit="1" customWidth="1"/>
    <col min="2564" max="2564" width="15.54296875" style="2" bestFit="1" customWidth="1"/>
    <col min="2565" max="2565" width="16.1796875" style="2" customWidth="1"/>
    <col min="2566" max="2566" width="1.26953125" style="2" customWidth="1"/>
    <col min="2567" max="2567" width="17.81640625" style="2" bestFit="1" customWidth="1"/>
    <col min="2568" max="2568" width="15.54296875" style="2" bestFit="1" customWidth="1"/>
    <col min="2569" max="2569" width="16.1796875" style="2" customWidth="1"/>
    <col min="2570" max="2570" width="1.7265625" style="2" customWidth="1"/>
    <col min="2571" max="2572" width="15.453125" style="2" bestFit="1" customWidth="1"/>
    <col min="2573" max="2573" width="18.453125" style="2" customWidth="1"/>
    <col min="2574" max="2574" width="1.26953125" style="2" customWidth="1"/>
    <col min="2575" max="2576" width="15.453125" style="2" bestFit="1" customWidth="1"/>
    <col min="2577" max="2577" width="18.453125" style="2" customWidth="1"/>
    <col min="2578" max="2578" width="1.26953125" style="2" customWidth="1"/>
    <col min="2579" max="2580" width="15.453125" style="2" bestFit="1" customWidth="1"/>
    <col min="2581" max="2581" width="18.453125" style="2" customWidth="1"/>
    <col min="2582" max="2582" width="1.26953125" style="2" customWidth="1"/>
    <col min="2583" max="2584" width="15.453125" style="2" customWidth="1"/>
    <col min="2585" max="2585" width="18.453125" style="2" customWidth="1"/>
    <col min="2586" max="2586" width="1.26953125" style="2" customWidth="1"/>
    <col min="2587" max="2594" width="11.453125" style="2" customWidth="1"/>
    <col min="2595" max="2597" width="18.7265625" style="2" bestFit="1" customWidth="1"/>
    <col min="2598" max="2598" width="13.54296875" style="2" bestFit="1" customWidth="1"/>
    <col min="2599" max="2599" width="13.1796875" style="2" bestFit="1" customWidth="1"/>
    <col min="2600" max="2600" width="13.54296875" style="2" bestFit="1" customWidth="1"/>
    <col min="2601" max="2601" width="13.1796875" style="2" bestFit="1" customWidth="1"/>
    <col min="2602" max="2602" width="13.54296875" style="2" bestFit="1" customWidth="1"/>
    <col min="2603" max="2603" width="13.1796875" style="2" bestFit="1" customWidth="1"/>
    <col min="2604" max="2604" width="13.54296875" style="2" bestFit="1" customWidth="1"/>
    <col min="2605" max="2605" width="13.1796875" style="2" bestFit="1" customWidth="1"/>
    <col min="2606" max="2606" width="13.54296875" style="2" bestFit="1" customWidth="1"/>
    <col min="2607" max="2607" width="13.1796875" style="2" bestFit="1" customWidth="1"/>
    <col min="2608" max="2816" width="11.453125" style="2"/>
    <col min="2817" max="2817" width="27.453125" style="2" customWidth="1"/>
    <col min="2818" max="2818" width="1.453125" style="2" customWidth="1"/>
    <col min="2819" max="2819" width="17.81640625" style="2" bestFit="1" customWidth="1"/>
    <col min="2820" max="2820" width="15.54296875" style="2" bestFit="1" customWidth="1"/>
    <col min="2821" max="2821" width="16.1796875" style="2" customWidth="1"/>
    <col min="2822" max="2822" width="1.26953125" style="2" customWidth="1"/>
    <col min="2823" max="2823" width="17.81640625" style="2" bestFit="1" customWidth="1"/>
    <col min="2824" max="2824" width="15.54296875" style="2" bestFit="1" customWidth="1"/>
    <col min="2825" max="2825" width="16.1796875" style="2" customWidth="1"/>
    <col min="2826" max="2826" width="1.7265625" style="2" customWidth="1"/>
    <col min="2827" max="2828" width="15.453125" style="2" bestFit="1" customWidth="1"/>
    <col min="2829" max="2829" width="18.453125" style="2" customWidth="1"/>
    <col min="2830" max="2830" width="1.26953125" style="2" customWidth="1"/>
    <col min="2831" max="2832" width="15.453125" style="2" bestFit="1" customWidth="1"/>
    <col min="2833" max="2833" width="18.453125" style="2" customWidth="1"/>
    <col min="2834" max="2834" width="1.26953125" style="2" customWidth="1"/>
    <col min="2835" max="2836" width="15.453125" style="2" bestFit="1" customWidth="1"/>
    <col min="2837" max="2837" width="18.453125" style="2" customWidth="1"/>
    <col min="2838" max="2838" width="1.26953125" style="2" customWidth="1"/>
    <col min="2839" max="2840" width="15.453125" style="2" customWidth="1"/>
    <col min="2841" max="2841" width="18.453125" style="2" customWidth="1"/>
    <col min="2842" max="2842" width="1.26953125" style="2" customWidth="1"/>
    <col min="2843" max="2850" width="11.453125" style="2" customWidth="1"/>
    <col min="2851" max="2853" width="18.7265625" style="2" bestFit="1" customWidth="1"/>
    <col min="2854" max="2854" width="13.54296875" style="2" bestFit="1" customWidth="1"/>
    <col min="2855" max="2855" width="13.1796875" style="2" bestFit="1" customWidth="1"/>
    <col min="2856" max="2856" width="13.54296875" style="2" bestFit="1" customWidth="1"/>
    <col min="2857" max="2857" width="13.1796875" style="2" bestFit="1" customWidth="1"/>
    <col min="2858" max="2858" width="13.54296875" style="2" bestFit="1" customWidth="1"/>
    <col min="2859" max="2859" width="13.1796875" style="2" bestFit="1" customWidth="1"/>
    <col min="2860" max="2860" width="13.54296875" style="2" bestFit="1" customWidth="1"/>
    <col min="2861" max="2861" width="13.1796875" style="2" bestFit="1" customWidth="1"/>
    <col min="2862" max="2862" width="13.54296875" style="2" bestFit="1" customWidth="1"/>
    <col min="2863" max="2863" width="13.1796875" style="2" bestFit="1" customWidth="1"/>
    <col min="2864" max="3072" width="11.453125" style="2"/>
    <col min="3073" max="3073" width="27.453125" style="2" customWidth="1"/>
    <col min="3074" max="3074" width="1.453125" style="2" customWidth="1"/>
    <col min="3075" max="3075" width="17.81640625" style="2" bestFit="1" customWidth="1"/>
    <col min="3076" max="3076" width="15.54296875" style="2" bestFit="1" customWidth="1"/>
    <col min="3077" max="3077" width="16.1796875" style="2" customWidth="1"/>
    <col min="3078" max="3078" width="1.26953125" style="2" customWidth="1"/>
    <col min="3079" max="3079" width="17.81640625" style="2" bestFit="1" customWidth="1"/>
    <col min="3080" max="3080" width="15.54296875" style="2" bestFit="1" customWidth="1"/>
    <col min="3081" max="3081" width="16.1796875" style="2" customWidth="1"/>
    <col min="3082" max="3082" width="1.7265625" style="2" customWidth="1"/>
    <col min="3083" max="3084" width="15.453125" style="2" bestFit="1" customWidth="1"/>
    <col min="3085" max="3085" width="18.453125" style="2" customWidth="1"/>
    <col min="3086" max="3086" width="1.26953125" style="2" customWidth="1"/>
    <col min="3087" max="3088" width="15.453125" style="2" bestFit="1" customWidth="1"/>
    <col min="3089" max="3089" width="18.453125" style="2" customWidth="1"/>
    <col min="3090" max="3090" width="1.26953125" style="2" customWidth="1"/>
    <col min="3091" max="3092" width="15.453125" style="2" bestFit="1" customWidth="1"/>
    <col min="3093" max="3093" width="18.453125" style="2" customWidth="1"/>
    <col min="3094" max="3094" width="1.26953125" style="2" customWidth="1"/>
    <col min="3095" max="3096" width="15.453125" style="2" customWidth="1"/>
    <col min="3097" max="3097" width="18.453125" style="2" customWidth="1"/>
    <col min="3098" max="3098" width="1.26953125" style="2" customWidth="1"/>
    <col min="3099" max="3106" width="11.453125" style="2" customWidth="1"/>
    <col min="3107" max="3109" width="18.7265625" style="2" bestFit="1" customWidth="1"/>
    <col min="3110" max="3110" width="13.54296875" style="2" bestFit="1" customWidth="1"/>
    <col min="3111" max="3111" width="13.1796875" style="2" bestFit="1" customWidth="1"/>
    <col min="3112" max="3112" width="13.54296875" style="2" bestFit="1" customWidth="1"/>
    <col min="3113" max="3113" width="13.1796875" style="2" bestFit="1" customWidth="1"/>
    <col min="3114" max="3114" width="13.54296875" style="2" bestFit="1" customWidth="1"/>
    <col min="3115" max="3115" width="13.1796875" style="2" bestFit="1" customWidth="1"/>
    <col min="3116" max="3116" width="13.54296875" style="2" bestFit="1" customWidth="1"/>
    <col min="3117" max="3117" width="13.1796875" style="2" bestFit="1" customWidth="1"/>
    <col min="3118" max="3118" width="13.54296875" style="2" bestFit="1" customWidth="1"/>
    <col min="3119" max="3119" width="13.1796875" style="2" bestFit="1" customWidth="1"/>
    <col min="3120" max="3328" width="11.453125" style="2"/>
    <col min="3329" max="3329" width="27.453125" style="2" customWidth="1"/>
    <col min="3330" max="3330" width="1.453125" style="2" customWidth="1"/>
    <col min="3331" max="3331" width="17.81640625" style="2" bestFit="1" customWidth="1"/>
    <col min="3332" max="3332" width="15.54296875" style="2" bestFit="1" customWidth="1"/>
    <col min="3333" max="3333" width="16.1796875" style="2" customWidth="1"/>
    <col min="3334" max="3334" width="1.26953125" style="2" customWidth="1"/>
    <col min="3335" max="3335" width="17.81640625" style="2" bestFit="1" customWidth="1"/>
    <col min="3336" max="3336" width="15.54296875" style="2" bestFit="1" customWidth="1"/>
    <col min="3337" max="3337" width="16.1796875" style="2" customWidth="1"/>
    <col min="3338" max="3338" width="1.7265625" style="2" customWidth="1"/>
    <col min="3339" max="3340" width="15.453125" style="2" bestFit="1" customWidth="1"/>
    <col min="3341" max="3341" width="18.453125" style="2" customWidth="1"/>
    <col min="3342" max="3342" width="1.26953125" style="2" customWidth="1"/>
    <col min="3343" max="3344" width="15.453125" style="2" bestFit="1" customWidth="1"/>
    <col min="3345" max="3345" width="18.453125" style="2" customWidth="1"/>
    <col min="3346" max="3346" width="1.26953125" style="2" customWidth="1"/>
    <col min="3347" max="3348" width="15.453125" style="2" bestFit="1" customWidth="1"/>
    <col min="3349" max="3349" width="18.453125" style="2" customWidth="1"/>
    <col min="3350" max="3350" width="1.26953125" style="2" customWidth="1"/>
    <col min="3351" max="3352" width="15.453125" style="2" customWidth="1"/>
    <col min="3353" max="3353" width="18.453125" style="2" customWidth="1"/>
    <col min="3354" max="3354" width="1.26953125" style="2" customWidth="1"/>
    <col min="3355" max="3362" width="11.453125" style="2" customWidth="1"/>
    <col min="3363" max="3365" width="18.7265625" style="2" bestFit="1" customWidth="1"/>
    <col min="3366" max="3366" width="13.54296875" style="2" bestFit="1" customWidth="1"/>
    <col min="3367" max="3367" width="13.1796875" style="2" bestFit="1" customWidth="1"/>
    <col min="3368" max="3368" width="13.54296875" style="2" bestFit="1" customWidth="1"/>
    <col min="3369" max="3369" width="13.1796875" style="2" bestFit="1" customWidth="1"/>
    <col min="3370" max="3370" width="13.54296875" style="2" bestFit="1" customWidth="1"/>
    <col min="3371" max="3371" width="13.1796875" style="2" bestFit="1" customWidth="1"/>
    <col min="3372" max="3372" width="13.54296875" style="2" bestFit="1" customWidth="1"/>
    <col min="3373" max="3373" width="13.1796875" style="2" bestFit="1" customWidth="1"/>
    <col min="3374" max="3374" width="13.54296875" style="2" bestFit="1" customWidth="1"/>
    <col min="3375" max="3375" width="13.1796875" style="2" bestFit="1" customWidth="1"/>
    <col min="3376" max="3584" width="11.453125" style="2"/>
    <col min="3585" max="3585" width="27.453125" style="2" customWidth="1"/>
    <col min="3586" max="3586" width="1.453125" style="2" customWidth="1"/>
    <col min="3587" max="3587" width="17.81640625" style="2" bestFit="1" customWidth="1"/>
    <col min="3588" max="3588" width="15.54296875" style="2" bestFit="1" customWidth="1"/>
    <col min="3589" max="3589" width="16.1796875" style="2" customWidth="1"/>
    <col min="3590" max="3590" width="1.26953125" style="2" customWidth="1"/>
    <col min="3591" max="3591" width="17.81640625" style="2" bestFit="1" customWidth="1"/>
    <col min="3592" max="3592" width="15.54296875" style="2" bestFit="1" customWidth="1"/>
    <col min="3593" max="3593" width="16.1796875" style="2" customWidth="1"/>
    <col min="3594" max="3594" width="1.7265625" style="2" customWidth="1"/>
    <col min="3595" max="3596" width="15.453125" style="2" bestFit="1" customWidth="1"/>
    <col min="3597" max="3597" width="18.453125" style="2" customWidth="1"/>
    <col min="3598" max="3598" width="1.26953125" style="2" customWidth="1"/>
    <col min="3599" max="3600" width="15.453125" style="2" bestFit="1" customWidth="1"/>
    <col min="3601" max="3601" width="18.453125" style="2" customWidth="1"/>
    <col min="3602" max="3602" width="1.26953125" style="2" customWidth="1"/>
    <col min="3603" max="3604" width="15.453125" style="2" bestFit="1" customWidth="1"/>
    <col min="3605" max="3605" width="18.453125" style="2" customWidth="1"/>
    <col min="3606" max="3606" width="1.26953125" style="2" customWidth="1"/>
    <col min="3607" max="3608" width="15.453125" style="2" customWidth="1"/>
    <col min="3609" max="3609" width="18.453125" style="2" customWidth="1"/>
    <col min="3610" max="3610" width="1.26953125" style="2" customWidth="1"/>
    <col min="3611" max="3618" width="11.453125" style="2" customWidth="1"/>
    <col min="3619" max="3621" width="18.7265625" style="2" bestFit="1" customWidth="1"/>
    <col min="3622" max="3622" width="13.54296875" style="2" bestFit="1" customWidth="1"/>
    <col min="3623" max="3623" width="13.1796875" style="2" bestFit="1" customWidth="1"/>
    <col min="3624" max="3624" width="13.54296875" style="2" bestFit="1" customWidth="1"/>
    <col min="3625" max="3625" width="13.1796875" style="2" bestFit="1" customWidth="1"/>
    <col min="3626" max="3626" width="13.54296875" style="2" bestFit="1" customWidth="1"/>
    <col min="3627" max="3627" width="13.1796875" style="2" bestFit="1" customWidth="1"/>
    <col min="3628" max="3628" width="13.54296875" style="2" bestFit="1" customWidth="1"/>
    <col min="3629" max="3629" width="13.1796875" style="2" bestFit="1" customWidth="1"/>
    <col min="3630" max="3630" width="13.54296875" style="2" bestFit="1" customWidth="1"/>
    <col min="3631" max="3631" width="13.1796875" style="2" bestFit="1" customWidth="1"/>
    <col min="3632" max="3840" width="11.453125" style="2"/>
    <col min="3841" max="3841" width="27.453125" style="2" customWidth="1"/>
    <col min="3842" max="3842" width="1.453125" style="2" customWidth="1"/>
    <col min="3843" max="3843" width="17.81640625" style="2" bestFit="1" customWidth="1"/>
    <col min="3844" max="3844" width="15.54296875" style="2" bestFit="1" customWidth="1"/>
    <col min="3845" max="3845" width="16.1796875" style="2" customWidth="1"/>
    <col min="3846" max="3846" width="1.26953125" style="2" customWidth="1"/>
    <col min="3847" max="3847" width="17.81640625" style="2" bestFit="1" customWidth="1"/>
    <col min="3848" max="3848" width="15.54296875" style="2" bestFit="1" customWidth="1"/>
    <col min="3849" max="3849" width="16.1796875" style="2" customWidth="1"/>
    <col min="3850" max="3850" width="1.7265625" style="2" customWidth="1"/>
    <col min="3851" max="3852" width="15.453125" style="2" bestFit="1" customWidth="1"/>
    <col min="3853" max="3853" width="18.453125" style="2" customWidth="1"/>
    <col min="3854" max="3854" width="1.26953125" style="2" customWidth="1"/>
    <col min="3855" max="3856" width="15.453125" style="2" bestFit="1" customWidth="1"/>
    <col min="3857" max="3857" width="18.453125" style="2" customWidth="1"/>
    <col min="3858" max="3858" width="1.26953125" style="2" customWidth="1"/>
    <col min="3859" max="3860" width="15.453125" style="2" bestFit="1" customWidth="1"/>
    <col min="3861" max="3861" width="18.453125" style="2" customWidth="1"/>
    <col min="3862" max="3862" width="1.26953125" style="2" customWidth="1"/>
    <col min="3863" max="3864" width="15.453125" style="2" customWidth="1"/>
    <col min="3865" max="3865" width="18.453125" style="2" customWidth="1"/>
    <col min="3866" max="3866" width="1.26953125" style="2" customWidth="1"/>
    <col min="3867" max="3874" width="11.453125" style="2" customWidth="1"/>
    <col min="3875" max="3877" width="18.7265625" style="2" bestFit="1" customWidth="1"/>
    <col min="3878" max="3878" width="13.54296875" style="2" bestFit="1" customWidth="1"/>
    <col min="3879" max="3879" width="13.1796875" style="2" bestFit="1" customWidth="1"/>
    <col min="3880" max="3880" width="13.54296875" style="2" bestFit="1" customWidth="1"/>
    <col min="3881" max="3881" width="13.1796875" style="2" bestFit="1" customWidth="1"/>
    <col min="3882" max="3882" width="13.54296875" style="2" bestFit="1" customWidth="1"/>
    <col min="3883" max="3883" width="13.1796875" style="2" bestFit="1" customWidth="1"/>
    <col min="3884" max="3884" width="13.54296875" style="2" bestFit="1" customWidth="1"/>
    <col min="3885" max="3885" width="13.1796875" style="2" bestFit="1" customWidth="1"/>
    <col min="3886" max="3886" width="13.54296875" style="2" bestFit="1" customWidth="1"/>
    <col min="3887" max="3887" width="13.1796875" style="2" bestFit="1" customWidth="1"/>
    <col min="3888" max="4096" width="11.453125" style="2"/>
    <col min="4097" max="4097" width="27.453125" style="2" customWidth="1"/>
    <col min="4098" max="4098" width="1.453125" style="2" customWidth="1"/>
    <col min="4099" max="4099" width="17.81640625" style="2" bestFit="1" customWidth="1"/>
    <col min="4100" max="4100" width="15.54296875" style="2" bestFit="1" customWidth="1"/>
    <col min="4101" max="4101" width="16.1796875" style="2" customWidth="1"/>
    <col min="4102" max="4102" width="1.26953125" style="2" customWidth="1"/>
    <col min="4103" max="4103" width="17.81640625" style="2" bestFit="1" customWidth="1"/>
    <col min="4104" max="4104" width="15.54296875" style="2" bestFit="1" customWidth="1"/>
    <col min="4105" max="4105" width="16.1796875" style="2" customWidth="1"/>
    <col min="4106" max="4106" width="1.7265625" style="2" customWidth="1"/>
    <col min="4107" max="4108" width="15.453125" style="2" bestFit="1" customWidth="1"/>
    <col min="4109" max="4109" width="18.453125" style="2" customWidth="1"/>
    <col min="4110" max="4110" width="1.26953125" style="2" customWidth="1"/>
    <col min="4111" max="4112" width="15.453125" style="2" bestFit="1" customWidth="1"/>
    <col min="4113" max="4113" width="18.453125" style="2" customWidth="1"/>
    <col min="4114" max="4114" width="1.26953125" style="2" customWidth="1"/>
    <col min="4115" max="4116" width="15.453125" style="2" bestFit="1" customWidth="1"/>
    <col min="4117" max="4117" width="18.453125" style="2" customWidth="1"/>
    <col min="4118" max="4118" width="1.26953125" style="2" customWidth="1"/>
    <col min="4119" max="4120" width="15.453125" style="2" customWidth="1"/>
    <col min="4121" max="4121" width="18.453125" style="2" customWidth="1"/>
    <col min="4122" max="4122" width="1.26953125" style="2" customWidth="1"/>
    <col min="4123" max="4130" width="11.453125" style="2" customWidth="1"/>
    <col min="4131" max="4133" width="18.7265625" style="2" bestFit="1" customWidth="1"/>
    <col min="4134" max="4134" width="13.54296875" style="2" bestFit="1" customWidth="1"/>
    <col min="4135" max="4135" width="13.1796875" style="2" bestFit="1" customWidth="1"/>
    <col min="4136" max="4136" width="13.54296875" style="2" bestFit="1" customWidth="1"/>
    <col min="4137" max="4137" width="13.1796875" style="2" bestFit="1" customWidth="1"/>
    <col min="4138" max="4138" width="13.54296875" style="2" bestFit="1" customWidth="1"/>
    <col min="4139" max="4139" width="13.1796875" style="2" bestFit="1" customWidth="1"/>
    <col min="4140" max="4140" width="13.54296875" style="2" bestFit="1" customWidth="1"/>
    <col min="4141" max="4141" width="13.1796875" style="2" bestFit="1" customWidth="1"/>
    <col min="4142" max="4142" width="13.54296875" style="2" bestFit="1" customWidth="1"/>
    <col min="4143" max="4143" width="13.1796875" style="2" bestFit="1" customWidth="1"/>
    <col min="4144" max="4352" width="11.453125" style="2"/>
    <col min="4353" max="4353" width="27.453125" style="2" customWidth="1"/>
    <col min="4354" max="4354" width="1.453125" style="2" customWidth="1"/>
    <col min="4355" max="4355" width="17.81640625" style="2" bestFit="1" customWidth="1"/>
    <col min="4356" max="4356" width="15.54296875" style="2" bestFit="1" customWidth="1"/>
    <col min="4357" max="4357" width="16.1796875" style="2" customWidth="1"/>
    <col min="4358" max="4358" width="1.26953125" style="2" customWidth="1"/>
    <col min="4359" max="4359" width="17.81640625" style="2" bestFit="1" customWidth="1"/>
    <col min="4360" max="4360" width="15.54296875" style="2" bestFit="1" customWidth="1"/>
    <col min="4361" max="4361" width="16.1796875" style="2" customWidth="1"/>
    <col min="4362" max="4362" width="1.7265625" style="2" customWidth="1"/>
    <col min="4363" max="4364" width="15.453125" style="2" bestFit="1" customWidth="1"/>
    <col min="4365" max="4365" width="18.453125" style="2" customWidth="1"/>
    <col min="4366" max="4366" width="1.26953125" style="2" customWidth="1"/>
    <col min="4367" max="4368" width="15.453125" style="2" bestFit="1" customWidth="1"/>
    <col min="4369" max="4369" width="18.453125" style="2" customWidth="1"/>
    <col min="4370" max="4370" width="1.26953125" style="2" customWidth="1"/>
    <col min="4371" max="4372" width="15.453125" style="2" bestFit="1" customWidth="1"/>
    <col min="4373" max="4373" width="18.453125" style="2" customWidth="1"/>
    <col min="4374" max="4374" width="1.26953125" style="2" customWidth="1"/>
    <col min="4375" max="4376" width="15.453125" style="2" customWidth="1"/>
    <col min="4377" max="4377" width="18.453125" style="2" customWidth="1"/>
    <col min="4378" max="4378" width="1.26953125" style="2" customWidth="1"/>
    <col min="4379" max="4386" width="11.453125" style="2" customWidth="1"/>
    <col min="4387" max="4389" width="18.7265625" style="2" bestFit="1" customWidth="1"/>
    <col min="4390" max="4390" width="13.54296875" style="2" bestFit="1" customWidth="1"/>
    <col min="4391" max="4391" width="13.1796875" style="2" bestFit="1" customWidth="1"/>
    <col min="4392" max="4392" width="13.54296875" style="2" bestFit="1" customWidth="1"/>
    <col min="4393" max="4393" width="13.1796875" style="2" bestFit="1" customWidth="1"/>
    <col min="4394" max="4394" width="13.54296875" style="2" bestFit="1" customWidth="1"/>
    <col min="4395" max="4395" width="13.1796875" style="2" bestFit="1" customWidth="1"/>
    <col min="4396" max="4396" width="13.54296875" style="2" bestFit="1" customWidth="1"/>
    <col min="4397" max="4397" width="13.1796875" style="2" bestFit="1" customWidth="1"/>
    <col min="4398" max="4398" width="13.54296875" style="2" bestFit="1" customWidth="1"/>
    <col min="4399" max="4399" width="13.1796875" style="2" bestFit="1" customWidth="1"/>
    <col min="4400" max="4608" width="11.453125" style="2"/>
    <col min="4609" max="4609" width="27.453125" style="2" customWidth="1"/>
    <col min="4610" max="4610" width="1.453125" style="2" customWidth="1"/>
    <col min="4611" max="4611" width="17.81640625" style="2" bestFit="1" customWidth="1"/>
    <col min="4612" max="4612" width="15.54296875" style="2" bestFit="1" customWidth="1"/>
    <col min="4613" max="4613" width="16.1796875" style="2" customWidth="1"/>
    <col min="4614" max="4614" width="1.26953125" style="2" customWidth="1"/>
    <col min="4615" max="4615" width="17.81640625" style="2" bestFit="1" customWidth="1"/>
    <col min="4616" max="4616" width="15.54296875" style="2" bestFit="1" customWidth="1"/>
    <col min="4617" max="4617" width="16.1796875" style="2" customWidth="1"/>
    <col min="4618" max="4618" width="1.7265625" style="2" customWidth="1"/>
    <col min="4619" max="4620" width="15.453125" style="2" bestFit="1" customWidth="1"/>
    <col min="4621" max="4621" width="18.453125" style="2" customWidth="1"/>
    <col min="4622" max="4622" width="1.26953125" style="2" customWidth="1"/>
    <col min="4623" max="4624" width="15.453125" style="2" bestFit="1" customWidth="1"/>
    <col min="4625" max="4625" width="18.453125" style="2" customWidth="1"/>
    <col min="4626" max="4626" width="1.26953125" style="2" customWidth="1"/>
    <col min="4627" max="4628" width="15.453125" style="2" bestFit="1" customWidth="1"/>
    <col min="4629" max="4629" width="18.453125" style="2" customWidth="1"/>
    <col min="4630" max="4630" width="1.26953125" style="2" customWidth="1"/>
    <col min="4631" max="4632" width="15.453125" style="2" customWidth="1"/>
    <col min="4633" max="4633" width="18.453125" style="2" customWidth="1"/>
    <col min="4634" max="4634" width="1.26953125" style="2" customWidth="1"/>
    <col min="4635" max="4642" width="11.453125" style="2" customWidth="1"/>
    <col min="4643" max="4645" width="18.7265625" style="2" bestFit="1" customWidth="1"/>
    <col min="4646" max="4646" width="13.54296875" style="2" bestFit="1" customWidth="1"/>
    <col min="4647" max="4647" width="13.1796875" style="2" bestFit="1" customWidth="1"/>
    <col min="4648" max="4648" width="13.54296875" style="2" bestFit="1" customWidth="1"/>
    <col min="4649" max="4649" width="13.1796875" style="2" bestFit="1" customWidth="1"/>
    <col min="4650" max="4650" width="13.54296875" style="2" bestFit="1" customWidth="1"/>
    <col min="4651" max="4651" width="13.1796875" style="2" bestFit="1" customWidth="1"/>
    <col min="4652" max="4652" width="13.54296875" style="2" bestFit="1" customWidth="1"/>
    <col min="4653" max="4653" width="13.1796875" style="2" bestFit="1" customWidth="1"/>
    <col min="4654" max="4654" width="13.54296875" style="2" bestFit="1" customWidth="1"/>
    <col min="4655" max="4655" width="13.1796875" style="2" bestFit="1" customWidth="1"/>
    <col min="4656" max="4864" width="11.453125" style="2"/>
    <col min="4865" max="4865" width="27.453125" style="2" customWidth="1"/>
    <col min="4866" max="4866" width="1.453125" style="2" customWidth="1"/>
    <col min="4867" max="4867" width="17.81640625" style="2" bestFit="1" customWidth="1"/>
    <col min="4868" max="4868" width="15.54296875" style="2" bestFit="1" customWidth="1"/>
    <col min="4869" max="4869" width="16.1796875" style="2" customWidth="1"/>
    <col min="4870" max="4870" width="1.26953125" style="2" customWidth="1"/>
    <col min="4871" max="4871" width="17.81640625" style="2" bestFit="1" customWidth="1"/>
    <col min="4872" max="4872" width="15.54296875" style="2" bestFit="1" customWidth="1"/>
    <col min="4873" max="4873" width="16.1796875" style="2" customWidth="1"/>
    <col min="4874" max="4874" width="1.7265625" style="2" customWidth="1"/>
    <col min="4875" max="4876" width="15.453125" style="2" bestFit="1" customWidth="1"/>
    <col min="4877" max="4877" width="18.453125" style="2" customWidth="1"/>
    <col min="4878" max="4878" width="1.26953125" style="2" customWidth="1"/>
    <col min="4879" max="4880" width="15.453125" style="2" bestFit="1" customWidth="1"/>
    <col min="4881" max="4881" width="18.453125" style="2" customWidth="1"/>
    <col min="4882" max="4882" width="1.26953125" style="2" customWidth="1"/>
    <col min="4883" max="4884" width="15.453125" style="2" bestFit="1" customWidth="1"/>
    <col min="4885" max="4885" width="18.453125" style="2" customWidth="1"/>
    <col min="4886" max="4886" width="1.26953125" style="2" customWidth="1"/>
    <col min="4887" max="4888" width="15.453125" style="2" customWidth="1"/>
    <col min="4889" max="4889" width="18.453125" style="2" customWidth="1"/>
    <col min="4890" max="4890" width="1.26953125" style="2" customWidth="1"/>
    <col min="4891" max="4898" width="11.453125" style="2" customWidth="1"/>
    <col min="4899" max="4901" width="18.7265625" style="2" bestFit="1" customWidth="1"/>
    <col min="4902" max="4902" width="13.54296875" style="2" bestFit="1" customWidth="1"/>
    <col min="4903" max="4903" width="13.1796875" style="2" bestFit="1" customWidth="1"/>
    <col min="4904" max="4904" width="13.54296875" style="2" bestFit="1" customWidth="1"/>
    <col min="4905" max="4905" width="13.1796875" style="2" bestFit="1" customWidth="1"/>
    <col min="4906" max="4906" width="13.54296875" style="2" bestFit="1" customWidth="1"/>
    <col min="4907" max="4907" width="13.1796875" style="2" bestFit="1" customWidth="1"/>
    <col min="4908" max="4908" width="13.54296875" style="2" bestFit="1" customWidth="1"/>
    <col min="4909" max="4909" width="13.1796875" style="2" bestFit="1" customWidth="1"/>
    <col min="4910" max="4910" width="13.54296875" style="2" bestFit="1" customWidth="1"/>
    <col min="4911" max="4911" width="13.1796875" style="2" bestFit="1" customWidth="1"/>
    <col min="4912" max="5120" width="11.453125" style="2"/>
    <col min="5121" max="5121" width="27.453125" style="2" customWidth="1"/>
    <col min="5122" max="5122" width="1.453125" style="2" customWidth="1"/>
    <col min="5123" max="5123" width="17.81640625" style="2" bestFit="1" customWidth="1"/>
    <col min="5124" max="5124" width="15.54296875" style="2" bestFit="1" customWidth="1"/>
    <col min="5125" max="5125" width="16.1796875" style="2" customWidth="1"/>
    <col min="5126" max="5126" width="1.26953125" style="2" customWidth="1"/>
    <col min="5127" max="5127" width="17.81640625" style="2" bestFit="1" customWidth="1"/>
    <col min="5128" max="5128" width="15.54296875" style="2" bestFit="1" customWidth="1"/>
    <col min="5129" max="5129" width="16.1796875" style="2" customWidth="1"/>
    <col min="5130" max="5130" width="1.7265625" style="2" customWidth="1"/>
    <col min="5131" max="5132" width="15.453125" style="2" bestFit="1" customWidth="1"/>
    <col min="5133" max="5133" width="18.453125" style="2" customWidth="1"/>
    <col min="5134" max="5134" width="1.26953125" style="2" customWidth="1"/>
    <col min="5135" max="5136" width="15.453125" style="2" bestFit="1" customWidth="1"/>
    <col min="5137" max="5137" width="18.453125" style="2" customWidth="1"/>
    <col min="5138" max="5138" width="1.26953125" style="2" customWidth="1"/>
    <col min="5139" max="5140" width="15.453125" style="2" bestFit="1" customWidth="1"/>
    <col min="5141" max="5141" width="18.453125" style="2" customWidth="1"/>
    <col min="5142" max="5142" width="1.26953125" style="2" customWidth="1"/>
    <col min="5143" max="5144" width="15.453125" style="2" customWidth="1"/>
    <col min="5145" max="5145" width="18.453125" style="2" customWidth="1"/>
    <col min="5146" max="5146" width="1.26953125" style="2" customWidth="1"/>
    <col min="5147" max="5154" width="11.453125" style="2" customWidth="1"/>
    <col min="5155" max="5157" width="18.7265625" style="2" bestFit="1" customWidth="1"/>
    <col min="5158" max="5158" width="13.54296875" style="2" bestFit="1" customWidth="1"/>
    <col min="5159" max="5159" width="13.1796875" style="2" bestFit="1" customWidth="1"/>
    <col min="5160" max="5160" width="13.54296875" style="2" bestFit="1" customWidth="1"/>
    <col min="5161" max="5161" width="13.1796875" style="2" bestFit="1" customWidth="1"/>
    <col min="5162" max="5162" width="13.54296875" style="2" bestFit="1" customWidth="1"/>
    <col min="5163" max="5163" width="13.1796875" style="2" bestFit="1" customWidth="1"/>
    <col min="5164" max="5164" width="13.54296875" style="2" bestFit="1" customWidth="1"/>
    <col min="5165" max="5165" width="13.1796875" style="2" bestFit="1" customWidth="1"/>
    <col min="5166" max="5166" width="13.54296875" style="2" bestFit="1" customWidth="1"/>
    <col min="5167" max="5167" width="13.1796875" style="2" bestFit="1" customWidth="1"/>
    <col min="5168" max="5376" width="11.453125" style="2"/>
    <col min="5377" max="5377" width="27.453125" style="2" customWidth="1"/>
    <col min="5378" max="5378" width="1.453125" style="2" customWidth="1"/>
    <col min="5379" max="5379" width="17.81640625" style="2" bestFit="1" customWidth="1"/>
    <col min="5380" max="5380" width="15.54296875" style="2" bestFit="1" customWidth="1"/>
    <col min="5381" max="5381" width="16.1796875" style="2" customWidth="1"/>
    <col min="5382" max="5382" width="1.26953125" style="2" customWidth="1"/>
    <col min="5383" max="5383" width="17.81640625" style="2" bestFit="1" customWidth="1"/>
    <col min="5384" max="5384" width="15.54296875" style="2" bestFit="1" customWidth="1"/>
    <col min="5385" max="5385" width="16.1796875" style="2" customWidth="1"/>
    <col min="5386" max="5386" width="1.7265625" style="2" customWidth="1"/>
    <col min="5387" max="5388" width="15.453125" style="2" bestFit="1" customWidth="1"/>
    <col min="5389" max="5389" width="18.453125" style="2" customWidth="1"/>
    <col min="5390" max="5390" width="1.26953125" style="2" customWidth="1"/>
    <col min="5391" max="5392" width="15.453125" style="2" bestFit="1" customWidth="1"/>
    <col min="5393" max="5393" width="18.453125" style="2" customWidth="1"/>
    <col min="5394" max="5394" width="1.26953125" style="2" customWidth="1"/>
    <col min="5395" max="5396" width="15.453125" style="2" bestFit="1" customWidth="1"/>
    <col min="5397" max="5397" width="18.453125" style="2" customWidth="1"/>
    <col min="5398" max="5398" width="1.26953125" style="2" customWidth="1"/>
    <col min="5399" max="5400" width="15.453125" style="2" customWidth="1"/>
    <col min="5401" max="5401" width="18.453125" style="2" customWidth="1"/>
    <col min="5402" max="5402" width="1.26953125" style="2" customWidth="1"/>
    <col min="5403" max="5410" width="11.453125" style="2" customWidth="1"/>
    <col min="5411" max="5413" width="18.7265625" style="2" bestFit="1" customWidth="1"/>
    <col min="5414" max="5414" width="13.54296875" style="2" bestFit="1" customWidth="1"/>
    <col min="5415" max="5415" width="13.1796875" style="2" bestFit="1" customWidth="1"/>
    <col min="5416" max="5416" width="13.54296875" style="2" bestFit="1" customWidth="1"/>
    <col min="5417" max="5417" width="13.1796875" style="2" bestFit="1" customWidth="1"/>
    <col min="5418" max="5418" width="13.54296875" style="2" bestFit="1" customWidth="1"/>
    <col min="5419" max="5419" width="13.1796875" style="2" bestFit="1" customWidth="1"/>
    <col min="5420" max="5420" width="13.54296875" style="2" bestFit="1" customWidth="1"/>
    <col min="5421" max="5421" width="13.1796875" style="2" bestFit="1" customWidth="1"/>
    <col min="5422" max="5422" width="13.54296875" style="2" bestFit="1" customWidth="1"/>
    <col min="5423" max="5423" width="13.1796875" style="2" bestFit="1" customWidth="1"/>
    <col min="5424" max="5632" width="11.453125" style="2"/>
    <col min="5633" max="5633" width="27.453125" style="2" customWidth="1"/>
    <col min="5634" max="5634" width="1.453125" style="2" customWidth="1"/>
    <col min="5635" max="5635" width="17.81640625" style="2" bestFit="1" customWidth="1"/>
    <col min="5636" max="5636" width="15.54296875" style="2" bestFit="1" customWidth="1"/>
    <col min="5637" max="5637" width="16.1796875" style="2" customWidth="1"/>
    <col min="5638" max="5638" width="1.26953125" style="2" customWidth="1"/>
    <col min="5639" max="5639" width="17.81640625" style="2" bestFit="1" customWidth="1"/>
    <col min="5640" max="5640" width="15.54296875" style="2" bestFit="1" customWidth="1"/>
    <col min="5641" max="5641" width="16.1796875" style="2" customWidth="1"/>
    <col min="5642" max="5642" width="1.7265625" style="2" customWidth="1"/>
    <col min="5643" max="5644" width="15.453125" style="2" bestFit="1" customWidth="1"/>
    <col min="5645" max="5645" width="18.453125" style="2" customWidth="1"/>
    <col min="5646" max="5646" width="1.26953125" style="2" customWidth="1"/>
    <col min="5647" max="5648" width="15.453125" style="2" bestFit="1" customWidth="1"/>
    <col min="5649" max="5649" width="18.453125" style="2" customWidth="1"/>
    <col min="5650" max="5650" width="1.26953125" style="2" customWidth="1"/>
    <col min="5651" max="5652" width="15.453125" style="2" bestFit="1" customWidth="1"/>
    <col min="5653" max="5653" width="18.453125" style="2" customWidth="1"/>
    <col min="5654" max="5654" width="1.26953125" style="2" customWidth="1"/>
    <col min="5655" max="5656" width="15.453125" style="2" customWidth="1"/>
    <col min="5657" max="5657" width="18.453125" style="2" customWidth="1"/>
    <col min="5658" max="5658" width="1.26953125" style="2" customWidth="1"/>
    <col min="5659" max="5666" width="11.453125" style="2" customWidth="1"/>
    <col min="5667" max="5669" width="18.7265625" style="2" bestFit="1" customWidth="1"/>
    <col min="5670" max="5670" width="13.54296875" style="2" bestFit="1" customWidth="1"/>
    <col min="5671" max="5671" width="13.1796875" style="2" bestFit="1" customWidth="1"/>
    <col min="5672" max="5672" width="13.54296875" style="2" bestFit="1" customWidth="1"/>
    <col min="5673" max="5673" width="13.1796875" style="2" bestFit="1" customWidth="1"/>
    <col min="5674" max="5674" width="13.54296875" style="2" bestFit="1" customWidth="1"/>
    <col min="5675" max="5675" width="13.1796875" style="2" bestFit="1" customWidth="1"/>
    <col min="5676" max="5676" width="13.54296875" style="2" bestFit="1" customWidth="1"/>
    <col min="5677" max="5677" width="13.1796875" style="2" bestFit="1" customWidth="1"/>
    <col min="5678" max="5678" width="13.54296875" style="2" bestFit="1" customWidth="1"/>
    <col min="5679" max="5679" width="13.1796875" style="2" bestFit="1" customWidth="1"/>
    <col min="5680" max="5888" width="11.453125" style="2"/>
    <col min="5889" max="5889" width="27.453125" style="2" customWidth="1"/>
    <col min="5890" max="5890" width="1.453125" style="2" customWidth="1"/>
    <col min="5891" max="5891" width="17.81640625" style="2" bestFit="1" customWidth="1"/>
    <col min="5892" max="5892" width="15.54296875" style="2" bestFit="1" customWidth="1"/>
    <col min="5893" max="5893" width="16.1796875" style="2" customWidth="1"/>
    <col min="5894" max="5894" width="1.26953125" style="2" customWidth="1"/>
    <col min="5895" max="5895" width="17.81640625" style="2" bestFit="1" customWidth="1"/>
    <col min="5896" max="5896" width="15.54296875" style="2" bestFit="1" customWidth="1"/>
    <col min="5897" max="5897" width="16.1796875" style="2" customWidth="1"/>
    <col min="5898" max="5898" width="1.7265625" style="2" customWidth="1"/>
    <col min="5899" max="5900" width="15.453125" style="2" bestFit="1" customWidth="1"/>
    <col min="5901" max="5901" width="18.453125" style="2" customWidth="1"/>
    <col min="5902" max="5902" width="1.26953125" style="2" customWidth="1"/>
    <col min="5903" max="5904" width="15.453125" style="2" bestFit="1" customWidth="1"/>
    <col min="5905" max="5905" width="18.453125" style="2" customWidth="1"/>
    <col min="5906" max="5906" width="1.26953125" style="2" customWidth="1"/>
    <col min="5907" max="5908" width="15.453125" style="2" bestFit="1" customWidth="1"/>
    <col min="5909" max="5909" width="18.453125" style="2" customWidth="1"/>
    <col min="5910" max="5910" width="1.26953125" style="2" customWidth="1"/>
    <col min="5911" max="5912" width="15.453125" style="2" customWidth="1"/>
    <col min="5913" max="5913" width="18.453125" style="2" customWidth="1"/>
    <col min="5914" max="5914" width="1.26953125" style="2" customWidth="1"/>
    <col min="5915" max="5922" width="11.453125" style="2" customWidth="1"/>
    <col min="5923" max="5925" width="18.7265625" style="2" bestFit="1" customWidth="1"/>
    <col min="5926" max="5926" width="13.54296875" style="2" bestFit="1" customWidth="1"/>
    <col min="5927" max="5927" width="13.1796875" style="2" bestFit="1" customWidth="1"/>
    <col min="5928" max="5928" width="13.54296875" style="2" bestFit="1" customWidth="1"/>
    <col min="5929" max="5929" width="13.1796875" style="2" bestFit="1" customWidth="1"/>
    <col min="5930" max="5930" width="13.54296875" style="2" bestFit="1" customWidth="1"/>
    <col min="5931" max="5931" width="13.1796875" style="2" bestFit="1" customWidth="1"/>
    <col min="5932" max="5932" width="13.54296875" style="2" bestFit="1" customWidth="1"/>
    <col min="5933" max="5933" width="13.1796875" style="2" bestFit="1" customWidth="1"/>
    <col min="5934" max="5934" width="13.54296875" style="2" bestFit="1" customWidth="1"/>
    <col min="5935" max="5935" width="13.1796875" style="2" bestFit="1" customWidth="1"/>
    <col min="5936" max="6144" width="11.453125" style="2"/>
    <col min="6145" max="6145" width="27.453125" style="2" customWidth="1"/>
    <col min="6146" max="6146" width="1.453125" style="2" customWidth="1"/>
    <col min="6147" max="6147" width="17.81640625" style="2" bestFit="1" customWidth="1"/>
    <col min="6148" max="6148" width="15.54296875" style="2" bestFit="1" customWidth="1"/>
    <col min="6149" max="6149" width="16.1796875" style="2" customWidth="1"/>
    <col min="6150" max="6150" width="1.26953125" style="2" customWidth="1"/>
    <col min="6151" max="6151" width="17.81640625" style="2" bestFit="1" customWidth="1"/>
    <col min="6152" max="6152" width="15.54296875" style="2" bestFit="1" customWidth="1"/>
    <col min="6153" max="6153" width="16.1796875" style="2" customWidth="1"/>
    <col min="6154" max="6154" width="1.7265625" style="2" customWidth="1"/>
    <col min="6155" max="6156" width="15.453125" style="2" bestFit="1" customWidth="1"/>
    <col min="6157" max="6157" width="18.453125" style="2" customWidth="1"/>
    <col min="6158" max="6158" width="1.26953125" style="2" customWidth="1"/>
    <col min="6159" max="6160" width="15.453125" style="2" bestFit="1" customWidth="1"/>
    <col min="6161" max="6161" width="18.453125" style="2" customWidth="1"/>
    <col min="6162" max="6162" width="1.26953125" style="2" customWidth="1"/>
    <col min="6163" max="6164" width="15.453125" style="2" bestFit="1" customWidth="1"/>
    <col min="6165" max="6165" width="18.453125" style="2" customWidth="1"/>
    <col min="6166" max="6166" width="1.26953125" style="2" customWidth="1"/>
    <col min="6167" max="6168" width="15.453125" style="2" customWidth="1"/>
    <col min="6169" max="6169" width="18.453125" style="2" customWidth="1"/>
    <col min="6170" max="6170" width="1.26953125" style="2" customWidth="1"/>
    <col min="6171" max="6178" width="11.453125" style="2" customWidth="1"/>
    <col min="6179" max="6181" width="18.7265625" style="2" bestFit="1" customWidth="1"/>
    <col min="6182" max="6182" width="13.54296875" style="2" bestFit="1" customWidth="1"/>
    <col min="6183" max="6183" width="13.1796875" style="2" bestFit="1" customWidth="1"/>
    <col min="6184" max="6184" width="13.54296875" style="2" bestFit="1" customWidth="1"/>
    <col min="6185" max="6185" width="13.1796875" style="2" bestFit="1" customWidth="1"/>
    <col min="6186" max="6186" width="13.54296875" style="2" bestFit="1" customWidth="1"/>
    <col min="6187" max="6187" width="13.1796875" style="2" bestFit="1" customWidth="1"/>
    <col min="6188" max="6188" width="13.54296875" style="2" bestFit="1" customWidth="1"/>
    <col min="6189" max="6189" width="13.1796875" style="2" bestFit="1" customWidth="1"/>
    <col min="6190" max="6190" width="13.54296875" style="2" bestFit="1" customWidth="1"/>
    <col min="6191" max="6191" width="13.1796875" style="2" bestFit="1" customWidth="1"/>
    <col min="6192" max="6400" width="11.453125" style="2"/>
    <col min="6401" max="6401" width="27.453125" style="2" customWidth="1"/>
    <col min="6402" max="6402" width="1.453125" style="2" customWidth="1"/>
    <col min="6403" max="6403" width="17.81640625" style="2" bestFit="1" customWidth="1"/>
    <col min="6404" max="6404" width="15.54296875" style="2" bestFit="1" customWidth="1"/>
    <col min="6405" max="6405" width="16.1796875" style="2" customWidth="1"/>
    <col min="6406" max="6406" width="1.26953125" style="2" customWidth="1"/>
    <col min="6407" max="6407" width="17.81640625" style="2" bestFit="1" customWidth="1"/>
    <col min="6408" max="6408" width="15.54296875" style="2" bestFit="1" customWidth="1"/>
    <col min="6409" max="6409" width="16.1796875" style="2" customWidth="1"/>
    <col min="6410" max="6410" width="1.7265625" style="2" customWidth="1"/>
    <col min="6411" max="6412" width="15.453125" style="2" bestFit="1" customWidth="1"/>
    <col min="6413" max="6413" width="18.453125" style="2" customWidth="1"/>
    <col min="6414" max="6414" width="1.26953125" style="2" customWidth="1"/>
    <col min="6415" max="6416" width="15.453125" style="2" bestFit="1" customWidth="1"/>
    <col min="6417" max="6417" width="18.453125" style="2" customWidth="1"/>
    <col min="6418" max="6418" width="1.26953125" style="2" customWidth="1"/>
    <col min="6419" max="6420" width="15.453125" style="2" bestFit="1" customWidth="1"/>
    <col min="6421" max="6421" width="18.453125" style="2" customWidth="1"/>
    <col min="6422" max="6422" width="1.26953125" style="2" customWidth="1"/>
    <col min="6423" max="6424" width="15.453125" style="2" customWidth="1"/>
    <col min="6425" max="6425" width="18.453125" style="2" customWidth="1"/>
    <col min="6426" max="6426" width="1.26953125" style="2" customWidth="1"/>
    <col min="6427" max="6434" width="11.453125" style="2" customWidth="1"/>
    <col min="6435" max="6437" width="18.7265625" style="2" bestFit="1" customWidth="1"/>
    <col min="6438" max="6438" width="13.54296875" style="2" bestFit="1" customWidth="1"/>
    <col min="6439" max="6439" width="13.1796875" style="2" bestFit="1" customWidth="1"/>
    <col min="6440" max="6440" width="13.54296875" style="2" bestFit="1" customWidth="1"/>
    <col min="6441" max="6441" width="13.1796875" style="2" bestFit="1" customWidth="1"/>
    <col min="6442" max="6442" width="13.54296875" style="2" bestFit="1" customWidth="1"/>
    <col min="6443" max="6443" width="13.1796875" style="2" bestFit="1" customWidth="1"/>
    <col min="6444" max="6444" width="13.54296875" style="2" bestFit="1" customWidth="1"/>
    <col min="6445" max="6445" width="13.1796875" style="2" bestFit="1" customWidth="1"/>
    <col min="6446" max="6446" width="13.54296875" style="2" bestFit="1" customWidth="1"/>
    <col min="6447" max="6447" width="13.1796875" style="2" bestFit="1" customWidth="1"/>
    <col min="6448" max="6656" width="11.453125" style="2"/>
    <col min="6657" max="6657" width="27.453125" style="2" customWidth="1"/>
    <col min="6658" max="6658" width="1.453125" style="2" customWidth="1"/>
    <col min="6659" max="6659" width="17.81640625" style="2" bestFit="1" customWidth="1"/>
    <col min="6660" max="6660" width="15.54296875" style="2" bestFit="1" customWidth="1"/>
    <col min="6661" max="6661" width="16.1796875" style="2" customWidth="1"/>
    <col min="6662" max="6662" width="1.26953125" style="2" customWidth="1"/>
    <col min="6663" max="6663" width="17.81640625" style="2" bestFit="1" customWidth="1"/>
    <col min="6664" max="6664" width="15.54296875" style="2" bestFit="1" customWidth="1"/>
    <col min="6665" max="6665" width="16.1796875" style="2" customWidth="1"/>
    <col min="6666" max="6666" width="1.7265625" style="2" customWidth="1"/>
    <col min="6667" max="6668" width="15.453125" style="2" bestFit="1" customWidth="1"/>
    <col min="6669" max="6669" width="18.453125" style="2" customWidth="1"/>
    <col min="6670" max="6670" width="1.26953125" style="2" customWidth="1"/>
    <col min="6671" max="6672" width="15.453125" style="2" bestFit="1" customWidth="1"/>
    <col min="6673" max="6673" width="18.453125" style="2" customWidth="1"/>
    <col min="6674" max="6674" width="1.26953125" style="2" customWidth="1"/>
    <col min="6675" max="6676" width="15.453125" style="2" bestFit="1" customWidth="1"/>
    <col min="6677" max="6677" width="18.453125" style="2" customWidth="1"/>
    <col min="6678" max="6678" width="1.26953125" style="2" customWidth="1"/>
    <col min="6679" max="6680" width="15.453125" style="2" customWidth="1"/>
    <col min="6681" max="6681" width="18.453125" style="2" customWidth="1"/>
    <col min="6682" max="6682" width="1.26953125" style="2" customWidth="1"/>
    <col min="6683" max="6690" width="11.453125" style="2" customWidth="1"/>
    <col min="6691" max="6693" width="18.7265625" style="2" bestFit="1" customWidth="1"/>
    <col min="6694" max="6694" width="13.54296875" style="2" bestFit="1" customWidth="1"/>
    <col min="6695" max="6695" width="13.1796875" style="2" bestFit="1" customWidth="1"/>
    <col min="6696" max="6696" width="13.54296875" style="2" bestFit="1" customWidth="1"/>
    <col min="6697" max="6697" width="13.1796875" style="2" bestFit="1" customWidth="1"/>
    <col min="6698" max="6698" width="13.54296875" style="2" bestFit="1" customWidth="1"/>
    <col min="6699" max="6699" width="13.1796875" style="2" bestFit="1" customWidth="1"/>
    <col min="6700" max="6700" width="13.54296875" style="2" bestFit="1" customWidth="1"/>
    <col min="6701" max="6701" width="13.1796875" style="2" bestFit="1" customWidth="1"/>
    <col min="6702" max="6702" width="13.54296875" style="2" bestFit="1" customWidth="1"/>
    <col min="6703" max="6703" width="13.1796875" style="2" bestFit="1" customWidth="1"/>
    <col min="6704" max="6912" width="11.453125" style="2"/>
    <col min="6913" max="6913" width="27.453125" style="2" customWidth="1"/>
    <col min="6914" max="6914" width="1.453125" style="2" customWidth="1"/>
    <col min="6915" max="6915" width="17.81640625" style="2" bestFit="1" customWidth="1"/>
    <col min="6916" max="6916" width="15.54296875" style="2" bestFit="1" customWidth="1"/>
    <col min="6917" max="6917" width="16.1796875" style="2" customWidth="1"/>
    <col min="6918" max="6918" width="1.26953125" style="2" customWidth="1"/>
    <col min="6919" max="6919" width="17.81640625" style="2" bestFit="1" customWidth="1"/>
    <col min="6920" max="6920" width="15.54296875" style="2" bestFit="1" customWidth="1"/>
    <col min="6921" max="6921" width="16.1796875" style="2" customWidth="1"/>
    <col min="6922" max="6922" width="1.7265625" style="2" customWidth="1"/>
    <col min="6923" max="6924" width="15.453125" style="2" bestFit="1" customWidth="1"/>
    <col min="6925" max="6925" width="18.453125" style="2" customWidth="1"/>
    <col min="6926" max="6926" width="1.26953125" style="2" customWidth="1"/>
    <col min="6927" max="6928" width="15.453125" style="2" bestFit="1" customWidth="1"/>
    <col min="6929" max="6929" width="18.453125" style="2" customWidth="1"/>
    <col min="6930" max="6930" width="1.26953125" style="2" customWidth="1"/>
    <col min="6931" max="6932" width="15.453125" style="2" bestFit="1" customWidth="1"/>
    <col min="6933" max="6933" width="18.453125" style="2" customWidth="1"/>
    <col min="6934" max="6934" width="1.26953125" style="2" customWidth="1"/>
    <col min="6935" max="6936" width="15.453125" style="2" customWidth="1"/>
    <col min="6937" max="6937" width="18.453125" style="2" customWidth="1"/>
    <col min="6938" max="6938" width="1.26953125" style="2" customWidth="1"/>
    <col min="6939" max="6946" width="11.453125" style="2" customWidth="1"/>
    <col min="6947" max="6949" width="18.7265625" style="2" bestFit="1" customWidth="1"/>
    <col min="6950" max="6950" width="13.54296875" style="2" bestFit="1" customWidth="1"/>
    <col min="6951" max="6951" width="13.1796875" style="2" bestFit="1" customWidth="1"/>
    <col min="6952" max="6952" width="13.54296875" style="2" bestFit="1" customWidth="1"/>
    <col min="6953" max="6953" width="13.1796875" style="2" bestFit="1" customWidth="1"/>
    <col min="6954" max="6954" width="13.54296875" style="2" bestFit="1" customWidth="1"/>
    <col min="6955" max="6955" width="13.1796875" style="2" bestFit="1" customWidth="1"/>
    <col min="6956" max="6956" width="13.54296875" style="2" bestFit="1" customWidth="1"/>
    <col min="6957" max="6957" width="13.1796875" style="2" bestFit="1" customWidth="1"/>
    <col min="6958" max="6958" width="13.54296875" style="2" bestFit="1" customWidth="1"/>
    <col min="6959" max="6959" width="13.1796875" style="2" bestFit="1" customWidth="1"/>
    <col min="6960" max="7168" width="11.453125" style="2"/>
    <col min="7169" max="7169" width="27.453125" style="2" customWidth="1"/>
    <col min="7170" max="7170" width="1.453125" style="2" customWidth="1"/>
    <col min="7171" max="7171" width="17.81640625" style="2" bestFit="1" customWidth="1"/>
    <col min="7172" max="7172" width="15.54296875" style="2" bestFit="1" customWidth="1"/>
    <col min="7173" max="7173" width="16.1796875" style="2" customWidth="1"/>
    <col min="7174" max="7174" width="1.26953125" style="2" customWidth="1"/>
    <col min="7175" max="7175" width="17.81640625" style="2" bestFit="1" customWidth="1"/>
    <col min="7176" max="7176" width="15.54296875" style="2" bestFit="1" customWidth="1"/>
    <col min="7177" max="7177" width="16.1796875" style="2" customWidth="1"/>
    <col min="7178" max="7178" width="1.7265625" style="2" customWidth="1"/>
    <col min="7179" max="7180" width="15.453125" style="2" bestFit="1" customWidth="1"/>
    <col min="7181" max="7181" width="18.453125" style="2" customWidth="1"/>
    <col min="7182" max="7182" width="1.26953125" style="2" customWidth="1"/>
    <col min="7183" max="7184" width="15.453125" style="2" bestFit="1" customWidth="1"/>
    <col min="7185" max="7185" width="18.453125" style="2" customWidth="1"/>
    <col min="7186" max="7186" width="1.26953125" style="2" customWidth="1"/>
    <col min="7187" max="7188" width="15.453125" style="2" bestFit="1" customWidth="1"/>
    <col min="7189" max="7189" width="18.453125" style="2" customWidth="1"/>
    <col min="7190" max="7190" width="1.26953125" style="2" customWidth="1"/>
    <col min="7191" max="7192" width="15.453125" style="2" customWidth="1"/>
    <col min="7193" max="7193" width="18.453125" style="2" customWidth="1"/>
    <col min="7194" max="7194" width="1.26953125" style="2" customWidth="1"/>
    <col min="7195" max="7202" width="11.453125" style="2" customWidth="1"/>
    <col min="7203" max="7205" width="18.7265625" style="2" bestFit="1" customWidth="1"/>
    <col min="7206" max="7206" width="13.54296875" style="2" bestFit="1" customWidth="1"/>
    <col min="7207" max="7207" width="13.1796875" style="2" bestFit="1" customWidth="1"/>
    <col min="7208" max="7208" width="13.54296875" style="2" bestFit="1" customWidth="1"/>
    <col min="7209" max="7209" width="13.1796875" style="2" bestFit="1" customWidth="1"/>
    <col min="7210" max="7210" width="13.54296875" style="2" bestFit="1" customWidth="1"/>
    <col min="7211" max="7211" width="13.1796875" style="2" bestFit="1" customWidth="1"/>
    <col min="7212" max="7212" width="13.54296875" style="2" bestFit="1" customWidth="1"/>
    <col min="7213" max="7213" width="13.1796875" style="2" bestFit="1" customWidth="1"/>
    <col min="7214" max="7214" width="13.54296875" style="2" bestFit="1" customWidth="1"/>
    <col min="7215" max="7215" width="13.1796875" style="2" bestFit="1" customWidth="1"/>
    <col min="7216" max="7424" width="11.453125" style="2"/>
    <col min="7425" max="7425" width="27.453125" style="2" customWidth="1"/>
    <col min="7426" max="7426" width="1.453125" style="2" customWidth="1"/>
    <col min="7427" max="7427" width="17.81640625" style="2" bestFit="1" customWidth="1"/>
    <col min="7428" max="7428" width="15.54296875" style="2" bestFit="1" customWidth="1"/>
    <col min="7429" max="7429" width="16.1796875" style="2" customWidth="1"/>
    <col min="7430" max="7430" width="1.26953125" style="2" customWidth="1"/>
    <col min="7431" max="7431" width="17.81640625" style="2" bestFit="1" customWidth="1"/>
    <col min="7432" max="7432" width="15.54296875" style="2" bestFit="1" customWidth="1"/>
    <col min="7433" max="7433" width="16.1796875" style="2" customWidth="1"/>
    <col min="7434" max="7434" width="1.7265625" style="2" customWidth="1"/>
    <col min="7435" max="7436" width="15.453125" style="2" bestFit="1" customWidth="1"/>
    <col min="7437" max="7437" width="18.453125" style="2" customWidth="1"/>
    <col min="7438" max="7438" width="1.26953125" style="2" customWidth="1"/>
    <col min="7439" max="7440" width="15.453125" style="2" bestFit="1" customWidth="1"/>
    <col min="7441" max="7441" width="18.453125" style="2" customWidth="1"/>
    <col min="7442" max="7442" width="1.26953125" style="2" customWidth="1"/>
    <col min="7443" max="7444" width="15.453125" style="2" bestFit="1" customWidth="1"/>
    <col min="7445" max="7445" width="18.453125" style="2" customWidth="1"/>
    <col min="7446" max="7446" width="1.26953125" style="2" customWidth="1"/>
    <col min="7447" max="7448" width="15.453125" style="2" customWidth="1"/>
    <col min="7449" max="7449" width="18.453125" style="2" customWidth="1"/>
    <col min="7450" max="7450" width="1.26953125" style="2" customWidth="1"/>
    <col min="7451" max="7458" width="11.453125" style="2" customWidth="1"/>
    <col min="7459" max="7461" width="18.7265625" style="2" bestFit="1" customWidth="1"/>
    <col min="7462" max="7462" width="13.54296875" style="2" bestFit="1" customWidth="1"/>
    <col min="7463" max="7463" width="13.1796875" style="2" bestFit="1" customWidth="1"/>
    <col min="7464" max="7464" width="13.54296875" style="2" bestFit="1" customWidth="1"/>
    <col min="7465" max="7465" width="13.1796875" style="2" bestFit="1" customWidth="1"/>
    <col min="7466" max="7466" width="13.54296875" style="2" bestFit="1" customWidth="1"/>
    <col min="7467" max="7467" width="13.1796875" style="2" bestFit="1" customWidth="1"/>
    <col min="7468" max="7468" width="13.54296875" style="2" bestFit="1" customWidth="1"/>
    <col min="7469" max="7469" width="13.1796875" style="2" bestFit="1" customWidth="1"/>
    <col min="7470" max="7470" width="13.54296875" style="2" bestFit="1" customWidth="1"/>
    <col min="7471" max="7471" width="13.1796875" style="2" bestFit="1" customWidth="1"/>
    <col min="7472" max="7680" width="11.453125" style="2"/>
    <col min="7681" max="7681" width="27.453125" style="2" customWidth="1"/>
    <col min="7682" max="7682" width="1.453125" style="2" customWidth="1"/>
    <col min="7683" max="7683" width="17.81640625" style="2" bestFit="1" customWidth="1"/>
    <col min="7684" max="7684" width="15.54296875" style="2" bestFit="1" customWidth="1"/>
    <col min="7685" max="7685" width="16.1796875" style="2" customWidth="1"/>
    <col min="7686" max="7686" width="1.26953125" style="2" customWidth="1"/>
    <col min="7687" max="7687" width="17.81640625" style="2" bestFit="1" customWidth="1"/>
    <col min="7688" max="7688" width="15.54296875" style="2" bestFit="1" customWidth="1"/>
    <col min="7689" max="7689" width="16.1796875" style="2" customWidth="1"/>
    <col min="7690" max="7690" width="1.7265625" style="2" customWidth="1"/>
    <col min="7691" max="7692" width="15.453125" style="2" bestFit="1" customWidth="1"/>
    <col min="7693" max="7693" width="18.453125" style="2" customWidth="1"/>
    <col min="7694" max="7694" width="1.26953125" style="2" customWidth="1"/>
    <col min="7695" max="7696" width="15.453125" style="2" bestFit="1" customWidth="1"/>
    <col min="7697" max="7697" width="18.453125" style="2" customWidth="1"/>
    <col min="7698" max="7698" width="1.26953125" style="2" customWidth="1"/>
    <col min="7699" max="7700" width="15.453125" style="2" bestFit="1" customWidth="1"/>
    <col min="7701" max="7701" width="18.453125" style="2" customWidth="1"/>
    <col min="7702" max="7702" width="1.26953125" style="2" customWidth="1"/>
    <col min="7703" max="7704" width="15.453125" style="2" customWidth="1"/>
    <col min="7705" max="7705" width="18.453125" style="2" customWidth="1"/>
    <col min="7706" max="7706" width="1.26953125" style="2" customWidth="1"/>
    <col min="7707" max="7714" width="11.453125" style="2" customWidth="1"/>
    <col min="7715" max="7717" width="18.7265625" style="2" bestFit="1" customWidth="1"/>
    <col min="7718" max="7718" width="13.54296875" style="2" bestFit="1" customWidth="1"/>
    <col min="7719" max="7719" width="13.1796875" style="2" bestFit="1" customWidth="1"/>
    <col min="7720" max="7720" width="13.54296875" style="2" bestFit="1" customWidth="1"/>
    <col min="7721" max="7721" width="13.1796875" style="2" bestFit="1" customWidth="1"/>
    <col min="7722" max="7722" width="13.54296875" style="2" bestFit="1" customWidth="1"/>
    <col min="7723" max="7723" width="13.1796875" style="2" bestFit="1" customWidth="1"/>
    <col min="7724" max="7724" width="13.54296875" style="2" bestFit="1" customWidth="1"/>
    <col min="7725" max="7725" width="13.1796875" style="2" bestFit="1" customWidth="1"/>
    <col min="7726" max="7726" width="13.54296875" style="2" bestFit="1" customWidth="1"/>
    <col min="7727" max="7727" width="13.1796875" style="2" bestFit="1" customWidth="1"/>
    <col min="7728" max="7936" width="11.453125" style="2"/>
    <col min="7937" max="7937" width="27.453125" style="2" customWidth="1"/>
    <col min="7938" max="7938" width="1.453125" style="2" customWidth="1"/>
    <col min="7939" max="7939" width="17.81640625" style="2" bestFit="1" customWidth="1"/>
    <col min="7940" max="7940" width="15.54296875" style="2" bestFit="1" customWidth="1"/>
    <col min="7941" max="7941" width="16.1796875" style="2" customWidth="1"/>
    <col min="7942" max="7942" width="1.26953125" style="2" customWidth="1"/>
    <col min="7943" max="7943" width="17.81640625" style="2" bestFit="1" customWidth="1"/>
    <col min="7944" max="7944" width="15.54296875" style="2" bestFit="1" customWidth="1"/>
    <col min="7945" max="7945" width="16.1796875" style="2" customWidth="1"/>
    <col min="7946" max="7946" width="1.7265625" style="2" customWidth="1"/>
    <col min="7947" max="7948" width="15.453125" style="2" bestFit="1" customWidth="1"/>
    <col min="7949" max="7949" width="18.453125" style="2" customWidth="1"/>
    <col min="7950" max="7950" width="1.26953125" style="2" customWidth="1"/>
    <col min="7951" max="7952" width="15.453125" style="2" bestFit="1" customWidth="1"/>
    <col min="7953" max="7953" width="18.453125" style="2" customWidth="1"/>
    <col min="7954" max="7954" width="1.26953125" style="2" customWidth="1"/>
    <col min="7955" max="7956" width="15.453125" style="2" bestFit="1" customWidth="1"/>
    <col min="7957" max="7957" width="18.453125" style="2" customWidth="1"/>
    <col min="7958" max="7958" width="1.26953125" style="2" customWidth="1"/>
    <col min="7959" max="7960" width="15.453125" style="2" customWidth="1"/>
    <col min="7961" max="7961" width="18.453125" style="2" customWidth="1"/>
    <col min="7962" max="7962" width="1.26953125" style="2" customWidth="1"/>
    <col min="7963" max="7970" width="11.453125" style="2" customWidth="1"/>
    <col min="7971" max="7973" width="18.7265625" style="2" bestFit="1" customWidth="1"/>
    <col min="7974" max="7974" width="13.54296875" style="2" bestFit="1" customWidth="1"/>
    <col min="7975" max="7975" width="13.1796875" style="2" bestFit="1" customWidth="1"/>
    <col min="7976" max="7976" width="13.54296875" style="2" bestFit="1" customWidth="1"/>
    <col min="7977" max="7977" width="13.1796875" style="2" bestFit="1" customWidth="1"/>
    <col min="7978" max="7978" width="13.54296875" style="2" bestFit="1" customWidth="1"/>
    <col min="7979" max="7979" width="13.1796875" style="2" bestFit="1" customWidth="1"/>
    <col min="7980" max="7980" width="13.54296875" style="2" bestFit="1" customWidth="1"/>
    <col min="7981" max="7981" width="13.1796875" style="2" bestFit="1" customWidth="1"/>
    <col min="7982" max="7982" width="13.54296875" style="2" bestFit="1" customWidth="1"/>
    <col min="7983" max="7983" width="13.1796875" style="2" bestFit="1" customWidth="1"/>
    <col min="7984" max="8192" width="11.453125" style="2"/>
    <col min="8193" max="8193" width="27.453125" style="2" customWidth="1"/>
    <col min="8194" max="8194" width="1.453125" style="2" customWidth="1"/>
    <col min="8195" max="8195" width="17.81640625" style="2" bestFit="1" customWidth="1"/>
    <col min="8196" max="8196" width="15.54296875" style="2" bestFit="1" customWidth="1"/>
    <col min="8197" max="8197" width="16.1796875" style="2" customWidth="1"/>
    <col min="8198" max="8198" width="1.26953125" style="2" customWidth="1"/>
    <col min="8199" max="8199" width="17.81640625" style="2" bestFit="1" customWidth="1"/>
    <col min="8200" max="8200" width="15.54296875" style="2" bestFit="1" customWidth="1"/>
    <col min="8201" max="8201" width="16.1796875" style="2" customWidth="1"/>
    <col min="8202" max="8202" width="1.7265625" style="2" customWidth="1"/>
    <col min="8203" max="8204" width="15.453125" style="2" bestFit="1" customWidth="1"/>
    <col min="8205" max="8205" width="18.453125" style="2" customWidth="1"/>
    <col min="8206" max="8206" width="1.26953125" style="2" customWidth="1"/>
    <col min="8207" max="8208" width="15.453125" style="2" bestFit="1" customWidth="1"/>
    <col min="8209" max="8209" width="18.453125" style="2" customWidth="1"/>
    <col min="8210" max="8210" width="1.26953125" style="2" customWidth="1"/>
    <col min="8211" max="8212" width="15.453125" style="2" bestFit="1" customWidth="1"/>
    <col min="8213" max="8213" width="18.453125" style="2" customWidth="1"/>
    <col min="8214" max="8214" width="1.26953125" style="2" customWidth="1"/>
    <col min="8215" max="8216" width="15.453125" style="2" customWidth="1"/>
    <col min="8217" max="8217" width="18.453125" style="2" customWidth="1"/>
    <col min="8218" max="8218" width="1.26953125" style="2" customWidth="1"/>
    <col min="8219" max="8226" width="11.453125" style="2" customWidth="1"/>
    <col min="8227" max="8229" width="18.7265625" style="2" bestFit="1" customWidth="1"/>
    <col min="8230" max="8230" width="13.54296875" style="2" bestFit="1" customWidth="1"/>
    <col min="8231" max="8231" width="13.1796875" style="2" bestFit="1" customWidth="1"/>
    <col min="8232" max="8232" width="13.54296875" style="2" bestFit="1" customWidth="1"/>
    <col min="8233" max="8233" width="13.1796875" style="2" bestFit="1" customWidth="1"/>
    <col min="8234" max="8234" width="13.54296875" style="2" bestFit="1" customWidth="1"/>
    <col min="8235" max="8235" width="13.1796875" style="2" bestFit="1" customWidth="1"/>
    <col min="8236" max="8236" width="13.54296875" style="2" bestFit="1" customWidth="1"/>
    <col min="8237" max="8237" width="13.1796875" style="2" bestFit="1" customWidth="1"/>
    <col min="8238" max="8238" width="13.54296875" style="2" bestFit="1" customWidth="1"/>
    <col min="8239" max="8239" width="13.1796875" style="2" bestFit="1" customWidth="1"/>
    <col min="8240" max="8448" width="11.453125" style="2"/>
    <col min="8449" max="8449" width="27.453125" style="2" customWidth="1"/>
    <col min="8450" max="8450" width="1.453125" style="2" customWidth="1"/>
    <col min="8451" max="8451" width="17.81640625" style="2" bestFit="1" customWidth="1"/>
    <col min="8452" max="8452" width="15.54296875" style="2" bestFit="1" customWidth="1"/>
    <col min="8453" max="8453" width="16.1796875" style="2" customWidth="1"/>
    <col min="8454" max="8454" width="1.26953125" style="2" customWidth="1"/>
    <col min="8455" max="8455" width="17.81640625" style="2" bestFit="1" customWidth="1"/>
    <col min="8456" max="8456" width="15.54296875" style="2" bestFit="1" customWidth="1"/>
    <col min="8457" max="8457" width="16.1796875" style="2" customWidth="1"/>
    <col min="8458" max="8458" width="1.7265625" style="2" customWidth="1"/>
    <col min="8459" max="8460" width="15.453125" style="2" bestFit="1" customWidth="1"/>
    <col min="8461" max="8461" width="18.453125" style="2" customWidth="1"/>
    <col min="8462" max="8462" width="1.26953125" style="2" customWidth="1"/>
    <col min="8463" max="8464" width="15.453125" style="2" bestFit="1" customWidth="1"/>
    <col min="8465" max="8465" width="18.453125" style="2" customWidth="1"/>
    <col min="8466" max="8466" width="1.26953125" style="2" customWidth="1"/>
    <col min="8467" max="8468" width="15.453125" style="2" bestFit="1" customWidth="1"/>
    <col min="8469" max="8469" width="18.453125" style="2" customWidth="1"/>
    <col min="8470" max="8470" width="1.26953125" style="2" customWidth="1"/>
    <col min="8471" max="8472" width="15.453125" style="2" customWidth="1"/>
    <col min="8473" max="8473" width="18.453125" style="2" customWidth="1"/>
    <col min="8474" max="8474" width="1.26953125" style="2" customWidth="1"/>
    <col min="8475" max="8482" width="11.453125" style="2" customWidth="1"/>
    <col min="8483" max="8485" width="18.7265625" style="2" bestFit="1" customWidth="1"/>
    <col min="8486" max="8486" width="13.54296875" style="2" bestFit="1" customWidth="1"/>
    <col min="8487" max="8487" width="13.1796875" style="2" bestFit="1" customWidth="1"/>
    <col min="8488" max="8488" width="13.54296875" style="2" bestFit="1" customWidth="1"/>
    <col min="8489" max="8489" width="13.1796875" style="2" bestFit="1" customWidth="1"/>
    <col min="8490" max="8490" width="13.54296875" style="2" bestFit="1" customWidth="1"/>
    <col min="8491" max="8491" width="13.1796875" style="2" bestFit="1" customWidth="1"/>
    <col min="8492" max="8492" width="13.54296875" style="2" bestFit="1" customWidth="1"/>
    <col min="8493" max="8493" width="13.1796875" style="2" bestFit="1" customWidth="1"/>
    <col min="8494" max="8494" width="13.54296875" style="2" bestFit="1" customWidth="1"/>
    <col min="8495" max="8495" width="13.1796875" style="2" bestFit="1" customWidth="1"/>
    <col min="8496" max="8704" width="11.453125" style="2"/>
    <col min="8705" max="8705" width="27.453125" style="2" customWidth="1"/>
    <col min="8706" max="8706" width="1.453125" style="2" customWidth="1"/>
    <col min="8707" max="8707" width="17.81640625" style="2" bestFit="1" customWidth="1"/>
    <col min="8708" max="8708" width="15.54296875" style="2" bestFit="1" customWidth="1"/>
    <col min="8709" max="8709" width="16.1796875" style="2" customWidth="1"/>
    <col min="8710" max="8710" width="1.26953125" style="2" customWidth="1"/>
    <col min="8711" max="8711" width="17.81640625" style="2" bestFit="1" customWidth="1"/>
    <col min="8712" max="8712" width="15.54296875" style="2" bestFit="1" customWidth="1"/>
    <col min="8713" max="8713" width="16.1796875" style="2" customWidth="1"/>
    <col min="8714" max="8714" width="1.7265625" style="2" customWidth="1"/>
    <col min="8715" max="8716" width="15.453125" style="2" bestFit="1" customWidth="1"/>
    <col min="8717" max="8717" width="18.453125" style="2" customWidth="1"/>
    <col min="8718" max="8718" width="1.26953125" style="2" customWidth="1"/>
    <col min="8719" max="8720" width="15.453125" style="2" bestFit="1" customWidth="1"/>
    <col min="8721" max="8721" width="18.453125" style="2" customWidth="1"/>
    <col min="8722" max="8722" width="1.26953125" style="2" customWidth="1"/>
    <col min="8723" max="8724" width="15.453125" style="2" bestFit="1" customWidth="1"/>
    <col min="8725" max="8725" width="18.453125" style="2" customWidth="1"/>
    <col min="8726" max="8726" width="1.26953125" style="2" customWidth="1"/>
    <col min="8727" max="8728" width="15.453125" style="2" customWidth="1"/>
    <col min="8729" max="8729" width="18.453125" style="2" customWidth="1"/>
    <col min="8730" max="8730" width="1.26953125" style="2" customWidth="1"/>
    <col min="8731" max="8738" width="11.453125" style="2" customWidth="1"/>
    <col min="8739" max="8741" width="18.7265625" style="2" bestFit="1" customWidth="1"/>
    <col min="8742" max="8742" width="13.54296875" style="2" bestFit="1" customWidth="1"/>
    <col min="8743" max="8743" width="13.1796875" style="2" bestFit="1" customWidth="1"/>
    <col min="8744" max="8744" width="13.54296875" style="2" bestFit="1" customWidth="1"/>
    <col min="8745" max="8745" width="13.1796875" style="2" bestFit="1" customWidth="1"/>
    <col min="8746" max="8746" width="13.54296875" style="2" bestFit="1" customWidth="1"/>
    <col min="8747" max="8747" width="13.1796875" style="2" bestFit="1" customWidth="1"/>
    <col min="8748" max="8748" width="13.54296875" style="2" bestFit="1" customWidth="1"/>
    <col min="8749" max="8749" width="13.1796875" style="2" bestFit="1" customWidth="1"/>
    <col min="8750" max="8750" width="13.54296875" style="2" bestFit="1" customWidth="1"/>
    <col min="8751" max="8751" width="13.1796875" style="2" bestFit="1" customWidth="1"/>
    <col min="8752" max="8960" width="11.453125" style="2"/>
    <col min="8961" max="8961" width="27.453125" style="2" customWidth="1"/>
    <col min="8962" max="8962" width="1.453125" style="2" customWidth="1"/>
    <col min="8963" max="8963" width="17.81640625" style="2" bestFit="1" customWidth="1"/>
    <col min="8964" max="8964" width="15.54296875" style="2" bestFit="1" customWidth="1"/>
    <col min="8965" max="8965" width="16.1796875" style="2" customWidth="1"/>
    <col min="8966" max="8966" width="1.26953125" style="2" customWidth="1"/>
    <col min="8967" max="8967" width="17.81640625" style="2" bestFit="1" customWidth="1"/>
    <col min="8968" max="8968" width="15.54296875" style="2" bestFit="1" customWidth="1"/>
    <col min="8969" max="8969" width="16.1796875" style="2" customWidth="1"/>
    <col min="8970" max="8970" width="1.7265625" style="2" customWidth="1"/>
    <col min="8971" max="8972" width="15.453125" style="2" bestFit="1" customWidth="1"/>
    <col min="8973" max="8973" width="18.453125" style="2" customWidth="1"/>
    <col min="8974" max="8974" width="1.26953125" style="2" customWidth="1"/>
    <col min="8975" max="8976" width="15.453125" style="2" bestFit="1" customWidth="1"/>
    <col min="8977" max="8977" width="18.453125" style="2" customWidth="1"/>
    <col min="8978" max="8978" width="1.26953125" style="2" customWidth="1"/>
    <col min="8979" max="8980" width="15.453125" style="2" bestFit="1" customWidth="1"/>
    <col min="8981" max="8981" width="18.453125" style="2" customWidth="1"/>
    <col min="8982" max="8982" width="1.26953125" style="2" customWidth="1"/>
    <col min="8983" max="8984" width="15.453125" style="2" customWidth="1"/>
    <col min="8985" max="8985" width="18.453125" style="2" customWidth="1"/>
    <col min="8986" max="8986" width="1.26953125" style="2" customWidth="1"/>
    <col min="8987" max="8994" width="11.453125" style="2" customWidth="1"/>
    <col min="8995" max="8997" width="18.7265625" style="2" bestFit="1" customWidth="1"/>
    <col min="8998" max="8998" width="13.54296875" style="2" bestFit="1" customWidth="1"/>
    <col min="8999" max="8999" width="13.1796875" style="2" bestFit="1" customWidth="1"/>
    <col min="9000" max="9000" width="13.54296875" style="2" bestFit="1" customWidth="1"/>
    <col min="9001" max="9001" width="13.1796875" style="2" bestFit="1" customWidth="1"/>
    <col min="9002" max="9002" width="13.54296875" style="2" bestFit="1" customWidth="1"/>
    <col min="9003" max="9003" width="13.1796875" style="2" bestFit="1" customWidth="1"/>
    <col min="9004" max="9004" width="13.54296875" style="2" bestFit="1" customWidth="1"/>
    <col min="9005" max="9005" width="13.1796875" style="2" bestFit="1" customWidth="1"/>
    <col min="9006" max="9006" width="13.54296875" style="2" bestFit="1" customWidth="1"/>
    <col min="9007" max="9007" width="13.1796875" style="2" bestFit="1" customWidth="1"/>
    <col min="9008" max="9216" width="11.453125" style="2"/>
    <col min="9217" max="9217" width="27.453125" style="2" customWidth="1"/>
    <col min="9218" max="9218" width="1.453125" style="2" customWidth="1"/>
    <col min="9219" max="9219" width="17.81640625" style="2" bestFit="1" customWidth="1"/>
    <col min="9220" max="9220" width="15.54296875" style="2" bestFit="1" customWidth="1"/>
    <col min="9221" max="9221" width="16.1796875" style="2" customWidth="1"/>
    <col min="9222" max="9222" width="1.26953125" style="2" customWidth="1"/>
    <col min="9223" max="9223" width="17.81640625" style="2" bestFit="1" customWidth="1"/>
    <col min="9224" max="9224" width="15.54296875" style="2" bestFit="1" customWidth="1"/>
    <col min="9225" max="9225" width="16.1796875" style="2" customWidth="1"/>
    <col min="9226" max="9226" width="1.7265625" style="2" customWidth="1"/>
    <col min="9227" max="9228" width="15.453125" style="2" bestFit="1" customWidth="1"/>
    <col min="9229" max="9229" width="18.453125" style="2" customWidth="1"/>
    <col min="9230" max="9230" width="1.26953125" style="2" customWidth="1"/>
    <col min="9231" max="9232" width="15.453125" style="2" bestFit="1" customWidth="1"/>
    <col min="9233" max="9233" width="18.453125" style="2" customWidth="1"/>
    <col min="9234" max="9234" width="1.26953125" style="2" customWidth="1"/>
    <col min="9235" max="9236" width="15.453125" style="2" bestFit="1" customWidth="1"/>
    <col min="9237" max="9237" width="18.453125" style="2" customWidth="1"/>
    <col min="9238" max="9238" width="1.26953125" style="2" customWidth="1"/>
    <col min="9239" max="9240" width="15.453125" style="2" customWidth="1"/>
    <col min="9241" max="9241" width="18.453125" style="2" customWidth="1"/>
    <col min="9242" max="9242" width="1.26953125" style="2" customWidth="1"/>
    <col min="9243" max="9250" width="11.453125" style="2" customWidth="1"/>
    <col min="9251" max="9253" width="18.7265625" style="2" bestFit="1" customWidth="1"/>
    <col min="9254" max="9254" width="13.54296875" style="2" bestFit="1" customWidth="1"/>
    <col min="9255" max="9255" width="13.1796875" style="2" bestFit="1" customWidth="1"/>
    <col min="9256" max="9256" width="13.54296875" style="2" bestFit="1" customWidth="1"/>
    <col min="9257" max="9257" width="13.1796875" style="2" bestFit="1" customWidth="1"/>
    <col min="9258" max="9258" width="13.54296875" style="2" bestFit="1" customWidth="1"/>
    <col min="9259" max="9259" width="13.1796875" style="2" bestFit="1" customWidth="1"/>
    <col min="9260" max="9260" width="13.54296875" style="2" bestFit="1" customWidth="1"/>
    <col min="9261" max="9261" width="13.1796875" style="2" bestFit="1" customWidth="1"/>
    <col min="9262" max="9262" width="13.54296875" style="2" bestFit="1" customWidth="1"/>
    <col min="9263" max="9263" width="13.1796875" style="2" bestFit="1" customWidth="1"/>
    <col min="9264" max="9472" width="11.453125" style="2"/>
    <col min="9473" max="9473" width="27.453125" style="2" customWidth="1"/>
    <col min="9474" max="9474" width="1.453125" style="2" customWidth="1"/>
    <col min="9475" max="9475" width="17.81640625" style="2" bestFit="1" customWidth="1"/>
    <col min="9476" max="9476" width="15.54296875" style="2" bestFit="1" customWidth="1"/>
    <col min="9477" max="9477" width="16.1796875" style="2" customWidth="1"/>
    <col min="9478" max="9478" width="1.26953125" style="2" customWidth="1"/>
    <col min="9479" max="9479" width="17.81640625" style="2" bestFit="1" customWidth="1"/>
    <col min="9480" max="9480" width="15.54296875" style="2" bestFit="1" customWidth="1"/>
    <col min="9481" max="9481" width="16.1796875" style="2" customWidth="1"/>
    <col min="9482" max="9482" width="1.7265625" style="2" customWidth="1"/>
    <col min="9483" max="9484" width="15.453125" style="2" bestFit="1" customWidth="1"/>
    <col min="9485" max="9485" width="18.453125" style="2" customWidth="1"/>
    <col min="9486" max="9486" width="1.26953125" style="2" customWidth="1"/>
    <col min="9487" max="9488" width="15.453125" style="2" bestFit="1" customWidth="1"/>
    <col min="9489" max="9489" width="18.453125" style="2" customWidth="1"/>
    <col min="9490" max="9490" width="1.26953125" style="2" customWidth="1"/>
    <col min="9491" max="9492" width="15.453125" style="2" bestFit="1" customWidth="1"/>
    <col min="9493" max="9493" width="18.453125" style="2" customWidth="1"/>
    <col min="9494" max="9494" width="1.26953125" style="2" customWidth="1"/>
    <col min="9495" max="9496" width="15.453125" style="2" customWidth="1"/>
    <col min="9497" max="9497" width="18.453125" style="2" customWidth="1"/>
    <col min="9498" max="9498" width="1.26953125" style="2" customWidth="1"/>
    <col min="9499" max="9506" width="11.453125" style="2" customWidth="1"/>
    <col min="9507" max="9509" width="18.7265625" style="2" bestFit="1" customWidth="1"/>
    <col min="9510" max="9510" width="13.54296875" style="2" bestFit="1" customWidth="1"/>
    <col min="9511" max="9511" width="13.1796875" style="2" bestFit="1" customWidth="1"/>
    <col min="9512" max="9512" width="13.54296875" style="2" bestFit="1" customWidth="1"/>
    <col min="9513" max="9513" width="13.1796875" style="2" bestFit="1" customWidth="1"/>
    <col min="9514" max="9514" width="13.54296875" style="2" bestFit="1" customWidth="1"/>
    <col min="9515" max="9515" width="13.1796875" style="2" bestFit="1" customWidth="1"/>
    <col min="9516" max="9516" width="13.54296875" style="2" bestFit="1" customWidth="1"/>
    <col min="9517" max="9517" width="13.1796875" style="2" bestFit="1" customWidth="1"/>
    <col min="9518" max="9518" width="13.54296875" style="2" bestFit="1" customWidth="1"/>
    <col min="9519" max="9519" width="13.1796875" style="2" bestFit="1" customWidth="1"/>
    <col min="9520" max="9728" width="11.453125" style="2"/>
    <col min="9729" max="9729" width="27.453125" style="2" customWidth="1"/>
    <col min="9730" max="9730" width="1.453125" style="2" customWidth="1"/>
    <col min="9731" max="9731" width="17.81640625" style="2" bestFit="1" customWidth="1"/>
    <col min="9732" max="9732" width="15.54296875" style="2" bestFit="1" customWidth="1"/>
    <col min="9733" max="9733" width="16.1796875" style="2" customWidth="1"/>
    <col min="9734" max="9734" width="1.26953125" style="2" customWidth="1"/>
    <col min="9735" max="9735" width="17.81640625" style="2" bestFit="1" customWidth="1"/>
    <col min="9736" max="9736" width="15.54296875" style="2" bestFit="1" customWidth="1"/>
    <col min="9737" max="9737" width="16.1796875" style="2" customWidth="1"/>
    <col min="9738" max="9738" width="1.7265625" style="2" customWidth="1"/>
    <col min="9739" max="9740" width="15.453125" style="2" bestFit="1" customWidth="1"/>
    <col min="9741" max="9741" width="18.453125" style="2" customWidth="1"/>
    <col min="9742" max="9742" width="1.26953125" style="2" customWidth="1"/>
    <col min="9743" max="9744" width="15.453125" style="2" bestFit="1" customWidth="1"/>
    <col min="9745" max="9745" width="18.453125" style="2" customWidth="1"/>
    <col min="9746" max="9746" width="1.26953125" style="2" customWidth="1"/>
    <col min="9747" max="9748" width="15.453125" style="2" bestFit="1" customWidth="1"/>
    <col min="9749" max="9749" width="18.453125" style="2" customWidth="1"/>
    <col min="9750" max="9750" width="1.26953125" style="2" customWidth="1"/>
    <col min="9751" max="9752" width="15.453125" style="2" customWidth="1"/>
    <col min="9753" max="9753" width="18.453125" style="2" customWidth="1"/>
    <col min="9754" max="9754" width="1.26953125" style="2" customWidth="1"/>
    <col min="9755" max="9762" width="11.453125" style="2" customWidth="1"/>
    <col min="9763" max="9765" width="18.7265625" style="2" bestFit="1" customWidth="1"/>
    <col min="9766" max="9766" width="13.54296875" style="2" bestFit="1" customWidth="1"/>
    <col min="9767" max="9767" width="13.1796875" style="2" bestFit="1" customWidth="1"/>
    <col min="9768" max="9768" width="13.54296875" style="2" bestFit="1" customWidth="1"/>
    <col min="9769" max="9769" width="13.1796875" style="2" bestFit="1" customWidth="1"/>
    <col min="9770" max="9770" width="13.54296875" style="2" bestFit="1" customWidth="1"/>
    <col min="9771" max="9771" width="13.1796875" style="2" bestFit="1" customWidth="1"/>
    <col min="9772" max="9772" width="13.54296875" style="2" bestFit="1" customWidth="1"/>
    <col min="9773" max="9773" width="13.1796875" style="2" bestFit="1" customWidth="1"/>
    <col min="9774" max="9774" width="13.54296875" style="2" bestFit="1" customWidth="1"/>
    <col min="9775" max="9775" width="13.1796875" style="2" bestFit="1" customWidth="1"/>
    <col min="9776" max="9984" width="11.453125" style="2"/>
    <col min="9985" max="9985" width="27.453125" style="2" customWidth="1"/>
    <col min="9986" max="9986" width="1.453125" style="2" customWidth="1"/>
    <col min="9987" max="9987" width="17.81640625" style="2" bestFit="1" customWidth="1"/>
    <col min="9988" max="9988" width="15.54296875" style="2" bestFit="1" customWidth="1"/>
    <col min="9989" max="9989" width="16.1796875" style="2" customWidth="1"/>
    <col min="9990" max="9990" width="1.26953125" style="2" customWidth="1"/>
    <col min="9991" max="9991" width="17.81640625" style="2" bestFit="1" customWidth="1"/>
    <col min="9992" max="9992" width="15.54296875" style="2" bestFit="1" customWidth="1"/>
    <col min="9993" max="9993" width="16.1796875" style="2" customWidth="1"/>
    <col min="9994" max="9994" width="1.7265625" style="2" customWidth="1"/>
    <col min="9995" max="9996" width="15.453125" style="2" bestFit="1" customWidth="1"/>
    <col min="9997" max="9997" width="18.453125" style="2" customWidth="1"/>
    <col min="9998" max="9998" width="1.26953125" style="2" customWidth="1"/>
    <col min="9999" max="10000" width="15.453125" style="2" bestFit="1" customWidth="1"/>
    <col min="10001" max="10001" width="18.453125" style="2" customWidth="1"/>
    <col min="10002" max="10002" width="1.26953125" style="2" customWidth="1"/>
    <col min="10003" max="10004" width="15.453125" style="2" bestFit="1" customWidth="1"/>
    <col min="10005" max="10005" width="18.453125" style="2" customWidth="1"/>
    <col min="10006" max="10006" width="1.26953125" style="2" customWidth="1"/>
    <col min="10007" max="10008" width="15.453125" style="2" customWidth="1"/>
    <col min="10009" max="10009" width="18.453125" style="2" customWidth="1"/>
    <col min="10010" max="10010" width="1.26953125" style="2" customWidth="1"/>
    <col min="10011" max="10018" width="11.453125" style="2" customWidth="1"/>
    <col min="10019" max="10021" width="18.7265625" style="2" bestFit="1" customWidth="1"/>
    <col min="10022" max="10022" width="13.54296875" style="2" bestFit="1" customWidth="1"/>
    <col min="10023" max="10023" width="13.1796875" style="2" bestFit="1" customWidth="1"/>
    <col min="10024" max="10024" width="13.54296875" style="2" bestFit="1" customWidth="1"/>
    <col min="10025" max="10025" width="13.1796875" style="2" bestFit="1" customWidth="1"/>
    <col min="10026" max="10026" width="13.54296875" style="2" bestFit="1" customWidth="1"/>
    <col min="10027" max="10027" width="13.1796875" style="2" bestFit="1" customWidth="1"/>
    <col min="10028" max="10028" width="13.54296875" style="2" bestFit="1" customWidth="1"/>
    <col min="10029" max="10029" width="13.1796875" style="2" bestFit="1" customWidth="1"/>
    <col min="10030" max="10030" width="13.54296875" style="2" bestFit="1" customWidth="1"/>
    <col min="10031" max="10031" width="13.1796875" style="2" bestFit="1" customWidth="1"/>
    <col min="10032" max="10240" width="11.453125" style="2"/>
    <col min="10241" max="10241" width="27.453125" style="2" customWidth="1"/>
    <col min="10242" max="10242" width="1.453125" style="2" customWidth="1"/>
    <col min="10243" max="10243" width="17.81640625" style="2" bestFit="1" customWidth="1"/>
    <col min="10244" max="10244" width="15.54296875" style="2" bestFit="1" customWidth="1"/>
    <col min="10245" max="10245" width="16.1796875" style="2" customWidth="1"/>
    <col min="10246" max="10246" width="1.26953125" style="2" customWidth="1"/>
    <col min="10247" max="10247" width="17.81640625" style="2" bestFit="1" customWidth="1"/>
    <col min="10248" max="10248" width="15.54296875" style="2" bestFit="1" customWidth="1"/>
    <col min="10249" max="10249" width="16.1796875" style="2" customWidth="1"/>
    <col min="10250" max="10250" width="1.7265625" style="2" customWidth="1"/>
    <col min="10251" max="10252" width="15.453125" style="2" bestFit="1" customWidth="1"/>
    <col min="10253" max="10253" width="18.453125" style="2" customWidth="1"/>
    <col min="10254" max="10254" width="1.26953125" style="2" customWidth="1"/>
    <col min="10255" max="10256" width="15.453125" style="2" bestFit="1" customWidth="1"/>
    <col min="10257" max="10257" width="18.453125" style="2" customWidth="1"/>
    <col min="10258" max="10258" width="1.26953125" style="2" customWidth="1"/>
    <col min="10259" max="10260" width="15.453125" style="2" bestFit="1" customWidth="1"/>
    <col min="10261" max="10261" width="18.453125" style="2" customWidth="1"/>
    <col min="10262" max="10262" width="1.26953125" style="2" customWidth="1"/>
    <col min="10263" max="10264" width="15.453125" style="2" customWidth="1"/>
    <col min="10265" max="10265" width="18.453125" style="2" customWidth="1"/>
    <col min="10266" max="10266" width="1.26953125" style="2" customWidth="1"/>
    <col min="10267" max="10274" width="11.453125" style="2" customWidth="1"/>
    <col min="10275" max="10277" width="18.7265625" style="2" bestFit="1" customWidth="1"/>
    <col min="10278" max="10278" width="13.54296875" style="2" bestFit="1" customWidth="1"/>
    <col min="10279" max="10279" width="13.1796875" style="2" bestFit="1" customWidth="1"/>
    <col min="10280" max="10280" width="13.54296875" style="2" bestFit="1" customWidth="1"/>
    <col min="10281" max="10281" width="13.1796875" style="2" bestFit="1" customWidth="1"/>
    <col min="10282" max="10282" width="13.54296875" style="2" bestFit="1" customWidth="1"/>
    <col min="10283" max="10283" width="13.1796875" style="2" bestFit="1" customWidth="1"/>
    <col min="10284" max="10284" width="13.54296875" style="2" bestFit="1" customWidth="1"/>
    <col min="10285" max="10285" width="13.1796875" style="2" bestFit="1" customWidth="1"/>
    <col min="10286" max="10286" width="13.54296875" style="2" bestFit="1" customWidth="1"/>
    <col min="10287" max="10287" width="13.1796875" style="2" bestFit="1" customWidth="1"/>
    <col min="10288" max="10496" width="11.453125" style="2"/>
    <col min="10497" max="10497" width="27.453125" style="2" customWidth="1"/>
    <col min="10498" max="10498" width="1.453125" style="2" customWidth="1"/>
    <col min="10499" max="10499" width="17.81640625" style="2" bestFit="1" customWidth="1"/>
    <col min="10500" max="10500" width="15.54296875" style="2" bestFit="1" customWidth="1"/>
    <col min="10501" max="10501" width="16.1796875" style="2" customWidth="1"/>
    <col min="10502" max="10502" width="1.26953125" style="2" customWidth="1"/>
    <col min="10503" max="10503" width="17.81640625" style="2" bestFit="1" customWidth="1"/>
    <col min="10504" max="10504" width="15.54296875" style="2" bestFit="1" customWidth="1"/>
    <col min="10505" max="10505" width="16.1796875" style="2" customWidth="1"/>
    <col min="10506" max="10506" width="1.7265625" style="2" customWidth="1"/>
    <col min="10507" max="10508" width="15.453125" style="2" bestFit="1" customWidth="1"/>
    <col min="10509" max="10509" width="18.453125" style="2" customWidth="1"/>
    <col min="10510" max="10510" width="1.26953125" style="2" customWidth="1"/>
    <col min="10511" max="10512" width="15.453125" style="2" bestFit="1" customWidth="1"/>
    <col min="10513" max="10513" width="18.453125" style="2" customWidth="1"/>
    <col min="10514" max="10514" width="1.26953125" style="2" customWidth="1"/>
    <col min="10515" max="10516" width="15.453125" style="2" bestFit="1" customWidth="1"/>
    <col min="10517" max="10517" width="18.453125" style="2" customWidth="1"/>
    <col min="10518" max="10518" width="1.26953125" style="2" customWidth="1"/>
    <col min="10519" max="10520" width="15.453125" style="2" customWidth="1"/>
    <col min="10521" max="10521" width="18.453125" style="2" customWidth="1"/>
    <col min="10522" max="10522" width="1.26953125" style="2" customWidth="1"/>
    <col min="10523" max="10530" width="11.453125" style="2" customWidth="1"/>
    <col min="10531" max="10533" width="18.7265625" style="2" bestFit="1" customWidth="1"/>
    <col min="10534" max="10534" width="13.54296875" style="2" bestFit="1" customWidth="1"/>
    <col min="10535" max="10535" width="13.1796875" style="2" bestFit="1" customWidth="1"/>
    <col min="10536" max="10536" width="13.54296875" style="2" bestFit="1" customWidth="1"/>
    <col min="10537" max="10537" width="13.1796875" style="2" bestFit="1" customWidth="1"/>
    <col min="10538" max="10538" width="13.54296875" style="2" bestFit="1" customWidth="1"/>
    <col min="10539" max="10539" width="13.1796875" style="2" bestFit="1" customWidth="1"/>
    <col min="10540" max="10540" width="13.54296875" style="2" bestFit="1" customWidth="1"/>
    <col min="10541" max="10541" width="13.1796875" style="2" bestFit="1" customWidth="1"/>
    <col min="10542" max="10542" width="13.54296875" style="2" bestFit="1" customWidth="1"/>
    <col min="10543" max="10543" width="13.1796875" style="2" bestFit="1" customWidth="1"/>
    <col min="10544" max="10752" width="11.453125" style="2"/>
    <col min="10753" max="10753" width="27.453125" style="2" customWidth="1"/>
    <col min="10754" max="10754" width="1.453125" style="2" customWidth="1"/>
    <col min="10755" max="10755" width="17.81640625" style="2" bestFit="1" customWidth="1"/>
    <col min="10756" max="10756" width="15.54296875" style="2" bestFit="1" customWidth="1"/>
    <col min="10757" max="10757" width="16.1796875" style="2" customWidth="1"/>
    <col min="10758" max="10758" width="1.26953125" style="2" customWidth="1"/>
    <col min="10759" max="10759" width="17.81640625" style="2" bestFit="1" customWidth="1"/>
    <col min="10760" max="10760" width="15.54296875" style="2" bestFit="1" customWidth="1"/>
    <col min="10761" max="10761" width="16.1796875" style="2" customWidth="1"/>
    <col min="10762" max="10762" width="1.7265625" style="2" customWidth="1"/>
    <col min="10763" max="10764" width="15.453125" style="2" bestFit="1" customWidth="1"/>
    <col min="10765" max="10765" width="18.453125" style="2" customWidth="1"/>
    <col min="10766" max="10766" width="1.26953125" style="2" customWidth="1"/>
    <col min="10767" max="10768" width="15.453125" style="2" bestFit="1" customWidth="1"/>
    <col min="10769" max="10769" width="18.453125" style="2" customWidth="1"/>
    <col min="10770" max="10770" width="1.26953125" style="2" customWidth="1"/>
    <col min="10771" max="10772" width="15.453125" style="2" bestFit="1" customWidth="1"/>
    <col min="10773" max="10773" width="18.453125" style="2" customWidth="1"/>
    <col min="10774" max="10774" width="1.26953125" style="2" customWidth="1"/>
    <col min="10775" max="10776" width="15.453125" style="2" customWidth="1"/>
    <col min="10777" max="10777" width="18.453125" style="2" customWidth="1"/>
    <col min="10778" max="10778" width="1.26953125" style="2" customWidth="1"/>
    <col min="10779" max="10786" width="11.453125" style="2" customWidth="1"/>
    <col min="10787" max="10789" width="18.7265625" style="2" bestFit="1" customWidth="1"/>
    <col min="10790" max="10790" width="13.54296875" style="2" bestFit="1" customWidth="1"/>
    <col min="10791" max="10791" width="13.1796875" style="2" bestFit="1" customWidth="1"/>
    <col min="10792" max="10792" width="13.54296875" style="2" bestFit="1" customWidth="1"/>
    <col min="10793" max="10793" width="13.1796875" style="2" bestFit="1" customWidth="1"/>
    <col min="10794" max="10794" width="13.54296875" style="2" bestFit="1" customWidth="1"/>
    <col min="10795" max="10795" width="13.1796875" style="2" bestFit="1" customWidth="1"/>
    <col min="10796" max="10796" width="13.54296875" style="2" bestFit="1" customWidth="1"/>
    <col min="10797" max="10797" width="13.1796875" style="2" bestFit="1" customWidth="1"/>
    <col min="10798" max="10798" width="13.54296875" style="2" bestFit="1" customWidth="1"/>
    <col min="10799" max="10799" width="13.1796875" style="2" bestFit="1" customWidth="1"/>
    <col min="10800" max="11008" width="11.453125" style="2"/>
    <col min="11009" max="11009" width="27.453125" style="2" customWidth="1"/>
    <col min="11010" max="11010" width="1.453125" style="2" customWidth="1"/>
    <col min="11011" max="11011" width="17.81640625" style="2" bestFit="1" customWidth="1"/>
    <col min="11012" max="11012" width="15.54296875" style="2" bestFit="1" customWidth="1"/>
    <col min="11013" max="11013" width="16.1796875" style="2" customWidth="1"/>
    <col min="11014" max="11014" width="1.26953125" style="2" customWidth="1"/>
    <col min="11015" max="11015" width="17.81640625" style="2" bestFit="1" customWidth="1"/>
    <col min="11016" max="11016" width="15.54296875" style="2" bestFit="1" customWidth="1"/>
    <col min="11017" max="11017" width="16.1796875" style="2" customWidth="1"/>
    <col min="11018" max="11018" width="1.7265625" style="2" customWidth="1"/>
    <col min="11019" max="11020" width="15.453125" style="2" bestFit="1" customWidth="1"/>
    <col min="11021" max="11021" width="18.453125" style="2" customWidth="1"/>
    <col min="11022" max="11022" width="1.26953125" style="2" customWidth="1"/>
    <col min="11023" max="11024" width="15.453125" style="2" bestFit="1" customWidth="1"/>
    <col min="11025" max="11025" width="18.453125" style="2" customWidth="1"/>
    <col min="11026" max="11026" width="1.26953125" style="2" customWidth="1"/>
    <col min="11027" max="11028" width="15.453125" style="2" bestFit="1" customWidth="1"/>
    <col min="11029" max="11029" width="18.453125" style="2" customWidth="1"/>
    <col min="11030" max="11030" width="1.26953125" style="2" customWidth="1"/>
    <col min="11031" max="11032" width="15.453125" style="2" customWidth="1"/>
    <col min="11033" max="11033" width="18.453125" style="2" customWidth="1"/>
    <col min="11034" max="11034" width="1.26953125" style="2" customWidth="1"/>
    <col min="11035" max="11042" width="11.453125" style="2" customWidth="1"/>
    <col min="11043" max="11045" width="18.7265625" style="2" bestFit="1" customWidth="1"/>
    <col min="11046" max="11046" width="13.54296875" style="2" bestFit="1" customWidth="1"/>
    <col min="11047" max="11047" width="13.1796875" style="2" bestFit="1" customWidth="1"/>
    <col min="11048" max="11048" width="13.54296875" style="2" bestFit="1" customWidth="1"/>
    <col min="11049" max="11049" width="13.1796875" style="2" bestFit="1" customWidth="1"/>
    <col min="11050" max="11050" width="13.54296875" style="2" bestFit="1" customWidth="1"/>
    <col min="11051" max="11051" width="13.1796875" style="2" bestFit="1" customWidth="1"/>
    <col min="11052" max="11052" width="13.54296875" style="2" bestFit="1" customWidth="1"/>
    <col min="11053" max="11053" width="13.1796875" style="2" bestFit="1" customWidth="1"/>
    <col min="11054" max="11054" width="13.54296875" style="2" bestFit="1" customWidth="1"/>
    <col min="11055" max="11055" width="13.1796875" style="2" bestFit="1" customWidth="1"/>
    <col min="11056" max="11264" width="11.453125" style="2"/>
    <col min="11265" max="11265" width="27.453125" style="2" customWidth="1"/>
    <col min="11266" max="11266" width="1.453125" style="2" customWidth="1"/>
    <col min="11267" max="11267" width="17.81640625" style="2" bestFit="1" customWidth="1"/>
    <col min="11268" max="11268" width="15.54296875" style="2" bestFit="1" customWidth="1"/>
    <col min="11269" max="11269" width="16.1796875" style="2" customWidth="1"/>
    <col min="11270" max="11270" width="1.26953125" style="2" customWidth="1"/>
    <col min="11271" max="11271" width="17.81640625" style="2" bestFit="1" customWidth="1"/>
    <col min="11272" max="11272" width="15.54296875" style="2" bestFit="1" customWidth="1"/>
    <col min="11273" max="11273" width="16.1796875" style="2" customWidth="1"/>
    <col min="11274" max="11274" width="1.7265625" style="2" customWidth="1"/>
    <col min="11275" max="11276" width="15.453125" style="2" bestFit="1" customWidth="1"/>
    <col min="11277" max="11277" width="18.453125" style="2" customWidth="1"/>
    <col min="11278" max="11278" width="1.26953125" style="2" customWidth="1"/>
    <col min="11279" max="11280" width="15.453125" style="2" bestFit="1" customWidth="1"/>
    <col min="11281" max="11281" width="18.453125" style="2" customWidth="1"/>
    <col min="11282" max="11282" width="1.26953125" style="2" customWidth="1"/>
    <col min="11283" max="11284" width="15.453125" style="2" bestFit="1" customWidth="1"/>
    <col min="11285" max="11285" width="18.453125" style="2" customWidth="1"/>
    <col min="11286" max="11286" width="1.26953125" style="2" customWidth="1"/>
    <col min="11287" max="11288" width="15.453125" style="2" customWidth="1"/>
    <col min="11289" max="11289" width="18.453125" style="2" customWidth="1"/>
    <col min="11290" max="11290" width="1.26953125" style="2" customWidth="1"/>
    <col min="11291" max="11298" width="11.453125" style="2" customWidth="1"/>
    <col min="11299" max="11301" width="18.7265625" style="2" bestFit="1" customWidth="1"/>
    <col min="11302" max="11302" width="13.54296875" style="2" bestFit="1" customWidth="1"/>
    <col min="11303" max="11303" width="13.1796875" style="2" bestFit="1" customWidth="1"/>
    <col min="11304" max="11304" width="13.54296875" style="2" bestFit="1" customWidth="1"/>
    <col min="11305" max="11305" width="13.1796875" style="2" bestFit="1" customWidth="1"/>
    <col min="11306" max="11306" width="13.54296875" style="2" bestFit="1" customWidth="1"/>
    <col min="11307" max="11307" width="13.1796875" style="2" bestFit="1" customWidth="1"/>
    <col min="11308" max="11308" width="13.54296875" style="2" bestFit="1" customWidth="1"/>
    <col min="11309" max="11309" width="13.1796875" style="2" bestFit="1" customWidth="1"/>
    <col min="11310" max="11310" width="13.54296875" style="2" bestFit="1" customWidth="1"/>
    <col min="11311" max="11311" width="13.1796875" style="2" bestFit="1" customWidth="1"/>
    <col min="11312" max="11520" width="11.453125" style="2"/>
    <col min="11521" max="11521" width="27.453125" style="2" customWidth="1"/>
    <col min="11522" max="11522" width="1.453125" style="2" customWidth="1"/>
    <col min="11523" max="11523" width="17.81640625" style="2" bestFit="1" customWidth="1"/>
    <col min="11524" max="11524" width="15.54296875" style="2" bestFit="1" customWidth="1"/>
    <col min="11525" max="11525" width="16.1796875" style="2" customWidth="1"/>
    <col min="11526" max="11526" width="1.26953125" style="2" customWidth="1"/>
    <col min="11527" max="11527" width="17.81640625" style="2" bestFit="1" customWidth="1"/>
    <col min="11528" max="11528" width="15.54296875" style="2" bestFit="1" customWidth="1"/>
    <col min="11529" max="11529" width="16.1796875" style="2" customWidth="1"/>
    <col min="11530" max="11530" width="1.7265625" style="2" customWidth="1"/>
    <col min="11531" max="11532" width="15.453125" style="2" bestFit="1" customWidth="1"/>
    <col min="11533" max="11533" width="18.453125" style="2" customWidth="1"/>
    <col min="11534" max="11534" width="1.26953125" style="2" customWidth="1"/>
    <col min="11535" max="11536" width="15.453125" style="2" bestFit="1" customWidth="1"/>
    <col min="11537" max="11537" width="18.453125" style="2" customWidth="1"/>
    <col min="11538" max="11538" width="1.26953125" style="2" customWidth="1"/>
    <col min="11539" max="11540" width="15.453125" style="2" bestFit="1" customWidth="1"/>
    <col min="11541" max="11541" width="18.453125" style="2" customWidth="1"/>
    <col min="11542" max="11542" width="1.26953125" style="2" customWidth="1"/>
    <col min="11543" max="11544" width="15.453125" style="2" customWidth="1"/>
    <col min="11545" max="11545" width="18.453125" style="2" customWidth="1"/>
    <col min="11546" max="11546" width="1.26953125" style="2" customWidth="1"/>
    <col min="11547" max="11554" width="11.453125" style="2" customWidth="1"/>
    <col min="11555" max="11557" width="18.7265625" style="2" bestFit="1" customWidth="1"/>
    <col min="11558" max="11558" width="13.54296875" style="2" bestFit="1" customWidth="1"/>
    <col min="11559" max="11559" width="13.1796875" style="2" bestFit="1" customWidth="1"/>
    <col min="11560" max="11560" width="13.54296875" style="2" bestFit="1" customWidth="1"/>
    <col min="11561" max="11561" width="13.1796875" style="2" bestFit="1" customWidth="1"/>
    <col min="11562" max="11562" width="13.54296875" style="2" bestFit="1" customWidth="1"/>
    <col min="11563" max="11563" width="13.1796875" style="2" bestFit="1" customWidth="1"/>
    <col min="11564" max="11564" width="13.54296875" style="2" bestFit="1" customWidth="1"/>
    <col min="11565" max="11565" width="13.1796875" style="2" bestFit="1" customWidth="1"/>
    <col min="11566" max="11566" width="13.54296875" style="2" bestFit="1" customWidth="1"/>
    <col min="11567" max="11567" width="13.1796875" style="2" bestFit="1" customWidth="1"/>
    <col min="11568" max="11776" width="11.453125" style="2"/>
    <col min="11777" max="11777" width="27.453125" style="2" customWidth="1"/>
    <col min="11778" max="11778" width="1.453125" style="2" customWidth="1"/>
    <col min="11779" max="11779" width="17.81640625" style="2" bestFit="1" customWidth="1"/>
    <col min="11780" max="11780" width="15.54296875" style="2" bestFit="1" customWidth="1"/>
    <col min="11781" max="11781" width="16.1796875" style="2" customWidth="1"/>
    <col min="11782" max="11782" width="1.26953125" style="2" customWidth="1"/>
    <col min="11783" max="11783" width="17.81640625" style="2" bestFit="1" customWidth="1"/>
    <col min="11784" max="11784" width="15.54296875" style="2" bestFit="1" customWidth="1"/>
    <col min="11785" max="11785" width="16.1796875" style="2" customWidth="1"/>
    <col min="11786" max="11786" width="1.7265625" style="2" customWidth="1"/>
    <col min="11787" max="11788" width="15.453125" style="2" bestFit="1" customWidth="1"/>
    <col min="11789" max="11789" width="18.453125" style="2" customWidth="1"/>
    <col min="11790" max="11790" width="1.26953125" style="2" customWidth="1"/>
    <col min="11791" max="11792" width="15.453125" style="2" bestFit="1" customWidth="1"/>
    <col min="11793" max="11793" width="18.453125" style="2" customWidth="1"/>
    <col min="11794" max="11794" width="1.26953125" style="2" customWidth="1"/>
    <col min="11795" max="11796" width="15.453125" style="2" bestFit="1" customWidth="1"/>
    <col min="11797" max="11797" width="18.453125" style="2" customWidth="1"/>
    <col min="11798" max="11798" width="1.26953125" style="2" customWidth="1"/>
    <col min="11799" max="11800" width="15.453125" style="2" customWidth="1"/>
    <col min="11801" max="11801" width="18.453125" style="2" customWidth="1"/>
    <col min="11802" max="11802" width="1.26953125" style="2" customWidth="1"/>
    <col min="11803" max="11810" width="11.453125" style="2" customWidth="1"/>
    <col min="11811" max="11813" width="18.7265625" style="2" bestFit="1" customWidth="1"/>
    <col min="11814" max="11814" width="13.54296875" style="2" bestFit="1" customWidth="1"/>
    <col min="11815" max="11815" width="13.1796875" style="2" bestFit="1" customWidth="1"/>
    <col min="11816" max="11816" width="13.54296875" style="2" bestFit="1" customWidth="1"/>
    <col min="11817" max="11817" width="13.1796875" style="2" bestFit="1" customWidth="1"/>
    <col min="11818" max="11818" width="13.54296875" style="2" bestFit="1" customWidth="1"/>
    <col min="11819" max="11819" width="13.1796875" style="2" bestFit="1" customWidth="1"/>
    <col min="11820" max="11820" width="13.54296875" style="2" bestFit="1" customWidth="1"/>
    <col min="11821" max="11821" width="13.1796875" style="2" bestFit="1" customWidth="1"/>
    <col min="11822" max="11822" width="13.54296875" style="2" bestFit="1" customWidth="1"/>
    <col min="11823" max="11823" width="13.1796875" style="2" bestFit="1" customWidth="1"/>
    <col min="11824" max="12032" width="11.453125" style="2"/>
    <col min="12033" max="12033" width="27.453125" style="2" customWidth="1"/>
    <col min="12034" max="12034" width="1.453125" style="2" customWidth="1"/>
    <col min="12035" max="12035" width="17.81640625" style="2" bestFit="1" customWidth="1"/>
    <col min="12036" max="12036" width="15.54296875" style="2" bestFit="1" customWidth="1"/>
    <col min="12037" max="12037" width="16.1796875" style="2" customWidth="1"/>
    <col min="12038" max="12038" width="1.26953125" style="2" customWidth="1"/>
    <col min="12039" max="12039" width="17.81640625" style="2" bestFit="1" customWidth="1"/>
    <col min="12040" max="12040" width="15.54296875" style="2" bestFit="1" customWidth="1"/>
    <col min="12041" max="12041" width="16.1796875" style="2" customWidth="1"/>
    <col min="12042" max="12042" width="1.7265625" style="2" customWidth="1"/>
    <col min="12043" max="12044" width="15.453125" style="2" bestFit="1" customWidth="1"/>
    <col min="12045" max="12045" width="18.453125" style="2" customWidth="1"/>
    <col min="12046" max="12046" width="1.26953125" style="2" customWidth="1"/>
    <col min="12047" max="12048" width="15.453125" style="2" bestFit="1" customWidth="1"/>
    <col min="12049" max="12049" width="18.453125" style="2" customWidth="1"/>
    <col min="12050" max="12050" width="1.26953125" style="2" customWidth="1"/>
    <col min="12051" max="12052" width="15.453125" style="2" bestFit="1" customWidth="1"/>
    <col min="12053" max="12053" width="18.453125" style="2" customWidth="1"/>
    <col min="12054" max="12054" width="1.26953125" style="2" customWidth="1"/>
    <col min="12055" max="12056" width="15.453125" style="2" customWidth="1"/>
    <col min="12057" max="12057" width="18.453125" style="2" customWidth="1"/>
    <col min="12058" max="12058" width="1.26953125" style="2" customWidth="1"/>
    <col min="12059" max="12066" width="11.453125" style="2" customWidth="1"/>
    <col min="12067" max="12069" width="18.7265625" style="2" bestFit="1" customWidth="1"/>
    <col min="12070" max="12070" width="13.54296875" style="2" bestFit="1" customWidth="1"/>
    <col min="12071" max="12071" width="13.1796875" style="2" bestFit="1" customWidth="1"/>
    <col min="12072" max="12072" width="13.54296875" style="2" bestFit="1" customWidth="1"/>
    <col min="12073" max="12073" width="13.1796875" style="2" bestFit="1" customWidth="1"/>
    <col min="12074" max="12074" width="13.54296875" style="2" bestFit="1" customWidth="1"/>
    <col min="12075" max="12075" width="13.1796875" style="2" bestFit="1" customWidth="1"/>
    <col min="12076" max="12076" width="13.54296875" style="2" bestFit="1" customWidth="1"/>
    <col min="12077" max="12077" width="13.1796875" style="2" bestFit="1" customWidth="1"/>
    <col min="12078" max="12078" width="13.54296875" style="2" bestFit="1" customWidth="1"/>
    <col min="12079" max="12079" width="13.1796875" style="2" bestFit="1" customWidth="1"/>
    <col min="12080" max="12288" width="11.453125" style="2"/>
    <col min="12289" max="12289" width="27.453125" style="2" customWidth="1"/>
    <col min="12290" max="12290" width="1.453125" style="2" customWidth="1"/>
    <col min="12291" max="12291" width="17.81640625" style="2" bestFit="1" customWidth="1"/>
    <col min="12292" max="12292" width="15.54296875" style="2" bestFit="1" customWidth="1"/>
    <col min="12293" max="12293" width="16.1796875" style="2" customWidth="1"/>
    <col min="12294" max="12294" width="1.26953125" style="2" customWidth="1"/>
    <col min="12295" max="12295" width="17.81640625" style="2" bestFit="1" customWidth="1"/>
    <col min="12296" max="12296" width="15.54296875" style="2" bestFit="1" customWidth="1"/>
    <col min="12297" max="12297" width="16.1796875" style="2" customWidth="1"/>
    <col min="12298" max="12298" width="1.7265625" style="2" customWidth="1"/>
    <col min="12299" max="12300" width="15.453125" style="2" bestFit="1" customWidth="1"/>
    <col min="12301" max="12301" width="18.453125" style="2" customWidth="1"/>
    <col min="12302" max="12302" width="1.26953125" style="2" customWidth="1"/>
    <col min="12303" max="12304" width="15.453125" style="2" bestFit="1" customWidth="1"/>
    <col min="12305" max="12305" width="18.453125" style="2" customWidth="1"/>
    <col min="12306" max="12306" width="1.26953125" style="2" customWidth="1"/>
    <col min="12307" max="12308" width="15.453125" style="2" bestFit="1" customWidth="1"/>
    <col min="12309" max="12309" width="18.453125" style="2" customWidth="1"/>
    <col min="12310" max="12310" width="1.26953125" style="2" customWidth="1"/>
    <col min="12311" max="12312" width="15.453125" style="2" customWidth="1"/>
    <col min="12313" max="12313" width="18.453125" style="2" customWidth="1"/>
    <col min="12314" max="12314" width="1.26953125" style="2" customWidth="1"/>
    <col min="12315" max="12322" width="11.453125" style="2" customWidth="1"/>
    <col min="12323" max="12325" width="18.7265625" style="2" bestFit="1" customWidth="1"/>
    <col min="12326" max="12326" width="13.54296875" style="2" bestFit="1" customWidth="1"/>
    <col min="12327" max="12327" width="13.1796875" style="2" bestFit="1" customWidth="1"/>
    <col min="12328" max="12328" width="13.54296875" style="2" bestFit="1" customWidth="1"/>
    <col min="12329" max="12329" width="13.1796875" style="2" bestFit="1" customWidth="1"/>
    <col min="12330" max="12330" width="13.54296875" style="2" bestFit="1" customWidth="1"/>
    <col min="12331" max="12331" width="13.1796875" style="2" bestFit="1" customWidth="1"/>
    <col min="12332" max="12332" width="13.54296875" style="2" bestFit="1" customWidth="1"/>
    <col min="12333" max="12333" width="13.1796875" style="2" bestFit="1" customWidth="1"/>
    <col min="12334" max="12334" width="13.54296875" style="2" bestFit="1" customWidth="1"/>
    <col min="12335" max="12335" width="13.1796875" style="2" bestFit="1" customWidth="1"/>
    <col min="12336" max="12544" width="11.453125" style="2"/>
    <col min="12545" max="12545" width="27.453125" style="2" customWidth="1"/>
    <col min="12546" max="12546" width="1.453125" style="2" customWidth="1"/>
    <col min="12547" max="12547" width="17.81640625" style="2" bestFit="1" customWidth="1"/>
    <col min="12548" max="12548" width="15.54296875" style="2" bestFit="1" customWidth="1"/>
    <col min="12549" max="12549" width="16.1796875" style="2" customWidth="1"/>
    <col min="12550" max="12550" width="1.26953125" style="2" customWidth="1"/>
    <col min="12551" max="12551" width="17.81640625" style="2" bestFit="1" customWidth="1"/>
    <col min="12552" max="12552" width="15.54296875" style="2" bestFit="1" customWidth="1"/>
    <col min="12553" max="12553" width="16.1796875" style="2" customWidth="1"/>
    <col min="12554" max="12554" width="1.7265625" style="2" customWidth="1"/>
    <col min="12555" max="12556" width="15.453125" style="2" bestFit="1" customWidth="1"/>
    <col min="12557" max="12557" width="18.453125" style="2" customWidth="1"/>
    <col min="12558" max="12558" width="1.26953125" style="2" customWidth="1"/>
    <col min="12559" max="12560" width="15.453125" style="2" bestFit="1" customWidth="1"/>
    <col min="12561" max="12561" width="18.453125" style="2" customWidth="1"/>
    <col min="12562" max="12562" width="1.26953125" style="2" customWidth="1"/>
    <col min="12563" max="12564" width="15.453125" style="2" bestFit="1" customWidth="1"/>
    <col min="12565" max="12565" width="18.453125" style="2" customWidth="1"/>
    <col min="12566" max="12566" width="1.26953125" style="2" customWidth="1"/>
    <col min="12567" max="12568" width="15.453125" style="2" customWidth="1"/>
    <col min="12569" max="12569" width="18.453125" style="2" customWidth="1"/>
    <col min="12570" max="12570" width="1.26953125" style="2" customWidth="1"/>
    <col min="12571" max="12578" width="11.453125" style="2" customWidth="1"/>
    <col min="12579" max="12581" width="18.7265625" style="2" bestFit="1" customWidth="1"/>
    <col min="12582" max="12582" width="13.54296875" style="2" bestFit="1" customWidth="1"/>
    <col min="12583" max="12583" width="13.1796875" style="2" bestFit="1" customWidth="1"/>
    <col min="12584" max="12584" width="13.54296875" style="2" bestFit="1" customWidth="1"/>
    <col min="12585" max="12585" width="13.1796875" style="2" bestFit="1" customWidth="1"/>
    <col min="12586" max="12586" width="13.54296875" style="2" bestFit="1" customWidth="1"/>
    <col min="12587" max="12587" width="13.1796875" style="2" bestFit="1" customWidth="1"/>
    <col min="12588" max="12588" width="13.54296875" style="2" bestFit="1" customWidth="1"/>
    <col min="12589" max="12589" width="13.1796875" style="2" bestFit="1" customWidth="1"/>
    <col min="12590" max="12590" width="13.54296875" style="2" bestFit="1" customWidth="1"/>
    <col min="12591" max="12591" width="13.1796875" style="2" bestFit="1" customWidth="1"/>
    <col min="12592" max="12800" width="11.453125" style="2"/>
    <col min="12801" max="12801" width="27.453125" style="2" customWidth="1"/>
    <col min="12802" max="12802" width="1.453125" style="2" customWidth="1"/>
    <col min="12803" max="12803" width="17.81640625" style="2" bestFit="1" customWidth="1"/>
    <col min="12804" max="12804" width="15.54296875" style="2" bestFit="1" customWidth="1"/>
    <col min="12805" max="12805" width="16.1796875" style="2" customWidth="1"/>
    <col min="12806" max="12806" width="1.26953125" style="2" customWidth="1"/>
    <col min="12807" max="12807" width="17.81640625" style="2" bestFit="1" customWidth="1"/>
    <col min="12808" max="12808" width="15.54296875" style="2" bestFit="1" customWidth="1"/>
    <col min="12809" max="12809" width="16.1796875" style="2" customWidth="1"/>
    <col min="12810" max="12810" width="1.7265625" style="2" customWidth="1"/>
    <col min="12811" max="12812" width="15.453125" style="2" bestFit="1" customWidth="1"/>
    <col min="12813" max="12813" width="18.453125" style="2" customWidth="1"/>
    <col min="12814" max="12814" width="1.26953125" style="2" customWidth="1"/>
    <col min="12815" max="12816" width="15.453125" style="2" bestFit="1" customWidth="1"/>
    <col min="12817" max="12817" width="18.453125" style="2" customWidth="1"/>
    <col min="12818" max="12818" width="1.26953125" style="2" customWidth="1"/>
    <col min="12819" max="12820" width="15.453125" style="2" bestFit="1" customWidth="1"/>
    <col min="12821" max="12821" width="18.453125" style="2" customWidth="1"/>
    <col min="12822" max="12822" width="1.26953125" style="2" customWidth="1"/>
    <col min="12823" max="12824" width="15.453125" style="2" customWidth="1"/>
    <col min="12825" max="12825" width="18.453125" style="2" customWidth="1"/>
    <col min="12826" max="12826" width="1.26953125" style="2" customWidth="1"/>
    <col min="12827" max="12834" width="11.453125" style="2" customWidth="1"/>
    <col min="12835" max="12837" width="18.7265625" style="2" bestFit="1" customWidth="1"/>
    <col min="12838" max="12838" width="13.54296875" style="2" bestFit="1" customWidth="1"/>
    <col min="12839" max="12839" width="13.1796875" style="2" bestFit="1" customWidth="1"/>
    <col min="12840" max="12840" width="13.54296875" style="2" bestFit="1" customWidth="1"/>
    <col min="12841" max="12841" width="13.1796875" style="2" bestFit="1" customWidth="1"/>
    <col min="12842" max="12842" width="13.54296875" style="2" bestFit="1" customWidth="1"/>
    <col min="12843" max="12843" width="13.1796875" style="2" bestFit="1" customWidth="1"/>
    <col min="12844" max="12844" width="13.54296875" style="2" bestFit="1" customWidth="1"/>
    <col min="12845" max="12845" width="13.1796875" style="2" bestFit="1" customWidth="1"/>
    <col min="12846" max="12846" width="13.54296875" style="2" bestFit="1" customWidth="1"/>
    <col min="12847" max="12847" width="13.1796875" style="2" bestFit="1" customWidth="1"/>
    <col min="12848" max="13056" width="11.453125" style="2"/>
    <col min="13057" max="13057" width="27.453125" style="2" customWidth="1"/>
    <col min="13058" max="13058" width="1.453125" style="2" customWidth="1"/>
    <col min="13059" max="13059" width="17.81640625" style="2" bestFit="1" customWidth="1"/>
    <col min="13060" max="13060" width="15.54296875" style="2" bestFit="1" customWidth="1"/>
    <col min="13061" max="13061" width="16.1796875" style="2" customWidth="1"/>
    <col min="13062" max="13062" width="1.26953125" style="2" customWidth="1"/>
    <col min="13063" max="13063" width="17.81640625" style="2" bestFit="1" customWidth="1"/>
    <col min="13064" max="13064" width="15.54296875" style="2" bestFit="1" customWidth="1"/>
    <col min="13065" max="13065" width="16.1796875" style="2" customWidth="1"/>
    <col min="13066" max="13066" width="1.7265625" style="2" customWidth="1"/>
    <col min="13067" max="13068" width="15.453125" style="2" bestFit="1" customWidth="1"/>
    <col min="13069" max="13069" width="18.453125" style="2" customWidth="1"/>
    <col min="13070" max="13070" width="1.26953125" style="2" customWidth="1"/>
    <col min="13071" max="13072" width="15.453125" style="2" bestFit="1" customWidth="1"/>
    <col min="13073" max="13073" width="18.453125" style="2" customWidth="1"/>
    <col min="13074" max="13074" width="1.26953125" style="2" customWidth="1"/>
    <col min="13075" max="13076" width="15.453125" style="2" bestFit="1" customWidth="1"/>
    <col min="13077" max="13077" width="18.453125" style="2" customWidth="1"/>
    <col min="13078" max="13078" width="1.26953125" style="2" customWidth="1"/>
    <col min="13079" max="13080" width="15.453125" style="2" customWidth="1"/>
    <col min="13081" max="13081" width="18.453125" style="2" customWidth="1"/>
    <col min="13082" max="13082" width="1.26953125" style="2" customWidth="1"/>
    <col min="13083" max="13090" width="11.453125" style="2" customWidth="1"/>
    <col min="13091" max="13093" width="18.7265625" style="2" bestFit="1" customWidth="1"/>
    <col min="13094" max="13094" width="13.54296875" style="2" bestFit="1" customWidth="1"/>
    <col min="13095" max="13095" width="13.1796875" style="2" bestFit="1" customWidth="1"/>
    <col min="13096" max="13096" width="13.54296875" style="2" bestFit="1" customWidth="1"/>
    <col min="13097" max="13097" width="13.1796875" style="2" bestFit="1" customWidth="1"/>
    <col min="13098" max="13098" width="13.54296875" style="2" bestFit="1" customWidth="1"/>
    <col min="13099" max="13099" width="13.1796875" style="2" bestFit="1" customWidth="1"/>
    <col min="13100" max="13100" width="13.54296875" style="2" bestFit="1" customWidth="1"/>
    <col min="13101" max="13101" width="13.1796875" style="2" bestFit="1" customWidth="1"/>
    <col min="13102" max="13102" width="13.54296875" style="2" bestFit="1" customWidth="1"/>
    <col min="13103" max="13103" width="13.1796875" style="2" bestFit="1" customWidth="1"/>
    <col min="13104" max="13312" width="11.453125" style="2"/>
    <col min="13313" max="13313" width="27.453125" style="2" customWidth="1"/>
    <col min="13314" max="13314" width="1.453125" style="2" customWidth="1"/>
    <col min="13315" max="13315" width="17.81640625" style="2" bestFit="1" customWidth="1"/>
    <col min="13316" max="13316" width="15.54296875" style="2" bestFit="1" customWidth="1"/>
    <col min="13317" max="13317" width="16.1796875" style="2" customWidth="1"/>
    <col min="13318" max="13318" width="1.26953125" style="2" customWidth="1"/>
    <col min="13319" max="13319" width="17.81640625" style="2" bestFit="1" customWidth="1"/>
    <col min="13320" max="13320" width="15.54296875" style="2" bestFit="1" customWidth="1"/>
    <col min="13321" max="13321" width="16.1796875" style="2" customWidth="1"/>
    <col min="13322" max="13322" width="1.7265625" style="2" customWidth="1"/>
    <col min="13323" max="13324" width="15.453125" style="2" bestFit="1" customWidth="1"/>
    <col min="13325" max="13325" width="18.453125" style="2" customWidth="1"/>
    <col min="13326" max="13326" width="1.26953125" style="2" customWidth="1"/>
    <col min="13327" max="13328" width="15.453125" style="2" bestFit="1" customWidth="1"/>
    <col min="13329" max="13329" width="18.453125" style="2" customWidth="1"/>
    <col min="13330" max="13330" width="1.26953125" style="2" customWidth="1"/>
    <col min="13331" max="13332" width="15.453125" style="2" bestFit="1" customWidth="1"/>
    <col min="13333" max="13333" width="18.453125" style="2" customWidth="1"/>
    <col min="13334" max="13334" width="1.26953125" style="2" customWidth="1"/>
    <col min="13335" max="13336" width="15.453125" style="2" customWidth="1"/>
    <col min="13337" max="13337" width="18.453125" style="2" customWidth="1"/>
    <col min="13338" max="13338" width="1.26953125" style="2" customWidth="1"/>
    <col min="13339" max="13346" width="11.453125" style="2" customWidth="1"/>
    <col min="13347" max="13349" width="18.7265625" style="2" bestFit="1" customWidth="1"/>
    <col min="13350" max="13350" width="13.54296875" style="2" bestFit="1" customWidth="1"/>
    <col min="13351" max="13351" width="13.1796875" style="2" bestFit="1" customWidth="1"/>
    <col min="13352" max="13352" width="13.54296875" style="2" bestFit="1" customWidth="1"/>
    <col min="13353" max="13353" width="13.1796875" style="2" bestFit="1" customWidth="1"/>
    <col min="13354" max="13354" width="13.54296875" style="2" bestFit="1" customWidth="1"/>
    <col min="13355" max="13355" width="13.1796875" style="2" bestFit="1" customWidth="1"/>
    <col min="13356" max="13356" width="13.54296875" style="2" bestFit="1" customWidth="1"/>
    <col min="13357" max="13357" width="13.1796875" style="2" bestFit="1" customWidth="1"/>
    <col min="13358" max="13358" width="13.54296875" style="2" bestFit="1" customWidth="1"/>
    <col min="13359" max="13359" width="13.1796875" style="2" bestFit="1" customWidth="1"/>
    <col min="13360" max="13568" width="11.453125" style="2"/>
    <col min="13569" max="13569" width="27.453125" style="2" customWidth="1"/>
    <col min="13570" max="13570" width="1.453125" style="2" customWidth="1"/>
    <col min="13571" max="13571" width="17.81640625" style="2" bestFit="1" customWidth="1"/>
    <col min="13572" max="13572" width="15.54296875" style="2" bestFit="1" customWidth="1"/>
    <col min="13573" max="13573" width="16.1796875" style="2" customWidth="1"/>
    <col min="13574" max="13574" width="1.26953125" style="2" customWidth="1"/>
    <col min="13575" max="13575" width="17.81640625" style="2" bestFit="1" customWidth="1"/>
    <col min="13576" max="13576" width="15.54296875" style="2" bestFit="1" customWidth="1"/>
    <col min="13577" max="13577" width="16.1796875" style="2" customWidth="1"/>
    <col min="13578" max="13578" width="1.7265625" style="2" customWidth="1"/>
    <col min="13579" max="13580" width="15.453125" style="2" bestFit="1" customWidth="1"/>
    <col min="13581" max="13581" width="18.453125" style="2" customWidth="1"/>
    <col min="13582" max="13582" width="1.26953125" style="2" customWidth="1"/>
    <col min="13583" max="13584" width="15.453125" style="2" bestFit="1" customWidth="1"/>
    <col min="13585" max="13585" width="18.453125" style="2" customWidth="1"/>
    <col min="13586" max="13586" width="1.26953125" style="2" customWidth="1"/>
    <col min="13587" max="13588" width="15.453125" style="2" bestFit="1" customWidth="1"/>
    <col min="13589" max="13589" width="18.453125" style="2" customWidth="1"/>
    <col min="13590" max="13590" width="1.26953125" style="2" customWidth="1"/>
    <col min="13591" max="13592" width="15.453125" style="2" customWidth="1"/>
    <col min="13593" max="13593" width="18.453125" style="2" customWidth="1"/>
    <col min="13594" max="13594" width="1.26953125" style="2" customWidth="1"/>
    <col min="13595" max="13602" width="11.453125" style="2" customWidth="1"/>
    <col min="13603" max="13605" width="18.7265625" style="2" bestFit="1" customWidth="1"/>
    <col min="13606" max="13606" width="13.54296875" style="2" bestFit="1" customWidth="1"/>
    <col min="13607" max="13607" width="13.1796875" style="2" bestFit="1" customWidth="1"/>
    <col min="13608" max="13608" width="13.54296875" style="2" bestFit="1" customWidth="1"/>
    <col min="13609" max="13609" width="13.1796875" style="2" bestFit="1" customWidth="1"/>
    <col min="13610" max="13610" width="13.54296875" style="2" bestFit="1" customWidth="1"/>
    <col min="13611" max="13611" width="13.1796875" style="2" bestFit="1" customWidth="1"/>
    <col min="13612" max="13612" width="13.54296875" style="2" bestFit="1" customWidth="1"/>
    <col min="13613" max="13613" width="13.1796875" style="2" bestFit="1" customWidth="1"/>
    <col min="13614" max="13614" width="13.54296875" style="2" bestFit="1" customWidth="1"/>
    <col min="13615" max="13615" width="13.1796875" style="2" bestFit="1" customWidth="1"/>
    <col min="13616" max="13824" width="11.453125" style="2"/>
    <col min="13825" max="13825" width="27.453125" style="2" customWidth="1"/>
    <col min="13826" max="13826" width="1.453125" style="2" customWidth="1"/>
    <col min="13827" max="13827" width="17.81640625" style="2" bestFit="1" customWidth="1"/>
    <col min="13828" max="13828" width="15.54296875" style="2" bestFit="1" customWidth="1"/>
    <col min="13829" max="13829" width="16.1796875" style="2" customWidth="1"/>
    <col min="13830" max="13830" width="1.26953125" style="2" customWidth="1"/>
    <col min="13831" max="13831" width="17.81640625" style="2" bestFit="1" customWidth="1"/>
    <col min="13832" max="13832" width="15.54296875" style="2" bestFit="1" customWidth="1"/>
    <col min="13833" max="13833" width="16.1796875" style="2" customWidth="1"/>
    <col min="13834" max="13834" width="1.7265625" style="2" customWidth="1"/>
    <col min="13835" max="13836" width="15.453125" style="2" bestFit="1" customWidth="1"/>
    <col min="13837" max="13837" width="18.453125" style="2" customWidth="1"/>
    <col min="13838" max="13838" width="1.26953125" style="2" customWidth="1"/>
    <col min="13839" max="13840" width="15.453125" style="2" bestFit="1" customWidth="1"/>
    <col min="13841" max="13841" width="18.453125" style="2" customWidth="1"/>
    <col min="13842" max="13842" width="1.26953125" style="2" customWidth="1"/>
    <col min="13843" max="13844" width="15.453125" style="2" bestFit="1" customWidth="1"/>
    <col min="13845" max="13845" width="18.453125" style="2" customWidth="1"/>
    <col min="13846" max="13846" width="1.26953125" style="2" customWidth="1"/>
    <col min="13847" max="13848" width="15.453125" style="2" customWidth="1"/>
    <col min="13849" max="13849" width="18.453125" style="2" customWidth="1"/>
    <col min="13850" max="13850" width="1.26953125" style="2" customWidth="1"/>
    <col min="13851" max="13858" width="11.453125" style="2" customWidth="1"/>
    <col min="13859" max="13861" width="18.7265625" style="2" bestFit="1" customWidth="1"/>
    <col min="13862" max="13862" width="13.54296875" style="2" bestFit="1" customWidth="1"/>
    <col min="13863" max="13863" width="13.1796875" style="2" bestFit="1" customWidth="1"/>
    <col min="13864" max="13864" width="13.54296875" style="2" bestFit="1" customWidth="1"/>
    <col min="13865" max="13865" width="13.1796875" style="2" bestFit="1" customWidth="1"/>
    <col min="13866" max="13866" width="13.54296875" style="2" bestFit="1" customWidth="1"/>
    <col min="13867" max="13867" width="13.1796875" style="2" bestFit="1" customWidth="1"/>
    <col min="13868" max="13868" width="13.54296875" style="2" bestFit="1" customWidth="1"/>
    <col min="13869" max="13869" width="13.1796875" style="2" bestFit="1" customWidth="1"/>
    <col min="13870" max="13870" width="13.54296875" style="2" bestFit="1" customWidth="1"/>
    <col min="13871" max="13871" width="13.1796875" style="2" bestFit="1" customWidth="1"/>
    <col min="13872" max="14080" width="11.453125" style="2"/>
    <col min="14081" max="14081" width="27.453125" style="2" customWidth="1"/>
    <col min="14082" max="14082" width="1.453125" style="2" customWidth="1"/>
    <col min="14083" max="14083" width="17.81640625" style="2" bestFit="1" customWidth="1"/>
    <col min="14084" max="14084" width="15.54296875" style="2" bestFit="1" customWidth="1"/>
    <col min="14085" max="14085" width="16.1796875" style="2" customWidth="1"/>
    <col min="14086" max="14086" width="1.26953125" style="2" customWidth="1"/>
    <col min="14087" max="14087" width="17.81640625" style="2" bestFit="1" customWidth="1"/>
    <col min="14088" max="14088" width="15.54296875" style="2" bestFit="1" customWidth="1"/>
    <col min="14089" max="14089" width="16.1796875" style="2" customWidth="1"/>
    <col min="14090" max="14090" width="1.7265625" style="2" customWidth="1"/>
    <col min="14091" max="14092" width="15.453125" style="2" bestFit="1" customWidth="1"/>
    <col min="14093" max="14093" width="18.453125" style="2" customWidth="1"/>
    <col min="14094" max="14094" width="1.26953125" style="2" customWidth="1"/>
    <col min="14095" max="14096" width="15.453125" style="2" bestFit="1" customWidth="1"/>
    <col min="14097" max="14097" width="18.453125" style="2" customWidth="1"/>
    <col min="14098" max="14098" width="1.26953125" style="2" customWidth="1"/>
    <col min="14099" max="14100" width="15.453125" style="2" bestFit="1" customWidth="1"/>
    <col min="14101" max="14101" width="18.453125" style="2" customWidth="1"/>
    <col min="14102" max="14102" width="1.26953125" style="2" customWidth="1"/>
    <col min="14103" max="14104" width="15.453125" style="2" customWidth="1"/>
    <col min="14105" max="14105" width="18.453125" style="2" customWidth="1"/>
    <col min="14106" max="14106" width="1.26953125" style="2" customWidth="1"/>
    <col min="14107" max="14114" width="11.453125" style="2" customWidth="1"/>
    <col min="14115" max="14117" width="18.7265625" style="2" bestFit="1" customWidth="1"/>
    <col min="14118" max="14118" width="13.54296875" style="2" bestFit="1" customWidth="1"/>
    <col min="14119" max="14119" width="13.1796875" style="2" bestFit="1" customWidth="1"/>
    <col min="14120" max="14120" width="13.54296875" style="2" bestFit="1" customWidth="1"/>
    <col min="14121" max="14121" width="13.1796875" style="2" bestFit="1" customWidth="1"/>
    <col min="14122" max="14122" width="13.54296875" style="2" bestFit="1" customWidth="1"/>
    <col min="14123" max="14123" width="13.1796875" style="2" bestFit="1" customWidth="1"/>
    <col min="14124" max="14124" width="13.54296875" style="2" bestFit="1" customWidth="1"/>
    <col min="14125" max="14125" width="13.1796875" style="2" bestFit="1" customWidth="1"/>
    <col min="14126" max="14126" width="13.54296875" style="2" bestFit="1" customWidth="1"/>
    <col min="14127" max="14127" width="13.1796875" style="2" bestFit="1" customWidth="1"/>
    <col min="14128" max="14336" width="11.453125" style="2"/>
    <col min="14337" max="14337" width="27.453125" style="2" customWidth="1"/>
    <col min="14338" max="14338" width="1.453125" style="2" customWidth="1"/>
    <col min="14339" max="14339" width="17.81640625" style="2" bestFit="1" customWidth="1"/>
    <col min="14340" max="14340" width="15.54296875" style="2" bestFit="1" customWidth="1"/>
    <col min="14341" max="14341" width="16.1796875" style="2" customWidth="1"/>
    <col min="14342" max="14342" width="1.26953125" style="2" customWidth="1"/>
    <col min="14343" max="14343" width="17.81640625" style="2" bestFit="1" customWidth="1"/>
    <col min="14344" max="14344" width="15.54296875" style="2" bestFit="1" customWidth="1"/>
    <col min="14345" max="14345" width="16.1796875" style="2" customWidth="1"/>
    <col min="14346" max="14346" width="1.7265625" style="2" customWidth="1"/>
    <col min="14347" max="14348" width="15.453125" style="2" bestFit="1" customWidth="1"/>
    <col min="14349" max="14349" width="18.453125" style="2" customWidth="1"/>
    <col min="14350" max="14350" width="1.26953125" style="2" customWidth="1"/>
    <col min="14351" max="14352" width="15.453125" style="2" bestFit="1" customWidth="1"/>
    <col min="14353" max="14353" width="18.453125" style="2" customWidth="1"/>
    <col min="14354" max="14354" width="1.26953125" style="2" customWidth="1"/>
    <col min="14355" max="14356" width="15.453125" style="2" bestFit="1" customWidth="1"/>
    <col min="14357" max="14357" width="18.453125" style="2" customWidth="1"/>
    <col min="14358" max="14358" width="1.26953125" style="2" customWidth="1"/>
    <col min="14359" max="14360" width="15.453125" style="2" customWidth="1"/>
    <col min="14361" max="14361" width="18.453125" style="2" customWidth="1"/>
    <col min="14362" max="14362" width="1.26953125" style="2" customWidth="1"/>
    <col min="14363" max="14370" width="11.453125" style="2" customWidth="1"/>
    <col min="14371" max="14373" width="18.7265625" style="2" bestFit="1" customWidth="1"/>
    <col min="14374" max="14374" width="13.54296875" style="2" bestFit="1" customWidth="1"/>
    <col min="14375" max="14375" width="13.1796875" style="2" bestFit="1" customWidth="1"/>
    <col min="14376" max="14376" width="13.54296875" style="2" bestFit="1" customWidth="1"/>
    <col min="14377" max="14377" width="13.1796875" style="2" bestFit="1" customWidth="1"/>
    <col min="14378" max="14378" width="13.54296875" style="2" bestFit="1" customWidth="1"/>
    <col min="14379" max="14379" width="13.1796875" style="2" bestFit="1" customWidth="1"/>
    <col min="14380" max="14380" width="13.54296875" style="2" bestFit="1" customWidth="1"/>
    <col min="14381" max="14381" width="13.1796875" style="2" bestFit="1" customWidth="1"/>
    <col min="14382" max="14382" width="13.54296875" style="2" bestFit="1" customWidth="1"/>
    <col min="14383" max="14383" width="13.1796875" style="2" bestFit="1" customWidth="1"/>
    <col min="14384" max="14592" width="11.453125" style="2"/>
    <col min="14593" max="14593" width="27.453125" style="2" customWidth="1"/>
    <col min="14594" max="14594" width="1.453125" style="2" customWidth="1"/>
    <col min="14595" max="14595" width="17.81640625" style="2" bestFit="1" customWidth="1"/>
    <col min="14596" max="14596" width="15.54296875" style="2" bestFit="1" customWidth="1"/>
    <col min="14597" max="14597" width="16.1796875" style="2" customWidth="1"/>
    <col min="14598" max="14598" width="1.26953125" style="2" customWidth="1"/>
    <col min="14599" max="14599" width="17.81640625" style="2" bestFit="1" customWidth="1"/>
    <col min="14600" max="14600" width="15.54296875" style="2" bestFit="1" customWidth="1"/>
    <col min="14601" max="14601" width="16.1796875" style="2" customWidth="1"/>
    <col min="14602" max="14602" width="1.7265625" style="2" customWidth="1"/>
    <col min="14603" max="14604" width="15.453125" style="2" bestFit="1" customWidth="1"/>
    <col min="14605" max="14605" width="18.453125" style="2" customWidth="1"/>
    <col min="14606" max="14606" width="1.26953125" style="2" customWidth="1"/>
    <col min="14607" max="14608" width="15.453125" style="2" bestFit="1" customWidth="1"/>
    <col min="14609" max="14609" width="18.453125" style="2" customWidth="1"/>
    <col min="14610" max="14610" width="1.26953125" style="2" customWidth="1"/>
    <col min="14611" max="14612" width="15.453125" style="2" bestFit="1" customWidth="1"/>
    <col min="14613" max="14613" width="18.453125" style="2" customWidth="1"/>
    <col min="14614" max="14614" width="1.26953125" style="2" customWidth="1"/>
    <col min="14615" max="14616" width="15.453125" style="2" customWidth="1"/>
    <col min="14617" max="14617" width="18.453125" style="2" customWidth="1"/>
    <col min="14618" max="14618" width="1.26953125" style="2" customWidth="1"/>
    <col min="14619" max="14626" width="11.453125" style="2" customWidth="1"/>
    <col min="14627" max="14629" width="18.7265625" style="2" bestFit="1" customWidth="1"/>
    <col min="14630" max="14630" width="13.54296875" style="2" bestFit="1" customWidth="1"/>
    <col min="14631" max="14631" width="13.1796875" style="2" bestFit="1" customWidth="1"/>
    <col min="14632" max="14632" width="13.54296875" style="2" bestFit="1" customWidth="1"/>
    <col min="14633" max="14633" width="13.1796875" style="2" bestFit="1" customWidth="1"/>
    <col min="14634" max="14634" width="13.54296875" style="2" bestFit="1" customWidth="1"/>
    <col min="14635" max="14635" width="13.1796875" style="2" bestFit="1" customWidth="1"/>
    <col min="14636" max="14636" width="13.54296875" style="2" bestFit="1" customWidth="1"/>
    <col min="14637" max="14637" width="13.1796875" style="2" bestFit="1" customWidth="1"/>
    <col min="14638" max="14638" width="13.54296875" style="2" bestFit="1" customWidth="1"/>
    <col min="14639" max="14639" width="13.1796875" style="2" bestFit="1" customWidth="1"/>
    <col min="14640" max="14848" width="11.453125" style="2"/>
    <col min="14849" max="14849" width="27.453125" style="2" customWidth="1"/>
    <col min="14850" max="14850" width="1.453125" style="2" customWidth="1"/>
    <col min="14851" max="14851" width="17.81640625" style="2" bestFit="1" customWidth="1"/>
    <col min="14852" max="14852" width="15.54296875" style="2" bestFit="1" customWidth="1"/>
    <col min="14853" max="14853" width="16.1796875" style="2" customWidth="1"/>
    <col min="14854" max="14854" width="1.26953125" style="2" customWidth="1"/>
    <col min="14855" max="14855" width="17.81640625" style="2" bestFit="1" customWidth="1"/>
    <col min="14856" max="14856" width="15.54296875" style="2" bestFit="1" customWidth="1"/>
    <col min="14857" max="14857" width="16.1796875" style="2" customWidth="1"/>
    <col min="14858" max="14858" width="1.7265625" style="2" customWidth="1"/>
    <col min="14859" max="14860" width="15.453125" style="2" bestFit="1" customWidth="1"/>
    <col min="14861" max="14861" width="18.453125" style="2" customWidth="1"/>
    <col min="14862" max="14862" width="1.26953125" style="2" customWidth="1"/>
    <col min="14863" max="14864" width="15.453125" style="2" bestFit="1" customWidth="1"/>
    <col min="14865" max="14865" width="18.453125" style="2" customWidth="1"/>
    <col min="14866" max="14866" width="1.26953125" style="2" customWidth="1"/>
    <col min="14867" max="14868" width="15.453125" style="2" bestFit="1" customWidth="1"/>
    <col min="14869" max="14869" width="18.453125" style="2" customWidth="1"/>
    <col min="14870" max="14870" width="1.26953125" style="2" customWidth="1"/>
    <col min="14871" max="14872" width="15.453125" style="2" customWidth="1"/>
    <col min="14873" max="14873" width="18.453125" style="2" customWidth="1"/>
    <col min="14874" max="14874" width="1.26953125" style="2" customWidth="1"/>
    <col min="14875" max="14882" width="11.453125" style="2" customWidth="1"/>
    <col min="14883" max="14885" width="18.7265625" style="2" bestFit="1" customWidth="1"/>
    <col min="14886" max="14886" width="13.54296875" style="2" bestFit="1" customWidth="1"/>
    <col min="14887" max="14887" width="13.1796875" style="2" bestFit="1" customWidth="1"/>
    <col min="14888" max="14888" width="13.54296875" style="2" bestFit="1" customWidth="1"/>
    <col min="14889" max="14889" width="13.1796875" style="2" bestFit="1" customWidth="1"/>
    <col min="14890" max="14890" width="13.54296875" style="2" bestFit="1" customWidth="1"/>
    <col min="14891" max="14891" width="13.1796875" style="2" bestFit="1" customWidth="1"/>
    <col min="14892" max="14892" width="13.54296875" style="2" bestFit="1" customWidth="1"/>
    <col min="14893" max="14893" width="13.1796875" style="2" bestFit="1" customWidth="1"/>
    <col min="14894" max="14894" width="13.54296875" style="2" bestFit="1" customWidth="1"/>
    <col min="14895" max="14895" width="13.1796875" style="2" bestFit="1" customWidth="1"/>
    <col min="14896" max="15104" width="11.453125" style="2"/>
    <col min="15105" max="15105" width="27.453125" style="2" customWidth="1"/>
    <col min="15106" max="15106" width="1.453125" style="2" customWidth="1"/>
    <col min="15107" max="15107" width="17.81640625" style="2" bestFit="1" customWidth="1"/>
    <col min="15108" max="15108" width="15.54296875" style="2" bestFit="1" customWidth="1"/>
    <col min="15109" max="15109" width="16.1796875" style="2" customWidth="1"/>
    <col min="15110" max="15110" width="1.26953125" style="2" customWidth="1"/>
    <col min="15111" max="15111" width="17.81640625" style="2" bestFit="1" customWidth="1"/>
    <col min="15112" max="15112" width="15.54296875" style="2" bestFit="1" customWidth="1"/>
    <col min="15113" max="15113" width="16.1796875" style="2" customWidth="1"/>
    <col min="15114" max="15114" width="1.7265625" style="2" customWidth="1"/>
    <col min="15115" max="15116" width="15.453125" style="2" bestFit="1" customWidth="1"/>
    <col min="15117" max="15117" width="18.453125" style="2" customWidth="1"/>
    <col min="15118" max="15118" width="1.26953125" style="2" customWidth="1"/>
    <col min="15119" max="15120" width="15.453125" style="2" bestFit="1" customWidth="1"/>
    <col min="15121" max="15121" width="18.453125" style="2" customWidth="1"/>
    <col min="15122" max="15122" width="1.26953125" style="2" customWidth="1"/>
    <col min="15123" max="15124" width="15.453125" style="2" bestFit="1" customWidth="1"/>
    <col min="15125" max="15125" width="18.453125" style="2" customWidth="1"/>
    <col min="15126" max="15126" width="1.26953125" style="2" customWidth="1"/>
    <col min="15127" max="15128" width="15.453125" style="2" customWidth="1"/>
    <col min="15129" max="15129" width="18.453125" style="2" customWidth="1"/>
    <col min="15130" max="15130" width="1.26953125" style="2" customWidth="1"/>
    <col min="15131" max="15138" width="11.453125" style="2" customWidth="1"/>
    <col min="15139" max="15141" width="18.7265625" style="2" bestFit="1" customWidth="1"/>
    <col min="15142" max="15142" width="13.54296875" style="2" bestFit="1" customWidth="1"/>
    <col min="15143" max="15143" width="13.1796875" style="2" bestFit="1" customWidth="1"/>
    <col min="15144" max="15144" width="13.54296875" style="2" bestFit="1" customWidth="1"/>
    <col min="15145" max="15145" width="13.1796875" style="2" bestFit="1" customWidth="1"/>
    <col min="15146" max="15146" width="13.54296875" style="2" bestFit="1" customWidth="1"/>
    <col min="15147" max="15147" width="13.1796875" style="2" bestFit="1" customWidth="1"/>
    <col min="15148" max="15148" width="13.54296875" style="2" bestFit="1" customWidth="1"/>
    <col min="15149" max="15149" width="13.1796875" style="2" bestFit="1" customWidth="1"/>
    <col min="15150" max="15150" width="13.54296875" style="2" bestFit="1" customWidth="1"/>
    <col min="15151" max="15151" width="13.1796875" style="2" bestFit="1" customWidth="1"/>
    <col min="15152" max="15360" width="11.453125" style="2"/>
    <col min="15361" max="15361" width="27.453125" style="2" customWidth="1"/>
    <col min="15362" max="15362" width="1.453125" style="2" customWidth="1"/>
    <col min="15363" max="15363" width="17.81640625" style="2" bestFit="1" customWidth="1"/>
    <col min="15364" max="15364" width="15.54296875" style="2" bestFit="1" customWidth="1"/>
    <col min="15365" max="15365" width="16.1796875" style="2" customWidth="1"/>
    <col min="15366" max="15366" width="1.26953125" style="2" customWidth="1"/>
    <col min="15367" max="15367" width="17.81640625" style="2" bestFit="1" customWidth="1"/>
    <col min="15368" max="15368" width="15.54296875" style="2" bestFit="1" customWidth="1"/>
    <col min="15369" max="15369" width="16.1796875" style="2" customWidth="1"/>
    <col min="15370" max="15370" width="1.7265625" style="2" customWidth="1"/>
    <col min="15371" max="15372" width="15.453125" style="2" bestFit="1" customWidth="1"/>
    <col min="15373" max="15373" width="18.453125" style="2" customWidth="1"/>
    <col min="15374" max="15374" width="1.26953125" style="2" customWidth="1"/>
    <col min="15375" max="15376" width="15.453125" style="2" bestFit="1" customWidth="1"/>
    <col min="15377" max="15377" width="18.453125" style="2" customWidth="1"/>
    <col min="15378" max="15378" width="1.26953125" style="2" customWidth="1"/>
    <col min="15379" max="15380" width="15.453125" style="2" bestFit="1" customWidth="1"/>
    <col min="15381" max="15381" width="18.453125" style="2" customWidth="1"/>
    <col min="15382" max="15382" width="1.26953125" style="2" customWidth="1"/>
    <col min="15383" max="15384" width="15.453125" style="2" customWidth="1"/>
    <col min="15385" max="15385" width="18.453125" style="2" customWidth="1"/>
    <col min="15386" max="15386" width="1.26953125" style="2" customWidth="1"/>
    <col min="15387" max="15394" width="11.453125" style="2" customWidth="1"/>
    <col min="15395" max="15397" width="18.7265625" style="2" bestFit="1" customWidth="1"/>
    <col min="15398" max="15398" width="13.54296875" style="2" bestFit="1" customWidth="1"/>
    <col min="15399" max="15399" width="13.1796875" style="2" bestFit="1" customWidth="1"/>
    <col min="15400" max="15400" width="13.54296875" style="2" bestFit="1" customWidth="1"/>
    <col min="15401" max="15401" width="13.1796875" style="2" bestFit="1" customWidth="1"/>
    <col min="15402" max="15402" width="13.54296875" style="2" bestFit="1" customWidth="1"/>
    <col min="15403" max="15403" width="13.1796875" style="2" bestFit="1" customWidth="1"/>
    <col min="15404" max="15404" width="13.54296875" style="2" bestFit="1" customWidth="1"/>
    <col min="15405" max="15405" width="13.1796875" style="2" bestFit="1" customWidth="1"/>
    <col min="15406" max="15406" width="13.54296875" style="2" bestFit="1" customWidth="1"/>
    <col min="15407" max="15407" width="13.1796875" style="2" bestFit="1" customWidth="1"/>
    <col min="15408" max="15616" width="11.453125" style="2"/>
    <col min="15617" max="15617" width="27.453125" style="2" customWidth="1"/>
    <col min="15618" max="15618" width="1.453125" style="2" customWidth="1"/>
    <col min="15619" max="15619" width="17.81640625" style="2" bestFit="1" customWidth="1"/>
    <col min="15620" max="15620" width="15.54296875" style="2" bestFit="1" customWidth="1"/>
    <col min="15621" max="15621" width="16.1796875" style="2" customWidth="1"/>
    <col min="15622" max="15622" width="1.26953125" style="2" customWidth="1"/>
    <col min="15623" max="15623" width="17.81640625" style="2" bestFit="1" customWidth="1"/>
    <col min="15624" max="15624" width="15.54296875" style="2" bestFit="1" customWidth="1"/>
    <col min="15625" max="15625" width="16.1796875" style="2" customWidth="1"/>
    <col min="15626" max="15626" width="1.7265625" style="2" customWidth="1"/>
    <col min="15627" max="15628" width="15.453125" style="2" bestFit="1" customWidth="1"/>
    <col min="15629" max="15629" width="18.453125" style="2" customWidth="1"/>
    <col min="15630" max="15630" width="1.26953125" style="2" customWidth="1"/>
    <col min="15631" max="15632" width="15.453125" style="2" bestFit="1" customWidth="1"/>
    <col min="15633" max="15633" width="18.453125" style="2" customWidth="1"/>
    <col min="15634" max="15634" width="1.26953125" style="2" customWidth="1"/>
    <col min="15635" max="15636" width="15.453125" style="2" bestFit="1" customWidth="1"/>
    <col min="15637" max="15637" width="18.453125" style="2" customWidth="1"/>
    <col min="15638" max="15638" width="1.26953125" style="2" customWidth="1"/>
    <col min="15639" max="15640" width="15.453125" style="2" customWidth="1"/>
    <col min="15641" max="15641" width="18.453125" style="2" customWidth="1"/>
    <col min="15642" max="15642" width="1.26953125" style="2" customWidth="1"/>
    <col min="15643" max="15650" width="11.453125" style="2" customWidth="1"/>
    <col min="15651" max="15653" width="18.7265625" style="2" bestFit="1" customWidth="1"/>
    <col min="15654" max="15654" width="13.54296875" style="2" bestFit="1" customWidth="1"/>
    <col min="15655" max="15655" width="13.1796875" style="2" bestFit="1" customWidth="1"/>
    <col min="15656" max="15656" width="13.54296875" style="2" bestFit="1" customWidth="1"/>
    <col min="15657" max="15657" width="13.1796875" style="2" bestFit="1" customWidth="1"/>
    <col min="15658" max="15658" width="13.54296875" style="2" bestFit="1" customWidth="1"/>
    <col min="15659" max="15659" width="13.1796875" style="2" bestFit="1" customWidth="1"/>
    <col min="15660" max="15660" width="13.54296875" style="2" bestFit="1" customWidth="1"/>
    <col min="15661" max="15661" width="13.1796875" style="2" bestFit="1" customWidth="1"/>
    <col min="15662" max="15662" width="13.54296875" style="2" bestFit="1" customWidth="1"/>
    <col min="15663" max="15663" width="13.1796875" style="2" bestFit="1" customWidth="1"/>
    <col min="15664" max="15872" width="11.453125" style="2"/>
    <col min="15873" max="15873" width="27.453125" style="2" customWidth="1"/>
    <col min="15874" max="15874" width="1.453125" style="2" customWidth="1"/>
    <col min="15875" max="15875" width="17.81640625" style="2" bestFit="1" customWidth="1"/>
    <col min="15876" max="15876" width="15.54296875" style="2" bestFit="1" customWidth="1"/>
    <col min="15877" max="15877" width="16.1796875" style="2" customWidth="1"/>
    <col min="15878" max="15878" width="1.26953125" style="2" customWidth="1"/>
    <col min="15879" max="15879" width="17.81640625" style="2" bestFit="1" customWidth="1"/>
    <col min="15880" max="15880" width="15.54296875" style="2" bestFit="1" customWidth="1"/>
    <col min="15881" max="15881" width="16.1796875" style="2" customWidth="1"/>
    <col min="15882" max="15882" width="1.7265625" style="2" customWidth="1"/>
    <col min="15883" max="15884" width="15.453125" style="2" bestFit="1" customWidth="1"/>
    <col min="15885" max="15885" width="18.453125" style="2" customWidth="1"/>
    <col min="15886" max="15886" width="1.26953125" style="2" customWidth="1"/>
    <col min="15887" max="15888" width="15.453125" style="2" bestFit="1" customWidth="1"/>
    <col min="15889" max="15889" width="18.453125" style="2" customWidth="1"/>
    <col min="15890" max="15890" width="1.26953125" style="2" customWidth="1"/>
    <col min="15891" max="15892" width="15.453125" style="2" bestFit="1" customWidth="1"/>
    <col min="15893" max="15893" width="18.453125" style="2" customWidth="1"/>
    <col min="15894" max="15894" width="1.26953125" style="2" customWidth="1"/>
    <col min="15895" max="15896" width="15.453125" style="2" customWidth="1"/>
    <col min="15897" max="15897" width="18.453125" style="2" customWidth="1"/>
    <col min="15898" max="15898" width="1.26953125" style="2" customWidth="1"/>
    <col min="15899" max="15906" width="11.453125" style="2" customWidth="1"/>
    <col min="15907" max="15909" width="18.7265625" style="2" bestFit="1" customWidth="1"/>
    <col min="15910" max="15910" width="13.54296875" style="2" bestFit="1" customWidth="1"/>
    <col min="15911" max="15911" width="13.1796875" style="2" bestFit="1" customWidth="1"/>
    <col min="15912" max="15912" width="13.54296875" style="2" bestFit="1" customWidth="1"/>
    <col min="15913" max="15913" width="13.1796875" style="2" bestFit="1" customWidth="1"/>
    <col min="15914" max="15914" width="13.54296875" style="2" bestFit="1" customWidth="1"/>
    <col min="15915" max="15915" width="13.1796875" style="2" bestFit="1" customWidth="1"/>
    <col min="15916" max="15916" width="13.54296875" style="2" bestFit="1" customWidth="1"/>
    <col min="15917" max="15917" width="13.1796875" style="2" bestFit="1" customWidth="1"/>
    <col min="15918" max="15918" width="13.54296875" style="2" bestFit="1" customWidth="1"/>
    <col min="15919" max="15919" width="13.1796875" style="2" bestFit="1" customWidth="1"/>
    <col min="15920" max="16128" width="11.453125" style="2"/>
    <col min="16129" max="16129" width="27.453125" style="2" customWidth="1"/>
    <col min="16130" max="16130" width="1.453125" style="2" customWidth="1"/>
    <col min="16131" max="16131" width="17.81640625" style="2" bestFit="1" customWidth="1"/>
    <col min="16132" max="16132" width="15.54296875" style="2" bestFit="1" customWidth="1"/>
    <col min="16133" max="16133" width="16.1796875" style="2" customWidth="1"/>
    <col min="16134" max="16134" width="1.26953125" style="2" customWidth="1"/>
    <col min="16135" max="16135" width="17.81640625" style="2" bestFit="1" customWidth="1"/>
    <col min="16136" max="16136" width="15.54296875" style="2" bestFit="1" customWidth="1"/>
    <col min="16137" max="16137" width="16.1796875" style="2" customWidth="1"/>
    <col min="16138" max="16138" width="1.7265625" style="2" customWidth="1"/>
    <col min="16139" max="16140" width="15.453125" style="2" bestFit="1" customWidth="1"/>
    <col min="16141" max="16141" width="18.453125" style="2" customWidth="1"/>
    <col min="16142" max="16142" width="1.26953125" style="2" customWidth="1"/>
    <col min="16143" max="16144" width="15.453125" style="2" bestFit="1" customWidth="1"/>
    <col min="16145" max="16145" width="18.453125" style="2" customWidth="1"/>
    <col min="16146" max="16146" width="1.26953125" style="2" customWidth="1"/>
    <col min="16147" max="16148" width="15.453125" style="2" bestFit="1" customWidth="1"/>
    <col min="16149" max="16149" width="18.453125" style="2" customWidth="1"/>
    <col min="16150" max="16150" width="1.26953125" style="2" customWidth="1"/>
    <col min="16151" max="16152" width="15.453125" style="2" customWidth="1"/>
    <col min="16153" max="16153" width="18.453125" style="2" customWidth="1"/>
    <col min="16154" max="16154" width="1.26953125" style="2" customWidth="1"/>
    <col min="16155" max="16162" width="11.453125" style="2" customWidth="1"/>
    <col min="16163" max="16165" width="18.7265625" style="2" bestFit="1" customWidth="1"/>
    <col min="16166" max="16166" width="13.54296875" style="2" bestFit="1" customWidth="1"/>
    <col min="16167" max="16167" width="13.1796875" style="2" bestFit="1" customWidth="1"/>
    <col min="16168" max="16168" width="13.54296875" style="2" bestFit="1" customWidth="1"/>
    <col min="16169" max="16169" width="13.1796875" style="2" bestFit="1" customWidth="1"/>
    <col min="16170" max="16170" width="13.54296875" style="2" bestFit="1" customWidth="1"/>
    <col min="16171" max="16171" width="13.1796875" style="2" bestFit="1" customWidth="1"/>
    <col min="16172" max="16172" width="13.54296875" style="2" bestFit="1" customWidth="1"/>
    <col min="16173" max="16173" width="13.1796875" style="2" bestFit="1" customWidth="1"/>
    <col min="16174" max="16174" width="13.54296875" style="2" bestFit="1" customWidth="1"/>
    <col min="16175" max="16175" width="13.1796875" style="2" bestFit="1" customWidth="1"/>
    <col min="16176" max="16384" width="11.453125" style="2"/>
  </cols>
  <sheetData>
    <row r="2" spans="1:47" ht="45.5" x14ac:dyDescent="0.25">
      <c r="A2" s="1">
        <f>'Syn prin concurents par catégor'!A2</f>
        <v>46082</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9" spans="1:47" ht="27.5" x14ac:dyDescent="0.25">
      <c r="A9" s="762" t="s">
        <v>0</v>
      </c>
      <c r="B9" s="762"/>
      <c r="C9" s="762"/>
      <c r="D9" s="762"/>
      <c r="E9" s="762"/>
      <c r="F9" s="762"/>
      <c r="G9" s="762"/>
      <c r="H9" s="762"/>
      <c r="I9" s="762"/>
      <c r="J9" s="762"/>
      <c r="K9" s="762"/>
      <c r="L9" s="762"/>
      <c r="M9" s="762"/>
      <c r="N9" s="762"/>
      <c r="O9" s="762"/>
      <c r="P9" s="762"/>
      <c r="Q9" s="762"/>
      <c r="R9" s="762"/>
      <c r="S9" s="762"/>
      <c r="T9" s="762"/>
      <c r="U9" s="762"/>
      <c r="V9" s="762"/>
      <c r="W9" s="762"/>
      <c r="X9" s="762"/>
      <c r="Y9" s="762"/>
      <c r="Z9" s="762"/>
      <c r="AA9" s="762"/>
      <c r="AB9" s="762"/>
      <c r="AC9" s="762"/>
      <c r="AD9" s="762"/>
      <c r="AE9" s="762"/>
      <c r="AF9" s="762"/>
      <c r="AG9" s="762"/>
      <c r="AH9" s="762"/>
      <c r="AI9" s="762"/>
      <c r="AJ9" s="762"/>
      <c r="AK9" s="762"/>
    </row>
    <row r="11" spans="1:47" ht="25" x14ac:dyDescent="0.5">
      <c r="C11" s="761" t="s">
        <v>92</v>
      </c>
      <c r="D11" s="761"/>
      <c r="E11" s="761"/>
      <c r="F11" s="3"/>
      <c r="G11" s="761" t="s">
        <v>93</v>
      </c>
      <c r="H11" s="761"/>
      <c r="I11" s="761"/>
      <c r="J11" s="3"/>
      <c r="K11" s="761" t="s">
        <v>94</v>
      </c>
      <c r="L11" s="761"/>
      <c r="M11" s="761"/>
      <c r="N11" s="3"/>
      <c r="O11" s="761" t="s">
        <v>95</v>
      </c>
      <c r="P11" s="761"/>
      <c r="Q11" s="761"/>
      <c r="R11" s="3"/>
      <c r="S11" s="761" t="s">
        <v>96</v>
      </c>
      <c r="T11" s="761"/>
      <c r="U11" s="761"/>
      <c r="V11" s="3"/>
      <c r="W11" s="761" t="s">
        <v>97</v>
      </c>
      <c r="X11" s="761"/>
      <c r="Y11" s="761"/>
      <c r="Z11" s="3"/>
      <c r="AA11" s="761" t="s">
        <v>98</v>
      </c>
      <c r="AB11" s="761"/>
      <c r="AC11" s="761"/>
      <c r="AD11" s="3"/>
      <c r="AE11" s="761" t="s">
        <v>99</v>
      </c>
      <c r="AF11" s="761"/>
      <c r="AG11" s="761"/>
      <c r="AH11" s="3"/>
      <c r="AI11" s="761" t="s">
        <v>100</v>
      </c>
      <c r="AJ11" s="761"/>
      <c r="AK11" s="761"/>
    </row>
    <row r="12" spans="1:47" ht="6.75" customHeight="1" x14ac:dyDescent="0.4">
      <c r="C12" s="562"/>
      <c r="D12" s="562"/>
      <c r="E12" s="562"/>
      <c r="G12" s="562"/>
      <c r="H12" s="562"/>
      <c r="I12" s="562"/>
      <c r="K12" s="562"/>
      <c r="L12" s="562"/>
      <c r="M12" s="562"/>
      <c r="O12" s="562"/>
      <c r="P12" s="562"/>
      <c r="Q12" s="562"/>
      <c r="S12" s="562"/>
      <c r="T12" s="562"/>
      <c r="U12" s="562"/>
      <c r="W12" s="562"/>
      <c r="X12" s="562"/>
      <c r="Y12" s="562"/>
      <c r="AA12" s="562"/>
      <c r="AB12" s="562"/>
      <c r="AC12" s="562"/>
      <c r="AE12" s="562"/>
      <c r="AF12" s="562"/>
      <c r="AG12" s="562"/>
      <c r="AI12" s="562"/>
      <c r="AJ12" s="562"/>
      <c r="AK12" s="562"/>
    </row>
    <row r="13" spans="1:47" ht="24.75" customHeight="1" x14ac:dyDescent="0.5">
      <c r="A13" s="4"/>
      <c r="B13" s="5"/>
      <c r="C13" s="559">
        <f>'Syn prin concurents par catégor'!C13</f>
        <v>46082</v>
      </c>
      <c r="D13" s="558">
        <f>C13-360</f>
        <v>45722</v>
      </c>
      <c r="E13" s="560" t="s">
        <v>62</v>
      </c>
      <c r="F13" s="3"/>
      <c r="G13" s="559">
        <f>C13</f>
        <v>46082</v>
      </c>
      <c r="H13" s="558">
        <f>G13-360</f>
        <v>45722</v>
      </c>
      <c r="I13" s="560" t="s">
        <v>62</v>
      </c>
      <c r="J13" s="3"/>
      <c r="K13" s="559">
        <f>G13</f>
        <v>46082</v>
      </c>
      <c r="L13" s="558">
        <f>H13</f>
        <v>45722</v>
      </c>
      <c r="M13" s="560" t="s">
        <v>62</v>
      </c>
      <c r="N13" s="3"/>
      <c r="O13" s="559">
        <f>K13</f>
        <v>46082</v>
      </c>
      <c r="P13" s="558">
        <f>L13</f>
        <v>45722</v>
      </c>
      <c r="Q13" s="560" t="s">
        <v>62</v>
      </c>
      <c r="R13" s="3"/>
      <c r="S13" s="559">
        <f>O13</f>
        <v>46082</v>
      </c>
      <c r="T13" s="558">
        <f>P13</f>
        <v>45722</v>
      </c>
      <c r="U13" s="560" t="s">
        <v>62</v>
      </c>
      <c r="V13" s="3"/>
      <c r="W13" s="559">
        <f>S13</f>
        <v>46082</v>
      </c>
      <c r="X13" s="558">
        <f>T13</f>
        <v>45722</v>
      </c>
      <c r="Y13" s="560" t="s">
        <v>62</v>
      </c>
      <c r="Z13" s="3"/>
      <c r="AA13" s="559">
        <f>K13</f>
        <v>46082</v>
      </c>
      <c r="AB13" s="558">
        <f>L13</f>
        <v>45722</v>
      </c>
      <c r="AC13" s="560" t="s">
        <v>62</v>
      </c>
      <c r="AD13" s="3"/>
      <c r="AE13" s="559">
        <f>AA13</f>
        <v>46082</v>
      </c>
      <c r="AF13" s="558">
        <f>AB13</f>
        <v>45722</v>
      </c>
      <c r="AG13" s="560" t="s">
        <v>62</v>
      </c>
      <c r="AH13" s="3"/>
      <c r="AI13" s="559">
        <f>AE13</f>
        <v>46082</v>
      </c>
      <c r="AJ13" s="558">
        <f>AF13</f>
        <v>45722</v>
      </c>
      <c r="AK13" s="560" t="s">
        <v>62</v>
      </c>
      <c r="AL13" s="36" t="s">
        <v>1</v>
      </c>
      <c r="AM13" s="36"/>
      <c r="AN13" s="36" t="s">
        <v>13</v>
      </c>
      <c r="AO13" s="36"/>
      <c r="AP13" s="36" t="s">
        <v>65</v>
      </c>
      <c r="AQ13" s="36"/>
      <c r="AR13" s="36" t="s">
        <v>78</v>
      </c>
      <c r="AS13" s="36"/>
      <c r="AT13" s="36" t="s">
        <v>79</v>
      </c>
      <c r="AU13" s="36"/>
    </row>
    <row r="14" spans="1:47" ht="6.75" customHeight="1" x14ac:dyDescent="0.4">
      <c r="C14" s="562"/>
      <c r="D14" s="562"/>
      <c r="E14" s="562"/>
      <c r="G14" s="562"/>
      <c r="H14" s="562"/>
      <c r="I14" s="562"/>
      <c r="K14" s="562"/>
      <c r="L14" s="562"/>
      <c r="M14" s="562"/>
      <c r="O14" s="562"/>
      <c r="P14" s="562"/>
      <c r="Q14" s="562"/>
      <c r="S14" s="562"/>
      <c r="T14" s="562"/>
      <c r="U14" s="562"/>
      <c r="W14" s="562"/>
      <c r="X14" s="562"/>
      <c r="Y14" s="562"/>
      <c r="AA14" s="562"/>
      <c r="AB14" s="562"/>
      <c r="AC14" s="562"/>
      <c r="AE14" s="562"/>
      <c r="AF14" s="562"/>
      <c r="AG14" s="562"/>
      <c r="AI14" s="562"/>
      <c r="AJ14" s="562"/>
      <c r="AK14" s="562"/>
    </row>
    <row r="15" spans="1:47" ht="6" customHeight="1" x14ac:dyDescent="0.25">
      <c r="A15" s="563"/>
      <c r="B15" s="563"/>
      <c r="C15" s="563"/>
      <c r="D15" s="563"/>
      <c r="E15" s="563"/>
      <c r="G15" s="563"/>
      <c r="H15" s="563"/>
      <c r="I15" s="563"/>
      <c r="K15" s="563"/>
      <c r="L15" s="563"/>
      <c r="M15" s="563"/>
      <c r="O15" s="563"/>
      <c r="P15" s="563"/>
      <c r="Q15" s="563"/>
      <c r="S15" s="563"/>
      <c r="T15" s="563"/>
      <c r="U15" s="563"/>
      <c r="W15" s="563"/>
      <c r="X15" s="563"/>
      <c r="Y15" s="563"/>
      <c r="AA15" s="563"/>
      <c r="AB15" s="563"/>
      <c r="AC15" s="563"/>
      <c r="AE15" s="563"/>
      <c r="AF15" s="563"/>
      <c r="AG15" s="563"/>
      <c r="AI15" s="563"/>
      <c r="AJ15" s="563"/>
      <c r="AK15" s="563"/>
    </row>
    <row r="16" spans="1:47" ht="23.5" x14ac:dyDescent="0.55000000000000004">
      <c r="A16" s="6" t="s">
        <v>10</v>
      </c>
      <c r="B16" s="7"/>
      <c r="C16" s="340">
        <f>WAFASALAF!$D$12</f>
        <v>2679</v>
      </c>
      <c r="D16" s="340">
        <f>WAFASALAF!$E$12</f>
        <v>2639</v>
      </c>
      <c r="E16" s="9">
        <f>IF(D16=0,0,C16/D16-1)</f>
        <v>1.5157256536566965E-2</v>
      </c>
      <c r="F16" s="10"/>
      <c r="G16" s="340">
        <f>WAFASALAF!$D$13</f>
        <v>5200</v>
      </c>
      <c r="H16" s="340">
        <f>WAFASALAF!$E$13</f>
        <v>4852</v>
      </c>
      <c r="I16" s="9">
        <f>IF(H16=0,0,G16/H16-1)</f>
        <v>7.1723000824402305E-2</v>
      </c>
      <c r="J16" s="10"/>
      <c r="K16" s="340">
        <f>WAFASALAF!$D$24</f>
        <v>4777</v>
      </c>
      <c r="L16" s="340">
        <f>WAFASALAF!$E$24</f>
        <v>6532</v>
      </c>
      <c r="M16" s="9">
        <f>IF(L16=0,0,K16/L16-1)</f>
        <v>-0.268677281077771</v>
      </c>
      <c r="N16" s="10"/>
      <c r="O16" s="340">
        <f>WAFASALAF!$D$25</f>
        <v>2146</v>
      </c>
      <c r="P16" s="340">
        <f>WAFASALAF!$E$25</f>
        <v>2467</v>
      </c>
      <c r="Q16" s="9">
        <f>IF(P16=0,0,O16/P16-1)</f>
        <v>-0.13011755168220507</v>
      </c>
      <c r="R16" s="10"/>
      <c r="S16" s="340">
        <f>WAFASALAF!$D$26</f>
        <v>730</v>
      </c>
      <c r="T16" s="340">
        <f>WAFASALAF!$E$26</f>
        <v>1002</v>
      </c>
      <c r="U16" s="9">
        <f>IF(T16=0,0,S16/T16-1)</f>
        <v>-0.27145708582834327</v>
      </c>
      <c r="V16" s="10"/>
      <c r="W16" s="340">
        <f>WAFASALAF!$D$27</f>
        <v>4405</v>
      </c>
      <c r="X16" s="340">
        <f>WAFASALAF!$E$27</f>
        <v>4201</v>
      </c>
      <c r="Y16" s="9">
        <f>IF(X16=0,0,W16/X16-1)</f>
        <v>4.8559866698405063E-2</v>
      </c>
      <c r="Z16" s="10"/>
      <c r="AA16" s="340">
        <f>WAFASALAF!$D$18</f>
        <v>27117</v>
      </c>
      <c r="AB16" s="340">
        <f>WAFASALAF!$E$18</f>
        <v>18156</v>
      </c>
      <c r="AC16" s="9">
        <f>IF(AB16=0,0,AA16/AB16-1)</f>
        <v>0.49355584930601459</v>
      </c>
      <c r="AD16" s="10"/>
      <c r="AE16" s="340">
        <f>WAFASALAF!$D$28</f>
        <v>88</v>
      </c>
      <c r="AF16" s="340">
        <f>WAFASALAF!$E$28</f>
        <v>44</v>
      </c>
      <c r="AG16" s="9">
        <f>IF(AF16=0,0,AE16/AF16-1)</f>
        <v>1</v>
      </c>
      <c r="AH16" s="10"/>
      <c r="AI16" s="340">
        <f>AE16+AA16+K16+G16+C16+O16+S16+W16</f>
        <v>47142</v>
      </c>
      <c r="AJ16" s="340">
        <f>AF16+AB16+L16+H16+D16+P16+T16+X16</f>
        <v>39893</v>
      </c>
      <c r="AK16" s="9">
        <f>IF(AJ16=0,0,AI16/AJ16-1)</f>
        <v>0.18171107713132639</v>
      </c>
      <c r="AL16" s="35">
        <f>C16+G16-'Syn prin concurents Nbre'!E17</f>
        <v>0</v>
      </c>
      <c r="AM16" s="35">
        <f>D16+H16-'Syn prin concurents Nbre'!F17</f>
        <v>0</v>
      </c>
      <c r="AN16" s="35">
        <f>K16+O16+S16+W16-'Syn prin concurents Nbre'!I17</f>
        <v>0</v>
      </c>
      <c r="AO16" s="35">
        <f>L16+P16+T16+X16-'Syn prin concurents Nbre'!J17</f>
        <v>0</v>
      </c>
      <c r="AP16" s="35">
        <f>AA16-'Syn prin concurents Nbre'!M17</f>
        <v>0</v>
      </c>
      <c r="AQ16" s="35">
        <f>AB16-'Syn prin concurents Nbre'!N17</f>
        <v>0</v>
      </c>
      <c r="AR16" s="35">
        <f>AE16-'Syn prin concurents Nbre'!Q17</f>
        <v>0</v>
      </c>
      <c r="AS16" s="35">
        <f>AF16-'Syn prin concurents Nbre'!R17</f>
        <v>0</v>
      </c>
      <c r="AT16" s="35">
        <f>AI16-'Syn prin concurents Nbre'!U17</f>
        <v>0</v>
      </c>
      <c r="AU16" s="35">
        <f>AJ16-'Syn prin concurents Nbre'!V17</f>
        <v>0</v>
      </c>
    </row>
    <row r="17" spans="1:50" ht="18.5" x14ac:dyDescent="0.45">
      <c r="A17" s="11" t="s">
        <v>67</v>
      </c>
      <c r="B17" s="12"/>
      <c r="C17" s="13">
        <f>C16/C$30</f>
        <v>0.15026923939869868</v>
      </c>
      <c r="D17" s="13">
        <f>D16/D$30</f>
        <v>0.17115247422011803</v>
      </c>
      <c r="E17" s="14">
        <f>(C17-D17)*100</f>
        <v>-2.0883234821419352</v>
      </c>
      <c r="F17" s="15"/>
      <c r="G17" s="13">
        <f>G16/G$30</f>
        <v>0.28419959556211399</v>
      </c>
      <c r="H17" s="13">
        <f>H16/H$30</f>
        <v>0.28749185281744388</v>
      </c>
      <c r="I17" s="14">
        <f>(G17-H17)*100</f>
        <v>-0.3292257255329889</v>
      </c>
      <c r="J17" s="15"/>
      <c r="K17" s="13">
        <f>K16/K$30</f>
        <v>0.30274415362190255</v>
      </c>
      <c r="L17" s="13">
        <f>L16/L$30</f>
        <v>0.26307204678268364</v>
      </c>
      <c r="M17" s="14">
        <f>(K17-L17)*100</f>
        <v>3.9672106839218904</v>
      </c>
      <c r="N17" s="15"/>
      <c r="O17" s="13">
        <f>O16/O$30</f>
        <v>0.29522630348053375</v>
      </c>
      <c r="P17" s="13">
        <f>P16/P$30</f>
        <v>0.33180901143241426</v>
      </c>
      <c r="Q17" s="14">
        <f>(O17-P17)*100</f>
        <v>-3.6582707951880513</v>
      </c>
      <c r="R17" s="15"/>
      <c r="S17" s="13">
        <f>S16/S$30</f>
        <v>0.50800278357689632</v>
      </c>
      <c r="T17" s="13">
        <f>T16/T$30</f>
        <v>0.4467271219538293</v>
      </c>
      <c r="U17" s="14">
        <f>(S17-T17)*100</f>
        <v>6.1275661623067021</v>
      </c>
      <c r="V17" s="15"/>
      <c r="W17" s="13">
        <f>W16/W$30</f>
        <v>0.54993757802746568</v>
      </c>
      <c r="X17" s="13">
        <f>X16/X$30</f>
        <v>0.56844629190616913</v>
      </c>
      <c r="Y17" s="14">
        <f>(W17-X17)*100</f>
        <v>-1.8508713878703453</v>
      </c>
      <c r="Z17" s="15"/>
      <c r="AA17" s="13">
        <f>AA16/AA$30</f>
        <v>0.99522883253202188</v>
      </c>
      <c r="AB17" s="13">
        <f>AB16/AB$30</f>
        <v>0.98732938169557893</v>
      </c>
      <c r="AC17" s="14">
        <f>(AA17-AB17)*100</f>
        <v>0.7899450836442945</v>
      </c>
      <c r="AD17" s="15"/>
      <c r="AE17" s="13">
        <f>AE16/AE$30</f>
        <v>0.91666666666666663</v>
      </c>
      <c r="AF17" s="13">
        <f>AF16/AF$30</f>
        <v>0.37606837606837606</v>
      </c>
      <c r="AG17" s="14">
        <f>(AE17-AF17)*100</f>
        <v>54.059829059829056</v>
      </c>
      <c r="AH17" s="15"/>
      <c r="AI17" s="13">
        <f>AI16/AI$30</f>
        <v>0.49125183664537375</v>
      </c>
      <c r="AJ17" s="13">
        <f>AJ16/AJ$30</f>
        <v>0.43034519956850054</v>
      </c>
      <c r="AK17" s="14">
        <f>(AI17-AJ17)*100</f>
        <v>6.0906637076873213</v>
      </c>
      <c r="AL17" s="35">
        <f>C17+G17-'Syn prin concurents Nbre'!E18</f>
        <v>0.21636502873243899</v>
      </c>
      <c r="AM17" s="35">
        <f>D17+H17-'Syn prin concurents Nbre'!F18</f>
        <v>0.22669609815472813</v>
      </c>
      <c r="AN17" s="35">
        <f>K17+O17+S17+W17-'Syn prin concurents Nbre'!I18</f>
        <v>1.2848383460186925</v>
      </c>
      <c r="AO17" s="35">
        <f>L17+P17+T17+X17-'Syn prin concurents Nbre'!J18</f>
        <v>1.2710884116426173</v>
      </c>
      <c r="AP17" s="35">
        <f>AA17-'Syn prin concurents Nbre'!M18</f>
        <v>0</v>
      </c>
      <c r="AQ17" s="35">
        <f>AB17-'Syn prin concurents Nbre'!N18</f>
        <v>0</v>
      </c>
      <c r="AR17" s="35">
        <f>AE17-'Syn prin concurents Nbre'!Q18</f>
        <v>0</v>
      </c>
      <c r="AS17" s="35">
        <f>AF17-'Syn prin concurents Nbre'!R18</f>
        <v>0</v>
      </c>
      <c r="AT17" s="35">
        <f>AI17-'Syn prin concurents Nbre'!U18</f>
        <v>0</v>
      </c>
      <c r="AU17" s="35">
        <f>AJ17-'Syn prin concurents Nbre'!V18</f>
        <v>0</v>
      </c>
    </row>
    <row r="18" spans="1:50" ht="23.5" x14ac:dyDescent="0.55000000000000004">
      <c r="A18" s="16" t="s">
        <v>2</v>
      </c>
      <c r="B18" s="37"/>
      <c r="C18" s="341">
        <f>SOFAC!$D$12+1</f>
        <v>5491</v>
      </c>
      <c r="D18" s="341">
        <f>SOFAC!$E$12+3</f>
        <v>5094</v>
      </c>
      <c r="E18" s="18">
        <f>IF(D18=0,0,C18/D18-1)</f>
        <v>7.7934825284648568E-2</v>
      </c>
      <c r="F18" s="10"/>
      <c r="G18" s="341">
        <f>SOFAC!$D$13+1</f>
        <v>7192</v>
      </c>
      <c r="H18" s="341">
        <f>SOFAC!$E$13</f>
        <v>5509</v>
      </c>
      <c r="I18" s="18">
        <f>IF(H18=0,0,G18/H18-1)</f>
        <v>0.30550009076057361</v>
      </c>
      <c r="J18" s="10"/>
      <c r="K18" s="341">
        <f>SOFAC!$D$24</f>
        <v>1728</v>
      </c>
      <c r="L18" s="341">
        <f>SOFAC!$E$24</f>
        <v>2536.6999999999998</v>
      </c>
      <c r="M18" s="18">
        <f>IF(L18=0,0,K18/L18-1)</f>
        <v>-0.31880001576851813</v>
      </c>
      <c r="N18" s="10"/>
      <c r="O18" s="341">
        <f>SOFAC!$D$25</f>
        <v>1889</v>
      </c>
      <c r="P18" s="341">
        <f>SOFAC!$E$25</f>
        <v>1544</v>
      </c>
      <c r="Q18" s="18">
        <f>IF(P18=0,0,O18/P18-1)</f>
        <v>0.22344559585492219</v>
      </c>
      <c r="R18" s="10"/>
      <c r="S18" s="341">
        <f>SOFAC!$D$26</f>
        <v>16</v>
      </c>
      <c r="T18" s="341">
        <f>SOFAC!$E$26</f>
        <v>262.98</v>
      </c>
      <c r="U18" s="18">
        <f>IF(T18=0,0,S18/T18-1)</f>
        <v>-0.93915887139706444</v>
      </c>
      <c r="V18" s="10"/>
      <c r="W18" s="341">
        <f>SOFAC!$D$27</f>
        <v>990</v>
      </c>
      <c r="X18" s="341">
        <f>SOFAC!$E$27</f>
        <v>1017.32</v>
      </c>
      <c r="Y18" s="18">
        <f>IF(X18=0,0,W18/X18-1)</f>
        <v>-2.6854873589431061E-2</v>
      </c>
      <c r="Z18" s="10"/>
      <c r="AA18" s="341">
        <f>SOFAC!$D$18</f>
        <v>118</v>
      </c>
      <c r="AB18" s="341">
        <f>SOFAC!$E$18</f>
        <v>152</v>
      </c>
      <c r="AC18" s="18">
        <f>IF(AB18=0,0,AA18/AB18-1)</f>
        <v>-0.22368421052631582</v>
      </c>
      <c r="AD18" s="10"/>
      <c r="AE18" s="341">
        <f>SOFAC!$D$28</f>
        <v>0</v>
      </c>
      <c r="AF18" s="341">
        <f>SOFAC!$E$28</f>
        <v>0</v>
      </c>
      <c r="AG18" s="18">
        <f>IF(AF18=0,0,AE18/AF18-1)</f>
        <v>0</v>
      </c>
      <c r="AH18" s="10"/>
      <c r="AI18" s="341">
        <f>AE18+AA18+K18+G18+C18+O18+S18+W18</f>
        <v>17424</v>
      </c>
      <c r="AJ18" s="341">
        <f>AF18+AB18+L18+H18+D18+P18+T18+X18</f>
        <v>16116</v>
      </c>
      <c r="AK18" s="18">
        <f>IF(AJ18=0,0,AI18/AJ18-1)</f>
        <v>8.1161578555472902E-2</v>
      </c>
      <c r="AL18" s="35">
        <f>C18+G18-'Syn prin concurents Nbre'!E19</f>
        <v>0</v>
      </c>
      <c r="AM18" s="35">
        <f>D18+H18-'Syn prin concurents Nbre'!F19</f>
        <v>0</v>
      </c>
      <c r="AN18" s="35">
        <f>K18+O18+S18+W18-'Syn prin concurents Nbre'!I19</f>
        <v>0</v>
      </c>
      <c r="AO18" s="35">
        <f>L18+P18+T18+X18-'Syn prin concurents Nbre'!J19</f>
        <v>0</v>
      </c>
      <c r="AP18" s="35">
        <f>AA18-'Syn prin concurents Nbre'!M19</f>
        <v>0</v>
      </c>
      <c r="AQ18" s="35">
        <f>AB18-'Syn prin concurents Nbre'!N19</f>
        <v>0</v>
      </c>
      <c r="AR18" s="35">
        <f>AE18-'Syn prin concurents Nbre'!Q19</f>
        <v>0</v>
      </c>
      <c r="AS18" s="35">
        <f>AF18-'Syn prin concurents Nbre'!R19</f>
        <v>0</v>
      </c>
      <c r="AT18" s="35">
        <f>AI18-'Syn prin concurents Nbre'!U19</f>
        <v>0</v>
      </c>
      <c r="AU18" s="35">
        <f>AJ18-'Syn prin concurents Nbre'!V19</f>
        <v>0</v>
      </c>
    </row>
    <row r="19" spans="1:50" ht="18.5" x14ac:dyDescent="0.45">
      <c r="A19" s="19" t="s">
        <v>67</v>
      </c>
      <c r="B19" s="20"/>
      <c r="C19" s="21">
        <f>C18/C$30</f>
        <v>0.30799865380300651</v>
      </c>
      <c r="D19" s="21">
        <f>D18/D$30</f>
        <v>0.33037161943057269</v>
      </c>
      <c r="E19" s="22">
        <f>(C19-D19)*100</f>
        <v>-2.2372965627566188</v>
      </c>
      <c r="F19" s="15"/>
      <c r="G19" s="21">
        <f>G18/G$30</f>
        <v>0.39306990216975463</v>
      </c>
      <c r="H19" s="21">
        <f>H18/H$30</f>
        <v>0.32642057237660721</v>
      </c>
      <c r="I19" s="22">
        <f>(G19-H19)*100</f>
        <v>6.6649329793147416</v>
      </c>
      <c r="J19" s="15"/>
      <c r="K19" s="21">
        <f>K18/K$30</f>
        <v>0.10951264338677989</v>
      </c>
      <c r="L19" s="21">
        <f>L18/L$30</f>
        <v>0.10216394076448768</v>
      </c>
      <c r="M19" s="22">
        <f>(K19-L19)*100</f>
        <v>0.73487026222922158</v>
      </c>
      <c r="N19" s="15"/>
      <c r="O19" s="21">
        <f>O18/O$30</f>
        <v>0.25987068372540928</v>
      </c>
      <c r="P19" s="21">
        <f>P18/P$30</f>
        <v>0.20766644250168123</v>
      </c>
      <c r="Q19" s="22">
        <f>(O19-P19)*100</f>
        <v>5.2204241223728047</v>
      </c>
      <c r="R19" s="15"/>
      <c r="S19" s="21">
        <f>S18/S$30</f>
        <v>1.1134307585247043E-2</v>
      </c>
      <c r="T19" s="21">
        <f>T18/T$30</f>
        <v>0.11724580691758286</v>
      </c>
      <c r="U19" s="22">
        <f>(S19-T19)*100</f>
        <v>-10.611149933233582</v>
      </c>
      <c r="V19" s="15"/>
      <c r="W19" s="21">
        <f>W18/W$30</f>
        <v>0.12359550561797752</v>
      </c>
      <c r="X19" s="21">
        <f>X18/X$30</f>
        <v>0.13765574427088409</v>
      </c>
      <c r="Y19" s="22">
        <f>(W19-X19)*100</f>
        <v>-1.4060238652906565</v>
      </c>
      <c r="Z19" s="15"/>
      <c r="AA19" s="21">
        <f>AA18/AA$30</f>
        <v>4.3307520093955297E-3</v>
      </c>
      <c r="AB19" s="21">
        <f>AB18/AB$30</f>
        <v>8.265811082712491E-3</v>
      </c>
      <c r="AC19" s="22">
        <f>(AA19-AB19)*100</f>
        <v>-0.3935059073316961</v>
      </c>
      <c r="AD19" s="15"/>
      <c r="AE19" s="21">
        <f>AE18/AE$30</f>
        <v>0</v>
      </c>
      <c r="AF19" s="21">
        <f>AF18/AF$30</f>
        <v>0</v>
      </c>
      <c r="AG19" s="22">
        <f>(AE19-AF19)*100</f>
        <v>0</v>
      </c>
      <c r="AH19" s="15"/>
      <c r="AI19" s="21">
        <f>AI18/AI$30</f>
        <v>0.18156998009649553</v>
      </c>
      <c r="AJ19" s="21">
        <f>AJ18/AJ$30</f>
        <v>0.17385113268608415</v>
      </c>
      <c r="AK19" s="22">
        <f>(AI19-AJ19)*100</f>
        <v>0.77188474104113725</v>
      </c>
      <c r="AL19" s="35">
        <f>C19+G19-'Syn prin concurents Nbre'!E20</f>
        <v>0.34998205078244976</v>
      </c>
      <c r="AM19" s="35">
        <f>D19+H19-'Syn prin concurents Nbre'!F20</f>
        <v>0.32848528073460131</v>
      </c>
      <c r="AN19" s="35">
        <f>K19+O19+S19+W19-'Syn prin concurents Nbre'!I20</f>
        <v>0.36184509907830037</v>
      </c>
      <c r="AO19" s="35">
        <f>L19+P19+T19+X19-'Syn prin concurents Nbre'!J20</f>
        <v>0.43677833285074069</v>
      </c>
      <c r="AP19" s="35">
        <f>AA19-'Syn prin concurents Nbre'!M20</f>
        <v>0</v>
      </c>
      <c r="AQ19" s="35">
        <f>AB19-'Syn prin concurents Nbre'!N20</f>
        <v>0</v>
      </c>
      <c r="AR19" s="35">
        <f>AE19-'Syn prin concurents Nbre'!Q20</f>
        <v>0</v>
      </c>
      <c r="AS19" s="35">
        <f>AF19-'Syn prin concurents Nbre'!R20</f>
        <v>0</v>
      </c>
      <c r="AT19" s="35">
        <f>AI19-'Syn prin concurents Nbre'!U20</f>
        <v>0</v>
      </c>
      <c r="AU19" s="35">
        <f>AJ19-'Syn prin concurents Nbre'!V20</f>
        <v>0</v>
      </c>
    </row>
    <row r="20" spans="1:50" ht="23.5" x14ac:dyDescent="0.55000000000000004">
      <c r="A20" s="6" t="s">
        <v>5</v>
      </c>
      <c r="B20" s="296"/>
      <c r="C20" s="342">
        <f>VIVALIS!$D$12</f>
        <v>1901</v>
      </c>
      <c r="D20" s="342">
        <f>VIVALIS!$E$12</f>
        <v>2638</v>
      </c>
      <c r="E20" s="298">
        <f>IF(D20=0,0,C20/D20-1)</f>
        <v>-0.27937831690674753</v>
      </c>
      <c r="F20" s="10"/>
      <c r="G20" s="342">
        <f>VIVALIS!$D$13</f>
        <v>2548</v>
      </c>
      <c r="H20" s="342">
        <f>VIVALIS!$E$13</f>
        <v>2388</v>
      </c>
      <c r="I20" s="298">
        <f>IF(H20=0,0,G20/H20-1)</f>
        <v>6.7001675041876041E-2</v>
      </c>
      <c r="J20" s="10"/>
      <c r="K20" s="342">
        <f>VIVALIS!$D$24</f>
        <v>4269</v>
      </c>
      <c r="L20" s="342">
        <f>VIVALIS!$E$24</f>
        <v>6551</v>
      </c>
      <c r="M20" s="298">
        <f>IF(L20=0,0,K20/L20-1)</f>
        <v>-0.34834376431079228</v>
      </c>
      <c r="N20" s="10"/>
      <c r="O20" s="342">
        <f>VIVALIS!$D$25</f>
        <v>805</v>
      </c>
      <c r="P20" s="342">
        <f>VIVALIS!$E$25</f>
        <v>1167</v>
      </c>
      <c r="Q20" s="298">
        <f>IF(P20=0,0,O20/P20-1)</f>
        <v>-0.31019708654670097</v>
      </c>
      <c r="R20" s="10"/>
      <c r="S20" s="342">
        <f>VIVALIS!$D$26</f>
        <v>118</v>
      </c>
      <c r="T20" s="342">
        <f>VIVALIS!$E$26</f>
        <v>151</v>
      </c>
      <c r="U20" s="298">
        <f>IF(T20=0,0,S20/T20-1)</f>
        <v>-0.2185430463576159</v>
      </c>
      <c r="V20" s="10"/>
      <c r="W20" s="342">
        <f>VIVALIS!$D$27</f>
        <v>657</v>
      </c>
      <c r="X20" s="342">
        <f>VIVALIS!$E$27</f>
        <v>440</v>
      </c>
      <c r="Y20" s="298">
        <f>IF(X20=0,0,W20/X20-1)</f>
        <v>0.49318181818181817</v>
      </c>
      <c r="Z20" s="10"/>
      <c r="AA20" s="342">
        <f>VIVALIS!$D$18</f>
        <v>0</v>
      </c>
      <c r="AB20" s="342">
        <f>VIVALIS!$E$18</f>
        <v>0</v>
      </c>
      <c r="AC20" s="298">
        <f>IF(AB20=0,0,AA20/AB20-1)</f>
        <v>0</v>
      </c>
      <c r="AD20" s="10"/>
      <c r="AE20" s="342">
        <f>VIVALIS!$D$28</f>
        <v>0</v>
      </c>
      <c r="AF20" s="342">
        <f>VIVALIS!$E$28</f>
        <v>0</v>
      </c>
      <c r="AG20" s="298">
        <f>IF(AF20=0,0,AE20/AF20-1)</f>
        <v>0</v>
      </c>
      <c r="AH20" s="10"/>
      <c r="AI20" s="342">
        <f>AE20+AA20+K20+G20+C20+O20+S20+W20</f>
        <v>10298</v>
      </c>
      <c r="AJ20" s="342">
        <f>AF20+AB20+L20+H20+D20+P20+T20+X20</f>
        <v>13335</v>
      </c>
      <c r="AK20" s="298">
        <f>IF(AJ20=0,0,AI20/AJ20-1)</f>
        <v>-0.22774653168353953</v>
      </c>
      <c r="AL20" s="35">
        <f>C20+G20-'Syn prin concurents Nbre'!E21</f>
        <v>0</v>
      </c>
      <c r="AM20" s="35">
        <f>D20+H20-'Syn prin concurents Nbre'!F21</f>
        <v>0</v>
      </c>
      <c r="AN20" s="35">
        <f>K20+O20+S20+W20-'Syn prin concurents Nbre'!I21</f>
        <v>0</v>
      </c>
      <c r="AO20" s="35">
        <f>L20+P20+T20+X20-'Syn prin concurents Nbre'!J21</f>
        <v>0</v>
      </c>
      <c r="AP20" s="35">
        <f>AA20-'Syn prin concurents Nbre'!M21</f>
        <v>0</v>
      </c>
      <c r="AQ20" s="35">
        <f>AB20-'Syn prin concurents Nbre'!N21</f>
        <v>0</v>
      </c>
      <c r="AR20" s="35">
        <f>AE20-'Syn prin concurents Nbre'!Q21</f>
        <v>0</v>
      </c>
      <c r="AS20" s="35">
        <f>AF20-'Syn prin concurents Nbre'!R21</f>
        <v>0</v>
      </c>
      <c r="AT20" s="35">
        <f>AI20-'Syn prin concurents Nbre'!U21</f>
        <v>0</v>
      </c>
      <c r="AU20" s="35">
        <f>AJ20-'Syn prin concurents Nbre'!V21</f>
        <v>0</v>
      </c>
    </row>
    <row r="21" spans="1:50" ht="18.5" x14ac:dyDescent="0.45">
      <c r="A21" s="11" t="s">
        <v>67</v>
      </c>
      <c r="B21" s="299"/>
      <c r="C21" s="300">
        <f>C20/C$30</f>
        <v>0.10663002019295491</v>
      </c>
      <c r="D21" s="300">
        <f>D20/D$30</f>
        <v>0.17108761917115248</v>
      </c>
      <c r="E21" s="301">
        <f>(C21-D21)*100</f>
        <v>-6.445759897819757</v>
      </c>
      <c r="F21" s="15"/>
      <c r="G21" s="300">
        <f>G20/G$30</f>
        <v>0.13925780182543587</v>
      </c>
      <c r="H21" s="300">
        <f>H20/H$30</f>
        <v>0.14149434141138828</v>
      </c>
      <c r="I21" s="301">
        <f>(G21-H21)*100</f>
        <v>-0.22365395859524073</v>
      </c>
      <c r="J21" s="15"/>
      <c r="K21" s="300">
        <f>K20/K$30</f>
        <v>0.2705494644781038</v>
      </c>
      <c r="L21" s="300">
        <f>L20/L$30</f>
        <v>0.26383725941110847</v>
      </c>
      <c r="M21" s="301">
        <f>(K21-L21)*100</f>
        <v>0.67122050669953248</v>
      </c>
      <c r="N21" s="15"/>
      <c r="O21" s="300">
        <f>O20/O$30</f>
        <v>0.11074425643142111</v>
      </c>
      <c r="P21" s="300">
        <f>P20/P$30</f>
        <v>0.15696032279757902</v>
      </c>
      <c r="Q21" s="301">
        <f>(O21-P21)*100</f>
        <v>-4.6216066366157911</v>
      </c>
      <c r="R21" s="15"/>
      <c r="S21" s="300">
        <f>S20/S$30</f>
        <v>8.2115518441196939E-2</v>
      </c>
      <c r="T21" s="300">
        <f>T20/T$30</f>
        <v>6.7321153108810594E-2</v>
      </c>
      <c r="U21" s="301">
        <f>(S21-T21)*100</f>
        <v>1.4794365332386343</v>
      </c>
      <c r="V21" s="15"/>
      <c r="W21" s="300">
        <f>W20/W$30</f>
        <v>8.202247191011236E-2</v>
      </c>
      <c r="X21" s="300">
        <f>X20/X$30</f>
        <v>5.9537340737613527E-2</v>
      </c>
      <c r="Y21" s="301">
        <f>(W21-X21)*100</f>
        <v>2.2485131172498831</v>
      </c>
      <c r="Z21" s="15"/>
      <c r="AA21" s="300">
        <f>AA20/AA$30</f>
        <v>0</v>
      </c>
      <c r="AB21" s="300">
        <f>AB20/AB$30</f>
        <v>0</v>
      </c>
      <c r="AC21" s="301">
        <f>(AA21-AB21)*100</f>
        <v>0</v>
      </c>
      <c r="AD21" s="15"/>
      <c r="AE21" s="300">
        <f>AE20/AE$30</f>
        <v>0</v>
      </c>
      <c r="AF21" s="300">
        <f>AF20/AF$30</f>
        <v>0</v>
      </c>
      <c r="AG21" s="301">
        <f>(AE21-AF21)*100</f>
        <v>0</v>
      </c>
      <c r="AH21" s="15"/>
      <c r="AI21" s="300">
        <f>AI20/AI$30</f>
        <v>0.10731219324114502</v>
      </c>
      <c r="AJ21" s="300">
        <f>AJ20/AJ$30</f>
        <v>0.14385113268608415</v>
      </c>
      <c r="AK21" s="301">
        <f>(AI21-AJ21)*100</f>
        <v>-3.6538939444939134</v>
      </c>
      <c r="AL21" s="35">
        <f>C21+G21-'Syn prin concurents Nbre'!E22</f>
        <v>0.12273211267583022</v>
      </c>
      <c r="AM21" s="35">
        <f>D21+H21-'Syn prin concurents Nbre'!F22</f>
        <v>0.15695897321568417</v>
      </c>
      <c r="AN21" s="35">
        <f>K21+O21+S21+W21-'Syn prin concurents Nbre'!I22</f>
        <v>0.36543478865735679</v>
      </c>
      <c r="AO21" s="35">
        <f>L21+P21+T21+X21-'Syn prin concurents Nbre'!J22</f>
        <v>0.3493411206873136</v>
      </c>
      <c r="AP21" s="35">
        <f>AA21-'Syn prin concurents Nbre'!M22</f>
        <v>0</v>
      </c>
      <c r="AQ21" s="35">
        <f>AB21-'Syn prin concurents Nbre'!N22</f>
        <v>0</v>
      </c>
      <c r="AR21" s="35">
        <f>AE21-'Syn prin concurents Nbre'!Q22</f>
        <v>0</v>
      </c>
      <c r="AS21" s="35">
        <f>AF21-'Syn prin concurents Nbre'!R22</f>
        <v>0</v>
      </c>
      <c r="AT21" s="35">
        <f>AI21-'Syn prin concurents Nbre'!U22</f>
        <v>0</v>
      </c>
      <c r="AU21" s="35">
        <f>AJ21-'Syn prin concurents Nbre'!V22</f>
        <v>0</v>
      </c>
    </row>
    <row r="22" spans="1:50" ht="23.5" x14ac:dyDescent="0.55000000000000004">
      <c r="A22" s="6" t="s">
        <v>6</v>
      </c>
      <c r="B22" s="7"/>
      <c r="C22" s="340">
        <f>EQDOM!$D$12</f>
        <v>1003</v>
      </c>
      <c r="D22" s="340">
        <f>EQDOM!$E$12</f>
        <v>730</v>
      </c>
      <c r="E22" s="9">
        <f>IF(D22=0,0,C22/D22-1)</f>
        <v>0.3739726027397261</v>
      </c>
      <c r="F22" s="10"/>
      <c r="G22" s="340">
        <f>EQDOM!$D$13+EQDOM!$D$17</f>
        <v>1664</v>
      </c>
      <c r="H22" s="340">
        <f>EQDOM!$E$13+EQDOM!$E$17</f>
        <v>1408</v>
      </c>
      <c r="I22" s="9">
        <f>IF(H22=0,0,G22/H22-1)</f>
        <v>0.18181818181818188</v>
      </c>
      <c r="J22" s="10"/>
      <c r="K22" s="340">
        <f>EQDOM!$D$24</f>
        <v>2848</v>
      </c>
      <c r="L22" s="340">
        <f>EQDOM!$E$24</f>
        <v>5133</v>
      </c>
      <c r="M22" s="9">
        <f>IF(L22=0,0,K22/L22-1)</f>
        <v>-0.44515877654393143</v>
      </c>
      <c r="N22" s="10"/>
      <c r="O22" s="340">
        <f>EQDOM!$D$25</f>
        <v>1964</v>
      </c>
      <c r="P22" s="340">
        <f>EQDOM!$E$25</f>
        <v>1739</v>
      </c>
      <c r="Q22" s="9">
        <f>IF(P22=0,0,O22/P22-1)</f>
        <v>0.12938470385278888</v>
      </c>
      <c r="R22" s="10"/>
      <c r="S22" s="340">
        <f>EQDOM!$D$26</f>
        <v>508</v>
      </c>
      <c r="T22" s="340">
        <f>EQDOM!$E$26</f>
        <v>670</v>
      </c>
      <c r="U22" s="9">
        <f>IF(T22=0,0,S22/T22-1)</f>
        <v>-0.24179104477611946</v>
      </c>
      <c r="V22" s="10"/>
      <c r="W22" s="340">
        <f>EQDOM!$D$27</f>
        <v>805</v>
      </c>
      <c r="X22" s="340">
        <f>EQDOM!$E$27</f>
        <v>501</v>
      </c>
      <c r="Y22" s="9">
        <f>IF(X22=0,0,W22/X22-1)</f>
        <v>0.60678642714570863</v>
      </c>
      <c r="Z22" s="10"/>
      <c r="AA22" s="340">
        <f>EQDOM!$D$18</f>
        <v>12</v>
      </c>
      <c r="AB22" s="340">
        <f>EQDOM!$E$18</f>
        <v>81</v>
      </c>
      <c r="AC22" s="9">
        <f>IF(AB22=0,0,AA22/AB22-1)</f>
        <v>-0.85185185185185186</v>
      </c>
      <c r="AD22" s="10"/>
      <c r="AE22" s="340">
        <f>EQDOM!$D$28</f>
        <v>0</v>
      </c>
      <c r="AF22" s="340">
        <f>EQDOM!$E$28</f>
        <v>0</v>
      </c>
      <c r="AG22" s="9">
        <f>IF(AF22=0,0,AE22/AF22-1)</f>
        <v>0</v>
      </c>
      <c r="AH22" s="10"/>
      <c r="AI22" s="340">
        <f>AE22+AA22+K22+G22+C22+O22+S22+W22</f>
        <v>8804</v>
      </c>
      <c r="AJ22" s="340">
        <f>AF22+AB22+L22+H22+D22+P22+T22+X22</f>
        <v>10262</v>
      </c>
      <c r="AK22" s="9">
        <f>IF(AJ22=0,0,AI22/AJ22-1)</f>
        <v>-0.14207756772558955</v>
      </c>
      <c r="AL22" s="35">
        <f>C22+G22-'Syn prin concurents Nbre'!E23</f>
        <v>0</v>
      </c>
      <c r="AM22" s="35">
        <f>D22+H22-'Syn prin concurents Nbre'!F23</f>
        <v>0</v>
      </c>
      <c r="AN22" s="35">
        <f>K22+O22+S22+W22-'Syn prin concurents Nbre'!I23</f>
        <v>0</v>
      </c>
      <c r="AO22" s="35">
        <f>L22+P22+T22+X22-'Syn prin concurents Nbre'!J23</f>
        <v>0</v>
      </c>
      <c r="AP22" s="35">
        <f>AA22-'Syn prin concurents Nbre'!M23</f>
        <v>0</v>
      </c>
      <c r="AQ22" s="35">
        <f>AB22-'Syn prin concurents Nbre'!N23</f>
        <v>0</v>
      </c>
      <c r="AR22" s="35">
        <f>AE22-'Syn prin concurents Nbre'!Q23</f>
        <v>0</v>
      </c>
      <c r="AS22" s="35">
        <f>AF22-'Syn prin concurents Nbre'!R23</f>
        <v>0</v>
      </c>
      <c r="AT22" s="35">
        <f>AI22-'Syn prin concurents Nbre'!U23</f>
        <v>0</v>
      </c>
      <c r="AU22" s="35">
        <f>AJ22-'Syn prin concurents Nbre'!V23</f>
        <v>0</v>
      </c>
    </row>
    <row r="23" spans="1:50" ht="18.5" x14ac:dyDescent="0.45">
      <c r="A23" s="11" t="s">
        <v>67</v>
      </c>
      <c r="B23" s="12"/>
      <c r="C23" s="13">
        <f>C22/C$30</f>
        <v>5.6259816019744224E-2</v>
      </c>
      <c r="D23" s="13">
        <f>D22/D$30</f>
        <v>4.734418574486024E-2</v>
      </c>
      <c r="E23" s="14">
        <f>(C23-D23)*100</f>
        <v>0.89156302748839844</v>
      </c>
      <c r="F23" s="15"/>
      <c r="G23" s="13">
        <f>G22/G$30</f>
        <v>9.0943870579876476E-2</v>
      </c>
      <c r="H23" s="13">
        <f>H22/H$30</f>
        <v>8.3427149374888904E-2</v>
      </c>
      <c r="I23" s="14">
        <f>(G23-H23)*100</f>
        <v>0.75167212049875731</v>
      </c>
      <c r="J23" s="15"/>
      <c r="K23" s="13">
        <f>K22/K$30</f>
        <v>0.18049306039672983</v>
      </c>
      <c r="L23" s="13">
        <f>L22/L$30</f>
        <v>0.20672823272129748</v>
      </c>
      <c r="M23" s="14">
        <f>(K23-L23)*100</f>
        <v>-2.623517232456765</v>
      </c>
      <c r="N23" s="15"/>
      <c r="O23" s="13">
        <f>O22/O$30</f>
        <v>0.27018847159169074</v>
      </c>
      <c r="P23" s="13">
        <f>P22/P$30</f>
        <v>0.23389374579690653</v>
      </c>
      <c r="Q23" s="14">
        <f>(O23-P23)*100</f>
        <v>3.6294725794784211</v>
      </c>
      <c r="R23" s="15"/>
      <c r="S23" s="13">
        <f>S22/S$30</f>
        <v>0.35351426583159362</v>
      </c>
      <c r="T23" s="13">
        <f>T22/T$30</f>
        <v>0.29870975220465629</v>
      </c>
      <c r="U23" s="14">
        <f>(S23-T23)*100</f>
        <v>5.4804513626937332</v>
      </c>
      <c r="V23" s="15"/>
      <c r="W23" s="13">
        <f>W22/W$30</f>
        <v>0.10049937578027465</v>
      </c>
      <c r="X23" s="13">
        <f>X22/X$30</f>
        <v>6.77913811580554E-2</v>
      </c>
      <c r="Y23" s="14">
        <f>(W23-X23)*100</f>
        <v>3.2707994622219254</v>
      </c>
      <c r="Z23" s="15"/>
      <c r="AA23" s="13">
        <f>AA22/AA$30</f>
        <v>4.4041545858259626E-4</v>
      </c>
      <c r="AB23" s="13">
        <f>AB22/AB$30</f>
        <v>4.4048072217086299E-3</v>
      </c>
      <c r="AC23" s="14">
        <f>(AA23-AB23)*100</f>
        <v>-0.39643917631260339</v>
      </c>
      <c r="AD23" s="15"/>
      <c r="AE23" s="13">
        <f>AE22/AE$30</f>
        <v>0</v>
      </c>
      <c r="AF23" s="13">
        <f>AF22/AF$30</f>
        <v>0</v>
      </c>
      <c r="AG23" s="14">
        <f>(AE23-AF23)*100</f>
        <v>0</v>
      </c>
      <c r="AH23" s="15"/>
      <c r="AI23" s="13">
        <f>AI22/AI$30</f>
        <v>9.1743692881631464E-2</v>
      </c>
      <c r="AJ23" s="13">
        <f>AJ22/AJ$30</f>
        <v>0.11070118662351672</v>
      </c>
      <c r="AK23" s="14">
        <f>(AI23-AJ23)*100</f>
        <v>-1.8957493741885254</v>
      </c>
      <c r="AL23" s="35">
        <f>C23+G23-'Syn prin concurents Nbre'!E24</f>
        <v>7.337669698024353E-2</v>
      </c>
      <c r="AM23" s="35">
        <f>D23+H23-'Syn prin concurents Nbre'!F24</f>
        <v>6.4571186494532404E-2</v>
      </c>
      <c r="AN23" s="35">
        <f>K23+O23+S23+W23-'Syn prin concurents Nbre'!I24</f>
        <v>0.71620463659459566</v>
      </c>
      <c r="AO23" s="35">
        <f>L23+P23+T23+X23-'Syn prin concurents Nbre'!J24</f>
        <v>0.61515690824351055</v>
      </c>
      <c r="AP23" s="35">
        <f>AA23-'Syn prin concurents Nbre'!M24</f>
        <v>0</v>
      </c>
      <c r="AQ23" s="35">
        <f>AB23-'Syn prin concurents Nbre'!N24</f>
        <v>0</v>
      </c>
      <c r="AR23" s="35">
        <f>AE23-'Syn prin concurents Nbre'!Q24</f>
        <v>0</v>
      </c>
      <c r="AS23" s="35">
        <f>AF23-'Syn prin concurents Nbre'!R24</f>
        <v>0</v>
      </c>
      <c r="AT23" s="35">
        <f>AI23-'Syn prin concurents Nbre'!U24</f>
        <v>0</v>
      </c>
      <c r="AU23" s="35">
        <f>AJ23-'Syn prin concurents Nbre'!V24</f>
        <v>0</v>
      </c>
    </row>
    <row r="24" spans="1:50" ht="23.5" x14ac:dyDescent="0.55000000000000004">
      <c r="A24" s="6" t="s">
        <v>4</v>
      </c>
      <c r="B24" s="7"/>
      <c r="C24" s="340">
        <f>'RCI '!$D$12</f>
        <v>5965</v>
      </c>
      <c r="D24" s="340">
        <f>'RCI '!$E$12</f>
        <v>3516</v>
      </c>
      <c r="E24" s="9">
        <f>IF(D24=0,0,C24/D24-1)</f>
        <v>0.69653014789533563</v>
      </c>
      <c r="F24" s="10"/>
      <c r="G24" s="340">
        <f>'RCI '!$D$13</f>
        <v>1458</v>
      </c>
      <c r="H24" s="340">
        <f>'RCI '!$E$13+'RCI '!$E$17</f>
        <v>2468</v>
      </c>
      <c r="I24" s="9">
        <f>IF(H24=0,0,G24/H24-1)</f>
        <v>-0.40923824959481359</v>
      </c>
      <c r="J24" s="10"/>
      <c r="K24" s="340">
        <f>'RCI '!$D$24</f>
        <v>0</v>
      </c>
      <c r="L24" s="340">
        <f>'RCI '!$E$24</f>
        <v>0</v>
      </c>
      <c r="M24" s="9">
        <f>IF(L24=0,0,K24/L24-1)</f>
        <v>0</v>
      </c>
      <c r="N24" s="10"/>
      <c r="O24" s="340">
        <f>'RCI '!$D$25</f>
        <v>0</v>
      </c>
      <c r="P24" s="340">
        <f>'RCI '!$E$25</f>
        <v>0</v>
      </c>
      <c r="Q24" s="9">
        <f>IF(P24=0,0,O24/P24-1)</f>
        <v>0</v>
      </c>
      <c r="R24" s="10"/>
      <c r="S24" s="340">
        <f>'RCI '!$D$26</f>
        <v>0</v>
      </c>
      <c r="T24" s="340">
        <f>'RCI '!$E$26</f>
        <v>0</v>
      </c>
      <c r="U24" s="9">
        <f>IF(T24=0,0,S24/T24-1)</f>
        <v>0</v>
      </c>
      <c r="V24" s="10"/>
      <c r="W24" s="340">
        <f>'RCI '!$D$27</f>
        <v>0</v>
      </c>
      <c r="X24" s="340">
        <f>'RCI '!$E$27</f>
        <v>0</v>
      </c>
      <c r="Y24" s="9">
        <f>IF(X24=0,0,W24/X24-1)</f>
        <v>0</v>
      </c>
      <c r="Z24" s="10"/>
      <c r="AA24" s="340">
        <f>'RCI '!$D$18</f>
        <v>0</v>
      </c>
      <c r="AB24" s="340">
        <f>'RCI '!$E$18</f>
        <v>0</v>
      </c>
      <c r="AC24" s="9">
        <f>IF(AB24=0,0,AA24/AB24-1)</f>
        <v>0</v>
      </c>
      <c r="AD24" s="10"/>
      <c r="AE24" s="340">
        <f>'RCI '!$D$28</f>
        <v>0</v>
      </c>
      <c r="AF24" s="340">
        <f>'RCI '!$E$28</f>
        <v>0</v>
      </c>
      <c r="AG24" s="9">
        <f>IF(AF24=0,0,AE24/AF24-1)</f>
        <v>0</v>
      </c>
      <c r="AH24" s="10"/>
      <c r="AI24" s="340">
        <f>AE24+AA24+K24+G24+C24+O24+S24+W24</f>
        <v>7423</v>
      </c>
      <c r="AJ24" s="340">
        <f>AF24+AB24+L24+H24+D24+P24+T24+X24</f>
        <v>5984</v>
      </c>
      <c r="AK24" s="9">
        <f>IF(AJ24=0,0,AI24/AJ24-1)</f>
        <v>0.24047459893048129</v>
      </c>
      <c r="AL24" s="35">
        <f>C24+G24-'Syn prin concurents Nbre'!E25</f>
        <v>0</v>
      </c>
      <c r="AM24" s="35">
        <f>D24+H24-'Syn prin concurents Nbre'!F25</f>
        <v>0</v>
      </c>
      <c r="AN24" s="35">
        <f>K24+O24+S24+W24-'Syn prin concurents Nbre'!I25</f>
        <v>0</v>
      </c>
      <c r="AO24" s="35">
        <f>L24+P24+T24+X24-'Syn prin concurents Nbre'!J25</f>
        <v>0</v>
      </c>
      <c r="AP24" s="35">
        <f>AA24-'Syn prin concurents Nbre'!M25</f>
        <v>0</v>
      </c>
      <c r="AQ24" s="35">
        <f>AB24-'Syn prin concurents Nbre'!N25</f>
        <v>0</v>
      </c>
      <c r="AR24" s="35">
        <f>AE24-'Syn prin concurents Nbre'!Q25</f>
        <v>0</v>
      </c>
      <c r="AS24" s="35">
        <f>AF24-'Syn prin concurents Nbre'!R25</f>
        <v>0</v>
      </c>
      <c r="AT24" s="35">
        <f>AI24-'Syn prin concurents Nbre'!U25</f>
        <v>0</v>
      </c>
      <c r="AU24" s="35">
        <f>AJ24-'Syn prin concurents Nbre'!V25</f>
        <v>0</v>
      </c>
    </row>
    <row r="25" spans="1:50" ht="18.5" x14ac:dyDescent="0.45">
      <c r="A25" s="11" t="s">
        <v>67</v>
      </c>
      <c r="B25" s="12"/>
      <c r="C25" s="13">
        <f>C24/C$30</f>
        <v>0.33458604442450079</v>
      </c>
      <c r="D25" s="13">
        <f>D24/D$30</f>
        <v>0.22803035216291589</v>
      </c>
      <c r="E25" s="14">
        <f>(C25-D25)*100</f>
        <v>10.655569226158491</v>
      </c>
      <c r="F25" s="15"/>
      <c r="G25" s="13">
        <f>G24/G$30</f>
        <v>7.9685194294146583E-2</v>
      </c>
      <c r="H25" s="13">
        <f>H24/H$30</f>
        <v>0.14623452035314333</v>
      </c>
      <c r="I25" s="14">
        <f>(G25-H25)*100</f>
        <v>-6.6549326058996741</v>
      </c>
      <c r="J25" s="15"/>
      <c r="K25" s="13">
        <f>K24/K$30</f>
        <v>0</v>
      </c>
      <c r="L25" s="13">
        <f>L24/L$30</f>
        <v>0</v>
      </c>
      <c r="M25" s="14">
        <f>(K25-L25)*100</f>
        <v>0</v>
      </c>
      <c r="N25" s="15"/>
      <c r="O25" s="13">
        <f>O24/O$30</f>
        <v>0</v>
      </c>
      <c r="P25" s="13">
        <f>P24/P$30</f>
        <v>0</v>
      </c>
      <c r="Q25" s="14">
        <f>(O25-P25)*100</f>
        <v>0</v>
      </c>
      <c r="R25" s="15"/>
      <c r="S25" s="13">
        <f>S24/S$30</f>
        <v>0</v>
      </c>
      <c r="T25" s="13">
        <f>T24/T$30</f>
        <v>0</v>
      </c>
      <c r="U25" s="14">
        <f>(S25-T25)*100</f>
        <v>0</v>
      </c>
      <c r="V25" s="15"/>
      <c r="W25" s="13">
        <f>W24/W$30</f>
        <v>0</v>
      </c>
      <c r="X25" s="13">
        <f>X24/X$30</f>
        <v>0</v>
      </c>
      <c r="Y25" s="14">
        <f>(W25-X25)*100</f>
        <v>0</v>
      </c>
      <c r="Z25" s="15"/>
      <c r="AA25" s="13">
        <f>AA24/AA$30</f>
        <v>0</v>
      </c>
      <c r="AB25" s="13">
        <f>AB24/AB$30</f>
        <v>0</v>
      </c>
      <c r="AC25" s="14">
        <f>(AA25-AB25)*100</f>
        <v>0</v>
      </c>
      <c r="AD25" s="15"/>
      <c r="AE25" s="13">
        <f>AE24/AE$30</f>
        <v>0</v>
      </c>
      <c r="AF25" s="13">
        <f>AF24/AF$30</f>
        <v>0</v>
      </c>
      <c r="AG25" s="14">
        <f>(AE25-AF25)*100</f>
        <v>0</v>
      </c>
      <c r="AH25" s="15"/>
      <c r="AI25" s="13">
        <f>AI24/AI$30</f>
        <v>7.7352729697904396E-2</v>
      </c>
      <c r="AJ25" s="13">
        <f>AJ24/AJ$30</f>
        <v>6.455231930960087E-2</v>
      </c>
      <c r="AK25" s="14">
        <f>(AI25-AJ25)*100</f>
        <v>1.2800410388303527</v>
      </c>
      <c r="AL25" s="35">
        <f>C25+G25-'Syn prin concurents Nbre'!E26</f>
        <v>0.20879026986051585</v>
      </c>
      <c r="AM25" s="35">
        <f>D25+H25-'Syn prin concurents Nbre'!F26</f>
        <v>0.1889787689738249</v>
      </c>
      <c r="AN25" s="35">
        <f>K25+O25+S25+W25-'Syn prin concurents Nbre'!I26</f>
        <v>0</v>
      </c>
      <c r="AO25" s="35">
        <f>L25+P25+T25+X25-'Syn prin concurents Nbre'!J26</f>
        <v>0</v>
      </c>
      <c r="AP25" s="35">
        <f>AA25-'Syn prin concurents Nbre'!M26</f>
        <v>0</v>
      </c>
      <c r="AQ25" s="35">
        <f>AB25-'Syn prin concurents Nbre'!N26</f>
        <v>0</v>
      </c>
      <c r="AR25" s="35">
        <f>AE25-'Syn prin concurents Nbre'!Q26</f>
        <v>0</v>
      </c>
      <c r="AS25" s="35">
        <f>AF25-'Syn prin concurents Nbre'!R26</f>
        <v>0</v>
      </c>
      <c r="AT25" s="35">
        <f>AI25-'Syn prin concurents Nbre'!U26</f>
        <v>0</v>
      </c>
      <c r="AU25" s="35">
        <f>AJ25-'Syn prin concurents Nbre'!V26</f>
        <v>0</v>
      </c>
    </row>
    <row r="26" spans="1:50" ht="23.5" x14ac:dyDescent="0.55000000000000004">
      <c r="A26" s="6" t="s">
        <v>7</v>
      </c>
      <c r="B26" s="7"/>
      <c r="C26" s="340">
        <f>SALAFIN!$D$12</f>
        <v>144</v>
      </c>
      <c r="D26" s="340">
        <f>SALAFIN!$E$12</f>
        <v>191</v>
      </c>
      <c r="E26" s="9">
        <f>IF(D26=0,0,C26/D26-1)</f>
        <v>-0.24607329842931935</v>
      </c>
      <c r="F26" s="10"/>
      <c r="G26" s="340">
        <f>SALAFIN!$D$13</f>
        <v>233</v>
      </c>
      <c r="H26" s="340">
        <f>SALAFIN!$E$13</f>
        <v>248</v>
      </c>
      <c r="I26" s="9">
        <f>IF(H26=0,0,G26/H26-1)</f>
        <v>-6.0483870967741882E-2</v>
      </c>
      <c r="J26" s="10"/>
      <c r="K26" s="340">
        <f>SALAFIN!$D$24</f>
        <v>254</v>
      </c>
      <c r="L26" s="340">
        <f>SALAFIN!$E$24</f>
        <v>483</v>
      </c>
      <c r="M26" s="9">
        <f>IF(L26=0,0,K26/L26-1)</f>
        <v>-0.47412008281573503</v>
      </c>
      <c r="N26" s="10"/>
      <c r="O26" s="340">
        <f>SALAFIN!$D$25</f>
        <v>271</v>
      </c>
      <c r="P26" s="340">
        <f>SALAFIN!$E$25</f>
        <v>346</v>
      </c>
      <c r="Q26" s="9">
        <f>IF(P26=0,0,O26/P26-1)</f>
        <v>-0.2167630057803468</v>
      </c>
      <c r="R26" s="10"/>
      <c r="S26" s="340">
        <f>SALAFIN!$D$26</f>
        <v>33</v>
      </c>
      <c r="T26" s="340">
        <f>SALAFIN!$E$26</f>
        <v>44</v>
      </c>
      <c r="U26" s="9">
        <f>IF(T26=0,0,S26/T26-1)</f>
        <v>-0.25</v>
      </c>
      <c r="V26" s="10"/>
      <c r="W26" s="340">
        <f>SALAFIN!$D$27</f>
        <v>976</v>
      </c>
      <c r="X26" s="340">
        <f>SALAFIN!$E$27</f>
        <v>1045</v>
      </c>
      <c r="Y26" s="9">
        <f>IF(X26=0,0,W26/X26-1)</f>
        <v>-6.6028708133971326E-2</v>
      </c>
      <c r="Z26" s="10"/>
      <c r="AA26" s="340">
        <f>SALAFIN!$D$18</f>
        <v>0</v>
      </c>
      <c r="AB26" s="340">
        <f>SALAFIN!$E$18</f>
        <v>0</v>
      </c>
      <c r="AC26" s="9">
        <f>IF(AB26=0,0,AA26/AB26-1)</f>
        <v>0</v>
      </c>
      <c r="AD26" s="10"/>
      <c r="AE26" s="340">
        <f>SALAFIN!$D$28</f>
        <v>8</v>
      </c>
      <c r="AF26" s="340">
        <f>SALAFIN!$E$28</f>
        <v>73</v>
      </c>
      <c r="AG26" s="9">
        <f>IF(AF26=0,0,AE26/AF26-1)</f>
        <v>-0.8904109589041096</v>
      </c>
      <c r="AH26" s="10"/>
      <c r="AI26" s="340">
        <f>AE26+AA26+K26+G26+C26+O26+S26+W26</f>
        <v>1919</v>
      </c>
      <c r="AJ26" s="340">
        <f>AF26+AB26+L26+H26+D26+P26+T26+X26</f>
        <v>2430</v>
      </c>
      <c r="AK26" s="9">
        <f>IF(AJ26=0,0,AI26/AJ26-1)</f>
        <v>-0.21028806584362136</v>
      </c>
      <c r="AL26" s="35">
        <f>C26+G26-'Syn prin concurents Nbre'!E27</f>
        <v>0</v>
      </c>
      <c r="AM26" s="35">
        <f>D26+H26-'Syn prin concurents Nbre'!F27</f>
        <v>0</v>
      </c>
      <c r="AN26" s="35">
        <f>K26+O26+S26+W26-'Syn prin concurents Nbre'!I27</f>
        <v>0</v>
      </c>
      <c r="AO26" s="35">
        <f>L26+P26+T26+X26-'Syn prin concurents Nbre'!J27</f>
        <v>0</v>
      </c>
      <c r="AP26" s="35">
        <f>AA26-'Syn prin concurents Nbre'!M27</f>
        <v>0</v>
      </c>
      <c r="AQ26" s="35">
        <f>AB26-'Syn prin concurents Nbre'!N27</f>
        <v>0</v>
      </c>
      <c r="AR26" s="35">
        <f>AE26-'Syn prin concurents Nbre'!Q27</f>
        <v>0</v>
      </c>
      <c r="AS26" s="35">
        <f>AF26-'Syn prin concurents Nbre'!R27</f>
        <v>0</v>
      </c>
      <c r="AT26" s="35">
        <f>AI26-'Syn prin concurents Nbre'!U27</f>
        <v>0</v>
      </c>
      <c r="AU26" s="35">
        <f>AJ26-'Syn prin concurents Nbre'!V27</f>
        <v>0</v>
      </c>
    </row>
    <row r="27" spans="1:50" ht="18.5" x14ac:dyDescent="0.45">
      <c r="A27" s="11" t="s">
        <v>67</v>
      </c>
      <c r="B27" s="12"/>
      <c r="C27" s="13">
        <f>C26/C$30</f>
        <v>8.077181960960288E-3</v>
      </c>
      <c r="D27" s="13">
        <f>D26/D$30</f>
        <v>1.2387314352422336E-2</v>
      </c>
      <c r="E27" s="14">
        <f>(C27-D27)*100</f>
        <v>-0.43101323914620482</v>
      </c>
      <c r="F27" s="15"/>
      <c r="G27" s="13">
        <f>G26/G$30</f>
        <v>1.2734328031917801E-2</v>
      </c>
      <c r="H27" s="13">
        <f>H26/H$30</f>
        <v>1.4694554719440658E-2</v>
      </c>
      <c r="I27" s="14">
        <f>(G27-H27)*100</f>
        <v>-0.19602266875228569</v>
      </c>
      <c r="J27" s="15"/>
      <c r="K27" s="13">
        <f>K26/K$30</f>
        <v>1.6097344571899361E-2</v>
      </c>
      <c r="L27" s="13">
        <f>L26/L$30</f>
        <v>1.9452510501536464E-2</v>
      </c>
      <c r="M27" s="14">
        <f>(K27-L27)*100</f>
        <v>-0.33551659296371039</v>
      </c>
      <c r="N27" s="15"/>
      <c r="O27" s="13">
        <f>O26/O$30</f>
        <v>3.7281606823497043E-2</v>
      </c>
      <c r="P27" s="13">
        <f>P26/P$30</f>
        <v>4.6536650975117687E-2</v>
      </c>
      <c r="Q27" s="14">
        <f>(O27-P27)*100</f>
        <v>-0.92550441516206439</v>
      </c>
      <c r="R27" s="15"/>
      <c r="S27" s="13">
        <f>S26/S$30</f>
        <v>2.2964509394572025E-2</v>
      </c>
      <c r="T27" s="13">
        <f>T26/T$30</f>
        <v>1.9616759846275936E-2</v>
      </c>
      <c r="U27" s="14">
        <f>(S27-T27)*100</f>
        <v>0.33477495482960895</v>
      </c>
      <c r="V27" s="15"/>
      <c r="W27" s="13">
        <f>W26/W$30</f>
        <v>0.12184769038701623</v>
      </c>
      <c r="X27" s="13">
        <f>X26/X$30</f>
        <v>0.14140118425183212</v>
      </c>
      <c r="Y27" s="14">
        <f>(W27-X27)*100</f>
        <v>-1.955349386481589</v>
      </c>
      <c r="Z27" s="15"/>
      <c r="AA27" s="13">
        <f>AA26/AA$30</f>
        <v>0</v>
      </c>
      <c r="AB27" s="13">
        <f>AB26/AB$30</f>
        <v>0</v>
      </c>
      <c r="AC27" s="14">
        <f>(AA27-AB27)*100</f>
        <v>0</v>
      </c>
      <c r="AD27" s="15"/>
      <c r="AE27" s="13">
        <f>AE26/AE$30</f>
        <v>8.3333333333333329E-2</v>
      </c>
      <c r="AF27" s="13">
        <f>AF26/AF$30</f>
        <v>0.62393162393162394</v>
      </c>
      <c r="AG27" s="14">
        <f>(AE27-AF27)*100</f>
        <v>-54.059829059829056</v>
      </c>
      <c r="AH27" s="15"/>
      <c r="AI27" s="13">
        <f>AI26/AI$30</f>
        <v>1.9997290622427395E-2</v>
      </c>
      <c r="AJ27" s="13">
        <f>AJ26/AJ$30</f>
        <v>2.621359223300971E-2</v>
      </c>
      <c r="AK27" s="14">
        <f>(AI27-AJ27)*100</f>
        <v>-0.62163016105823143</v>
      </c>
      <c r="AL27" s="35">
        <f>C27+G27-'Syn prin concurents Nbre'!E28</f>
        <v>1.0375523833708541E-2</v>
      </c>
      <c r="AM27" s="35">
        <f>D27+H27-'Syn prin concurents Nbre'!F28</f>
        <v>1.3488854457050016E-2</v>
      </c>
      <c r="AN27" s="35">
        <f>K27+O27+S27+W27-'Syn prin concurents Nbre'!I28</f>
        <v>0.15098388852119146</v>
      </c>
      <c r="AO27" s="35">
        <f>L27+P27+T27+X27-'Syn prin concurents Nbre'!J28</f>
        <v>0.18122926415035057</v>
      </c>
      <c r="AP27" s="35">
        <f>AA27-'Syn prin concurents Nbre'!M28</f>
        <v>0</v>
      </c>
      <c r="AQ27" s="35">
        <f>AB27-'Syn prin concurents Nbre'!N28</f>
        <v>0</v>
      </c>
      <c r="AR27" s="35">
        <f>AE27-'Syn prin concurents Nbre'!Q28</f>
        <v>0</v>
      </c>
      <c r="AS27" s="35">
        <f>AF27-'Syn prin concurents Nbre'!R28</f>
        <v>0</v>
      </c>
      <c r="AT27" s="35">
        <f>AI27-'Syn prin concurents Nbre'!U28</f>
        <v>0</v>
      </c>
      <c r="AU27" s="35">
        <f>AJ27-'Syn prin concurents Nbre'!V28</f>
        <v>0</v>
      </c>
    </row>
    <row r="28" spans="1:50" ht="23.5" x14ac:dyDescent="0.55000000000000004">
      <c r="A28" s="6" t="s">
        <v>11</v>
      </c>
      <c r="B28" s="7"/>
      <c r="C28" s="340">
        <f>'AXA CREDIT'!$D$12</f>
        <v>2</v>
      </c>
      <c r="D28" s="340">
        <f>'AXA CREDIT'!$E$12</f>
        <v>1</v>
      </c>
      <c r="E28" s="9">
        <f>IF(D28=0,0,C28/D28-1)</f>
        <v>1</v>
      </c>
      <c r="F28" s="10"/>
      <c r="G28" s="340">
        <f>'AXA CREDIT'!$D$13</f>
        <v>3</v>
      </c>
      <c r="H28" s="340">
        <f>'AXA CREDIT'!$E$13</f>
        <v>4</v>
      </c>
      <c r="I28" s="9">
        <f>IF(H28=0,0,G28/H28-1)</f>
        <v>-0.25</v>
      </c>
      <c r="J28" s="10"/>
      <c r="K28" s="340">
        <f>'AXA CREDIT'!$D$24</f>
        <v>1872</v>
      </c>
      <c r="L28" s="340">
        <f>'AXA CREDIT'!$E$24</f>
        <v>3387</v>
      </c>
      <c r="M28" s="9">
        <f>IF(L28=0,0,K28/L28-1)</f>
        <v>-0.44729849424269263</v>
      </c>
      <c r="N28" s="10"/>
      <c r="O28" s="340">
        <f>'AXA CREDIT'!$D$25</f>
        <v>95</v>
      </c>
      <c r="P28" s="340">
        <f>'AXA CREDIT'!$E$25</f>
        <v>136</v>
      </c>
      <c r="Q28" s="9">
        <f>IF(P28=0,0,O28/P28-1)</f>
        <v>-0.30147058823529416</v>
      </c>
      <c r="R28" s="10"/>
      <c r="S28" s="340">
        <f>'AXA CREDIT'!$D$26</f>
        <v>32</v>
      </c>
      <c r="T28" s="340">
        <f>'AXA CREDIT'!$E$26</f>
        <v>71</v>
      </c>
      <c r="U28" s="9">
        <f>IF(T28=0,0,S28/T28-1)</f>
        <v>-0.54929577464788726</v>
      </c>
      <c r="V28" s="10"/>
      <c r="W28" s="340">
        <f>'AXA CREDIT'!$D$27</f>
        <v>168</v>
      </c>
      <c r="X28" s="340">
        <f>'AXA CREDIT'!$E$27</f>
        <v>178</v>
      </c>
      <c r="Y28" s="9">
        <f>IF(X28=0,0,W28/X28-1)</f>
        <v>-5.6179775280898903E-2</v>
      </c>
      <c r="Z28" s="10"/>
      <c r="AA28" s="340">
        <f>'AXA CREDIT'!$D$18</f>
        <v>0</v>
      </c>
      <c r="AB28" s="340">
        <f>'AXA CREDIT'!$E$18</f>
        <v>0</v>
      </c>
      <c r="AC28" s="9">
        <f>IF(AB28=0,0,AA28/AB28-1)</f>
        <v>0</v>
      </c>
      <c r="AD28" s="10"/>
      <c r="AE28" s="340">
        <f>'AXA CREDIT'!$D$28</f>
        <v>0</v>
      </c>
      <c r="AF28" s="340">
        <f>'AXA CREDIT'!$E$28</f>
        <v>0</v>
      </c>
      <c r="AG28" s="9">
        <f>IF(AF28=0,0,AE28/AF28-1)</f>
        <v>0</v>
      </c>
      <c r="AH28" s="10"/>
      <c r="AI28" s="340">
        <f>AE28+AA28+K28+G28+C28+O28+S28+W28</f>
        <v>2172</v>
      </c>
      <c r="AJ28" s="340">
        <f>AF28+AB28+L28+H28+D28+P28+T28+X28</f>
        <v>3777</v>
      </c>
      <c r="AK28" s="9">
        <f>IF(AJ28=0,0,AI28/AJ28-1)</f>
        <v>-0.42494042891183481</v>
      </c>
      <c r="AL28" s="35">
        <f>C28+G28-'Syn prin concurents Nbre'!E29</f>
        <v>0</v>
      </c>
      <c r="AM28" s="35">
        <f>D28+H28-'Syn prin concurents Nbre'!F29</f>
        <v>0</v>
      </c>
      <c r="AN28" s="35">
        <f>K28+O28+S28+W28-'Syn prin concurents Nbre'!I29</f>
        <v>0</v>
      </c>
      <c r="AO28" s="35">
        <f>L28+P28+T28+X28-'Syn prin concurents Nbre'!J29</f>
        <v>0</v>
      </c>
      <c r="AP28" s="35">
        <f>AA28-'Syn prin concurents Nbre'!M29</f>
        <v>0</v>
      </c>
      <c r="AQ28" s="35">
        <f>AB28-'Syn prin concurents Nbre'!N29</f>
        <v>0</v>
      </c>
      <c r="AR28" s="35">
        <f>AE28-'Syn prin concurents Nbre'!Q29</f>
        <v>0</v>
      </c>
      <c r="AS28" s="35">
        <f>AF28-'Syn prin concurents Nbre'!R29</f>
        <v>0</v>
      </c>
      <c r="AT28" s="35">
        <f>AI28-'Syn prin concurents Nbre'!U29</f>
        <v>0</v>
      </c>
      <c r="AU28" s="35">
        <f>AJ28-'Syn prin concurents Nbre'!V29</f>
        <v>0</v>
      </c>
    </row>
    <row r="29" spans="1:50" ht="19" thickBot="1" x14ac:dyDescent="0.5">
      <c r="A29" s="11" t="s">
        <v>67</v>
      </c>
      <c r="B29" s="12"/>
      <c r="C29" s="13">
        <f>C28/C$30</f>
        <v>1.121830827911151E-4</v>
      </c>
      <c r="D29" s="13">
        <f>D28/D$30</f>
        <v>6.4855048965561967E-5</v>
      </c>
      <c r="E29" s="14">
        <f>(C29-D29)*100</f>
        <v>4.7328033825553137E-3</v>
      </c>
      <c r="F29" s="15"/>
      <c r="G29" s="13">
        <f>G28/G$30</f>
        <v>1.6396130513198886E-4</v>
      </c>
      <c r="H29" s="13">
        <f>H28/H$30</f>
        <v>2.3700894708775257E-4</v>
      </c>
      <c r="I29" s="14">
        <f>(G29-H29)*100</f>
        <v>-7.3047641955763711E-3</v>
      </c>
      <c r="J29" s="15"/>
      <c r="K29" s="13">
        <f>K28/K$30</f>
        <v>0.11863869700234489</v>
      </c>
      <c r="L29" s="13">
        <f>L28/L$30</f>
        <v>0.13640921960394206</v>
      </c>
      <c r="M29" s="14">
        <f>(K29-L29)*100</f>
        <v>-1.7770522601597172</v>
      </c>
      <c r="N29" s="15"/>
      <c r="O29" s="13">
        <f>O28/O$30</f>
        <v>1.3069197963956527E-2</v>
      </c>
      <c r="P29" s="13">
        <f>P28/P$30</f>
        <v>1.8291862811028917E-2</v>
      </c>
      <c r="Q29" s="14">
        <f>(O29-P29)*100</f>
        <v>-0.52226648470723902</v>
      </c>
      <c r="R29" s="15"/>
      <c r="S29" s="13">
        <f>S28/S$30</f>
        <v>2.2268615170494086E-2</v>
      </c>
      <c r="T29" s="13">
        <f>T28/T$30</f>
        <v>3.1654317024672536E-2</v>
      </c>
      <c r="U29" s="14">
        <f>(S29-T29)*100</f>
        <v>-0.93857018541784498</v>
      </c>
      <c r="V29" s="15"/>
      <c r="W29" s="13">
        <f>W28/W$30</f>
        <v>2.0973782771535582E-2</v>
      </c>
      <c r="X29" s="13">
        <f>X28/X$30</f>
        <v>2.4085560571125472E-2</v>
      </c>
      <c r="Y29" s="14">
        <f>(W29-X29)*100</f>
        <v>-0.31117777995898904</v>
      </c>
      <c r="Z29" s="15"/>
      <c r="AA29" s="13">
        <f>AA28/AA$30</f>
        <v>0</v>
      </c>
      <c r="AB29" s="13">
        <f>AB28/AB$30</f>
        <v>0</v>
      </c>
      <c r="AC29" s="14">
        <f>(AA29-AB29)*100</f>
        <v>0</v>
      </c>
      <c r="AD29" s="15"/>
      <c r="AE29" s="13">
        <f>AE28/AE$30</f>
        <v>0</v>
      </c>
      <c r="AF29" s="13">
        <f>AF28/AF$30</f>
        <v>0</v>
      </c>
      <c r="AG29" s="14">
        <f>(AE29-AF29)*100</f>
        <v>0</v>
      </c>
      <c r="AH29" s="15"/>
      <c r="AI29" s="13">
        <f>AI28/AI$30</f>
        <v>2.263372341423257E-2</v>
      </c>
      <c r="AJ29" s="13">
        <f>AJ28/AJ$30</f>
        <v>4.0744336569579286E-2</v>
      </c>
      <c r="AK29" s="14">
        <f>(AI29-AJ29)*100</f>
        <v>-1.8110613155346715</v>
      </c>
      <c r="AL29" s="35">
        <f>C29+G29-'Syn prin concurents Nbre'!E30</f>
        <v>1.3773608342483408E-4</v>
      </c>
      <c r="AM29" s="35">
        <f>D29+H29-'Syn prin concurents Nbre'!F30</f>
        <v>1.4704606194382733E-4</v>
      </c>
      <c r="AN29" s="35">
        <f>K29+O29+S29+W29-'Syn prin concurents Nbre'!I30</f>
        <v>0.10826311026484747</v>
      </c>
      <c r="AO29" s="35">
        <f>L29+P29+T29+X29-'Syn prin concurents Nbre'!J30</f>
        <v>0.12041279637527327</v>
      </c>
      <c r="AP29" s="35">
        <f>AA29-'Syn prin concurents Nbre'!M30</f>
        <v>0</v>
      </c>
      <c r="AQ29" s="35">
        <f>AB29-'Syn prin concurents Nbre'!N30</f>
        <v>0</v>
      </c>
      <c r="AR29" s="35">
        <f>AE29-'Syn prin concurents Nbre'!Q30</f>
        <v>0</v>
      </c>
      <c r="AS29" s="35">
        <f>AF29-'Syn prin concurents Nbre'!R30</f>
        <v>0</v>
      </c>
      <c r="AT29" s="35">
        <f>AI29-'Syn prin concurents Nbre'!U30</f>
        <v>0</v>
      </c>
      <c r="AU29" s="35">
        <f>AJ29-'Syn prin concurents Nbre'!V30</f>
        <v>0</v>
      </c>
    </row>
    <row r="30" spans="1:50" ht="26.5" thickBot="1" x14ac:dyDescent="0.65">
      <c r="A30" s="23" t="s">
        <v>8</v>
      </c>
      <c r="B30" s="38"/>
      <c r="C30" s="343">
        <f>GLOBAL!$D$12</f>
        <v>17828</v>
      </c>
      <c r="D30" s="343">
        <f>GLOBAL!$E$12</f>
        <v>15419</v>
      </c>
      <c r="E30" s="25">
        <f>IF(D30=0,0,C30/D30-1)</f>
        <v>0.15623581295803879</v>
      </c>
      <c r="F30" s="3"/>
      <c r="G30" s="343">
        <f>GLOBAL!$D$13+GLOBAL!$D$17</f>
        <v>18297</v>
      </c>
      <c r="H30" s="343">
        <f>GLOBAL!$E$13+GLOBAL!$E$17</f>
        <v>16877</v>
      </c>
      <c r="I30" s="25">
        <f>IF(H30=0,0,G30/H30-1)</f>
        <v>8.4138176216152161E-2</v>
      </c>
      <c r="J30" s="3"/>
      <c r="K30" s="343">
        <f>GLOBAL!$D$24</f>
        <v>15779</v>
      </c>
      <c r="L30" s="343">
        <f>GLOBAL!$E$24</f>
        <v>24829.7</v>
      </c>
      <c r="M30" s="25">
        <f>IF(L30=0,0,K30/L30-1)</f>
        <v>-0.36451104926761102</v>
      </c>
      <c r="N30" s="3"/>
      <c r="O30" s="343">
        <f>GLOBAL!$D$25</f>
        <v>7269</v>
      </c>
      <c r="P30" s="343">
        <f>GLOBAL!$E$25</f>
        <v>7435</v>
      </c>
      <c r="Q30" s="25">
        <f>IF(P30=0,0,O30/P30-1)</f>
        <v>-2.2326832548755893E-2</v>
      </c>
      <c r="R30" s="3"/>
      <c r="S30" s="343">
        <f>GLOBAL!$D$26</f>
        <v>1437</v>
      </c>
      <c r="T30" s="343">
        <f>GLOBAL!$E$26</f>
        <v>2242.98</v>
      </c>
      <c r="U30" s="25">
        <f>IF(T30=0,0,S30/T30-1)</f>
        <v>-0.35933445683866994</v>
      </c>
      <c r="V30" s="3"/>
      <c r="W30" s="343">
        <f>GLOBAL!$D$27</f>
        <v>8010</v>
      </c>
      <c r="X30" s="343">
        <f>GLOBAL!$E$27</f>
        <v>7390.32</v>
      </c>
      <c r="Y30" s="25">
        <f>IF(X30=0,0,W30/X30-1)</f>
        <v>8.3850225700646375E-2</v>
      </c>
      <c r="Z30" s="3"/>
      <c r="AA30" s="343">
        <f>GLOBAL!$D$18</f>
        <v>27247</v>
      </c>
      <c r="AB30" s="343">
        <f>GLOBAL!$E$18</f>
        <v>18389</v>
      </c>
      <c r="AC30" s="25">
        <f>IF(AB30=0,0,AA30/AB30-1)</f>
        <v>0.48170101691228462</v>
      </c>
      <c r="AD30" s="3"/>
      <c r="AE30" s="343">
        <f>GLOBAL!$D$28</f>
        <v>96</v>
      </c>
      <c r="AF30" s="343">
        <f>GLOBAL!$E$28</f>
        <v>117</v>
      </c>
      <c r="AG30" s="25">
        <f>IF(AF30=0,0,AE30/AF30-1)</f>
        <v>-0.17948717948717952</v>
      </c>
      <c r="AH30" s="3"/>
      <c r="AI30" s="343">
        <f>AE30+AA30+K30+G30+C30+O30+S30+W30</f>
        <v>95963</v>
      </c>
      <c r="AJ30" s="343">
        <f>AF30+AB30+L30+H30+D30+P30+T30+X30</f>
        <v>92700</v>
      </c>
      <c r="AK30" s="25">
        <f>IF(AJ30=0,0,AI30/AJ30-1)</f>
        <v>3.5199568500539291E-2</v>
      </c>
      <c r="AL30" s="35">
        <f>C30+G30-'Syn prin concurents Nbre'!E31</f>
        <v>0</v>
      </c>
      <c r="AM30" s="35">
        <f>D30+H30-'Syn prin concurents Nbre'!F31</f>
        <v>0</v>
      </c>
      <c r="AN30" s="35">
        <f>K30+O30+S30+W30-'Syn prin concurents Nbre'!I31</f>
        <v>0</v>
      </c>
      <c r="AO30" s="35">
        <f>L30+P30+T30+X30-'Syn prin concurents Nbre'!J31</f>
        <v>0</v>
      </c>
      <c r="AP30" s="35">
        <f>AA30-'Syn prin concurents Nbre'!M31</f>
        <v>0</v>
      </c>
      <c r="AQ30" s="35">
        <f>AB30-'Syn prin concurents Nbre'!N31</f>
        <v>0</v>
      </c>
      <c r="AR30" s="35">
        <f>AE30-'Syn prin concurents Nbre'!Q31</f>
        <v>0</v>
      </c>
      <c r="AS30" s="35">
        <f>AF30-'Syn prin concurents Nbre'!R31</f>
        <v>0</v>
      </c>
      <c r="AT30" s="35">
        <f>AI30-'Syn prin concurents Nbre'!U31</f>
        <v>0</v>
      </c>
      <c r="AU30" s="35">
        <f>AJ30-'Syn prin concurents Nbre'!V31</f>
        <v>0</v>
      </c>
    </row>
    <row r="31" spans="1:50" s="35" customFormat="1" x14ac:dyDescent="0.25">
      <c r="A31" s="2"/>
      <c r="B31" s="2"/>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V31" s="29"/>
      <c r="AW31" s="2"/>
      <c r="AX31" s="2"/>
    </row>
    <row r="32" spans="1:50" s="35" customFormat="1" x14ac:dyDescent="0.25">
      <c r="A32" s="2"/>
      <c r="B32" s="2"/>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V32" s="29"/>
      <c r="AW32" s="2"/>
      <c r="AX32" s="2"/>
    </row>
    <row r="33" spans="1:50" s="35" customFormat="1" x14ac:dyDescent="0.25">
      <c r="A33" s="2"/>
      <c r="B33" s="2"/>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V33" s="29"/>
      <c r="AW33" s="2"/>
      <c r="AX33" s="2"/>
    </row>
    <row r="34" spans="1:50" s="35" customFormat="1" x14ac:dyDescent="0.25">
      <c r="A34" s="2"/>
      <c r="B34" s="2"/>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V34" s="29"/>
      <c r="AW34" s="2"/>
      <c r="AX34" s="2"/>
    </row>
    <row r="35" spans="1:50" s="35" customFormat="1" x14ac:dyDescent="0.25">
      <c r="A35" s="2"/>
      <c r="B35" s="2"/>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V35" s="29"/>
      <c r="AW35" s="2"/>
      <c r="AX35" s="2"/>
    </row>
    <row r="36" spans="1:50" s="35" customFormat="1" x14ac:dyDescent="0.25">
      <c r="A36" s="2"/>
      <c r="B36" s="2"/>
      <c r="C36" s="26"/>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V36" s="29"/>
      <c r="AW36" s="2"/>
      <c r="AX36" s="2"/>
    </row>
    <row r="37" spans="1:50" s="35" customFormat="1" x14ac:dyDescent="0.25">
      <c r="A37" s="2"/>
      <c r="B37" s="2"/>
      <c r="C37" s="26"/>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V37" s="29"/>
      <c r="AW37" s="2"/>
      <c r="AX37" s="2"/>
    </row>
    <row r="38" spans="1:50" s="35" customFormat="1" x14ac:dyDescent="0.25">
      <c r="A38" s="2"/>
      <c r="B38" s="2"/>
      <c r="C38" s="26"/>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V38" s="29"/>
      <c r="AW38" s="2"/>
      <c r="AX38" s="2"/>
    </row>
    <row r="39" spans="1:50" s="35" customFormat="1" x14ac:dyDescent="0.25">
      <c r="A39" s="2"/>
      <c r="B39" s="2"/>
      <c r="C39" s="26"/>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V39" s="29"/>
      <c r="AW39" s="2"/>
      <c r="AX39" s="2"/>
    </row>
    <row r="40" spans="1:50" s="35" customFormat="1" x14ac:dyDescent="0.25">
      <c r="A40" s="2"/>
      <c r="B40" s="2"/>
      <c r="C40" s="26"/>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V40" s="29"/>
      <c r="AW40" s="2"/>
      <c r="AX40" s="2"/>
    </row>
    <row r="41" spans="1:50" s="35" customFormat="1" x14ac:dyDescent="0.25">
      <c r="A41" s="2"/>
      <c r="B41" s="2"/>
      <c r="C41" s="26"/>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V41" s="29"/>
      <c r="AW41" s="2"/>
      <c r="AX41" s="2"/>
    </row>
    <row r="42" spans="1:50" s="35" customFormat="1" x14ac:dyDescent="0.25">
      <c r="A42" s="2"/>
      <c r="B42" s="2"/>
      <c r="C42" s="26"/>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V42" s="29"/>
      <c r="AW42" s="2"/>
      <c r="AX42" s="2"/>
    </row>
    <row r="43" spans="1:50" x14ac:dyDescent="0.25">
      <c r="C43" s="26"/>
    </row>
    <row r="44" spans="1:50" x14ac:dyDescent="0.25">
      <c r="C44" s="26"/>
    </row>
  </sheetData>
  <mergeCells count="10">
    <mergeCell ref="A9:AK9"/>
    <mergeCell ref="AA11:AC11"/>
    <mergeCell ref="AE11:AG11"/>
    <mergeCell ref="AI11:AK11"/>
    <mergeCell ref="C11:E11"/>
    <mergeCell ref="G11:I11"/>
    <mergeCell ref="K11:M11"/>
    <mergeCell ref="O11:Q11"/>
    <mergeCell ref="S11:U11"/>
    <mergeCell ref="W11:Y11"/>
  </mergeCells>
  <printOptions horizontalCentered="1"/>
  <pageMargins left="0" right="0" top="0" bottom="0" header="0" footer="0"/>
  <pageSetup paperSize="9" scale="28" fitToHeight="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rgb="FF0070C0"/>
  </sheetPr>
  <dimension ref="B2:AL53"/>
  <sheetViews>
    <sheetView showGridLines="0" view="pageBreakPreview" topLeftCell="A4" zoomScale="60" zoomScaleNormal="60" workbookViewId="0">
      <pane xSplit="2" topLeftCell="C1" activePane="topRight" state="frozen"/>
      <selection activeCell="B50" sqref="B50"/>
      <selection pane="topRight" activeCell="B50" sqref="B50"/>
    </sheetView>
  </sheetViews>
  <sheetFormatPr baseColWidth="10" defaultColWidth="11.453125" defaultRowHeight="12.5" x14ac:dyDescent="0.25"/>
  <cols>
    <col min="1" max="1" width="2.453125" style="56" customWidth="1"/>
    <col min="2" max="2" width="35.7265625" style="56" customWidth="1"/>
    <col min="3" max="3" width="3" style="56" customWidth="1"/>
    <col min="4" max="4" width="1.453125" style="56" customWidth="1"/>
    <col min="5" max="7" width="18.7265625" style="56" customWidth="1"/>
    <col min="8" max="8" width="1.7265625" style="56" customWidth="1"/>
    <col min="9" max="11" width="18.7265625" style="56" customWidth="1"/>
    <col min="12" max="12" width="1.26953125" style="56" hidden="1" customWidth="1"/>
    <col min="13" max="15" width="19.26953125" style="56" hidden="1" customWidth="1"/>
    <col min="16" max="16" width="1.7265625" style="56" hidden="1" customWidth="1"/>
    <col min="17" max="17" width="17.1796875" style="56" hidden="1" customWidth="1"/>
    <col min="18" max="18" width="15.453125" style="56" hidden="1" customWidth="1"/>
    <col min="19" max="19" width="17" style="56" hidden="1" customWidth="1"/>
    <col min="20" max="20" width="1.7265625" style="56" customWidth="1"/>
    <col min="21" max="23" width="18.7265625" style="56" customWidth="1"/>
    <col min="24" max="24" width="2.54296875" style="56" customWidth="1"/>
    <col min="25" max="25" width="14.7265625" style="56" bestFit="1" customWidth="1"/>
    <col min="26" max="26" width="11.453125" style="56"/>
    <col min="27" max="27" width="12.7265625" style="56" bestFit="1" customWidth="1"/>
    <col min="28" max="28" width="12.26953125" style="56" bestFit="1" customWidth="1"/>
    <col min="29" max="32" width="11.453125" style="56"/>
    <col min="33" max="33" width="13.26953125" style="56" bestFit="1" customWidth="1"/>
    <col min="34" max="257" width="11.453125" style="56"/>
    <col min="258" max="258" width="35.7265625" style="56" customWidth="1"/>
    <col min="259" max="259" width="3" style="56" customWidth="1"/>
    <col min="260" max="260" width="1.453125" style="56" customWidth="1"/>
    <col min="261" max="263" width="18.7265625" style="56" customWidth="1"/>
    <col min="264" max="264" width="1.7265625" style="56" customWidth="1"/>
    <col min="265" max="267" width="18.7265625" style="56" customWidth="1"/>
    <col min="268" max="268" width="1.26953125" style="56" customWidth="1"/>
    <col min="269" max="275" width="11.453125" style="56" customWidth="1"/>
    <col min="276" max="276" width="1.7265625" style="56" customWidth="1"/>
    <col min="277" max="279" width="18.7265625" style="56" customWidth="1"/>
    <col min="280" max="280" width="12.54296875" style="56" bestFit="1" customWidth="1"/>
    <col min="281" max="513" width="11.453125" style="56"/>
    <col min="514" max="514" width="35.7265625" style="56" customWidth="1"/>
    <col min="515" max="515" width="3" style="56" customWidth="1"/>
    <col min="516" max="516" width="1.453125" style="56" customWidth="1"/>
    <col min="517" max="519" width="18.7265625" style="56" customWidth="1"/>
    <col min="520" max="520" width="1.7265625" style="56" customWidth="1"/>
    <col min="521" max="523" width="18.7265625" style="56" customWidth="1"/>
    <col min="524" max="524" width="1.26953125" style="56" customWidth="1"/>
    <col min="525" max="531" width="11.453125" style="56" customWidth="1"/>
    <col min="532" max="532" width="1.7265625" style="56" customWidth="1"/>
    <col min="533" max="535" width="18.7265625" style="56" customWidth="1"/>
    <col min="536" max="536" width="12.54296875" style="56" bestFit="1" customWidth="1"/>
    <col min="537" max="769" width="11.453125" style="56"/>
    <col min="770" max="770" width="35.7265625" style="56" customWidth="1"/>
    <col min="771" max="771" width="3" style="56" customWidth="1"/>
    <col min="772" max="772" width="1.453125" style="56" customWidth="1"/>
    <col min="773" max="775" width="18.7265625" style="56" customWidth="1"/>
    <col min="776" max="776" width="1.7265625" style="56" customWidth="1"/>
    <col min="777" max="779" width="18.7265625" style="56" customWidth="1"/>
    <col min="780" max="780" width="1.26953125" style="56" customWidth="1"/>
    <col min="781" max="787" width="11.453125" style="56" customWidth="1"/>
    <col min="788" max="788" width="1.7265625" style="56" customWidth="1"/>
    <col min="789" max="791" width="18.7265625" style="56" customWidth="1"/>
    <col min="792" max="792" width="12.54296875" style="56" bestFit="1" customWidth="1"/>
    <col min="793" max="1025" width="11.453125" style="56"/>
    <col min="1026" max="1026" width="35.7265625" style="56" customWidth="1"/>
    <col min="1027" max="1027" width="3" style="56" customWidth="1"/>
    <col min="1028" max="1028" width="1.453125" style="56" customWidth="1"/>
    <col min="1029" max="1031" width="18.7265625" style="56" customWidth="1"/>
    <col min="1032" max="1032" width="1.7265625" style="56" customWidth="1"/>
    <col min="1033" max="1035" width="18.7265625" style="56" customWidth="1"/>
    <col min="1036" max="1036" width="1.26953125" style="56" customWidth="1"/>
    <col min="1037" max="1043" width="11.453125" style="56" customWidth="1"/>
    <col min="1044" max="1044" width="1.7265625" style="56" customWidth="1"/>
    <col min="1045" max="1047" width="18.7265625" style="56" customWidth="1"/>
    <col min="1048" max="1048" width="12.54296875" style="56" bestFit="1" customWidth="1"/>
    <col min="1049" max="1281" width="11.453125" style="56"/>
    <col min="1282" max="1282" width="35.7265625" style="56" customWidth="1"/>
    <col min="1283" max="1283" width="3" style="56" customWidth="1"/>
    <col min="1284" max="1284" width="1.453125" style="56" customWidth="1"/>
    <col min="1285" max="1287" width="18.7265625" style="56" customWidth="1"/>
    <col min="1288" max="1288" width="1.7265625" style="56" customWidth="1"/>
    <col min="1289" max="1291" width="18.7265625" style="56" customWidth="1"/>
    <col min="1292" max="1292" width="1.26953125" style="56" customWidth="1"/>
    <col min="1293" max="1299" width="11.453125" style="56" customWidth="1"/>
    <col min="1300" max="1300" width="1.7265625" style="56" customWidth="1"/>
    <col min="1301" max="1303" width="18.7265625" style="56" customWidth="1"/>
    <col min="1304" max="1304" width="12.54296875" style="56" bestFit="1" customWidth="1"/>
    <col min="1305" max="1537" width="11.453125" style="56"/>
    <col min="1538" max="1538" width="35.7265625" style="56" customWidth="1"/>
    <col min="1539" max="1539" width="3" style="56" customWidth="1"/>
    <col min="1540" max="1540" width="1.453125" style="56" customWidth="1"/>
    <col min="1541" max="1543" width="18.7265625" style="56" customWidth="1"/>
    <col min="1544" max="1544" width="1.7265625" style="56" customWidth="1"/>
    <col min="1545" max="1547" width="18.7265625" style="56" customWidth="1"/>
    <col min="1548" max="1548" width="1.26953125" style="56" customWidth="1"/>
    <col min="1549" max="1555" width="11.453125" style="56" customWidth="1"/>
    <col min="1556" max="1556" width="1.7265625" style="56" customWidth="1"/>
    <col min="1557" max="1559" width="18.7265625" style="56" customWidth="1"/>
    <col min="1560" max="1560" width="12.54296875" style="56" bestFit="1" customWidth="1"/>
    <col min="1561" max="1793" width="11.453125" style="56"/>
    <col min="1794" max="1794" width="35.7265625" style="56" customWidth="1"/>
    <col min="1795" max="1795" width="3" style="56" customWidth="1"/>
    <col min="1796" max="1796" width="1.453125" style="56" customWidth="1"/>
    <col min="1797" max="1799" width="18.7265625" style="56" customWidth="1"/>
    <col min="1800" max="1800" width="1.7265625" style="56" customWidth="1"/>
    <col min="1801" max="1803" width="18.7265625" style="56" customWidth="1"/>
    <col min="1804" max="1804" width="1.26953125" style="56" customWidth="1"/>
    <col min="1805" max="1811" width="11.453125" style="56" customWidth="1"/>
    <col min="1812" max="1812" width="1.7265625" style="56" customWidth="1"/>
    <col min="1813" max="1815" width="18.7265625" style="56" customWidth="1"/>
    <col min="1816" max="1816" width="12.54296875" style="56" bestFit="1" customWidth="1"/>
    <col min="1817" max="2049" width="11.453125" style="56"/>
    <col min="2050" max="2050" width="35.7265625" style="56" customWidth="1"/>
    <col min="2051" max="2051" width="3" style="56" customWidth="1"/>
    <col min="2052" max="2052" width="1.453125" style="56" customWidth="1"/>
    <col min="2053" max="2055" width="18.7265625" style="56" customWidth="1"/>
    <col min="2056" max="2056" width="1.7265625" style="56" customWidth="1"/>
    <col min="2057" max="2059" width="18.7265625" style="56" customWidth="1"/>
    <col min="2060" max="2060" width="1.26953125" style="56" customWidth="1"/>
    <col min="2061" max="2067" width="11.453125" style="56" customWidth="1"/>
    <col min="2068" max="2068" width="1.7265625" style="56" customWidth="1"/>
    <col min="2069" max="2071" width="18.7265625" style="56" customWidth="1"/>
    <col min="2072" max="2072" width="12.54296875" style="56" bestFit="1" customWidth="1"/>
    <col min="2073" max="2305" width="11.453125" style="56"/>
    <col min="2306" max="2306" width="35.7265625" style="56" customWidth="1"/>
    <col min="2307" max="2307" width="3" style="56" customWidth="1"/>
    <col min="2308" max="2308" width="1.453125" style="56" customWidth="1"/>
    <col min="2309" max="2311" width="18.7265625" style="56" customWidth="1"/>
    <col min="2312" max="2312" width="1.7265625" style="56" customWidth="1"/>
    <col min="2313" max="2315" width="18.7265625" style="56" customWidth="1"/>
    <col min="2316" max="2316" width="1.26953125" style="56" customWidth="1"/>
    <col min="2317" max="2323" width="11.453125" style="56" customWidth="1"/>
    <col min="2324" max="2324" width="1.7265625" style="56" customWidth="1"/>
    <col min="2325" max="2327" width="18.7265625" style="56" customWidth="1"/>
    <col min="2328" max="2328" width="12.54296875" style="56" bestFit="1" customWidth="1"/>
    <col min="2329" max="2561" width="11.453125" style="56"/>
    <col min="2562" max="2562" width="35.7265625" style="56" customWidth="1"/>
    <col min="2563" max="2563" width="3" style="56" customWidth="1"/>
    <col min="2564" max="2564" width="1.453125" style="56" customWidth="1"/>
    <col min="2565" max="2567" width="18.7265625" style="56" customWidth="1"/>
    <col min="2568" max="2568" width="1.7265625" style="56" customWidth="1"/>
    <col min="2569" max="2571" width="18.7265625" style="56" customWidth="1"/>
    <col min="2572" max="2572" width="1.26953125" style="56" customWidth="1"/>
    <col min="2573" max="2579" width="11.453125" style="56" customWidth="1"/>
    <col min="2580" max="2580" width="1.7265625" style="56" customWidth="1"/>
    <col min="2581" max="2583" width="18.7265625" style="56" customWidth="1"/>
    <col min="2584" max="2584" width="12.54296875" style="56" bestFit="1" customWidth="1"/>
    <col min="2585" max="2817" width="11.453125" style="56"/>
    <col min="2818" max="2818" width="35.7265625" style="56" customWidth="1"/>
    <col min="2819" max="2819" width="3" style="56" customWidth="1"/>
    <col min="2820" max="2820" width="1.453125" style="56" customWidth="1"/>
    <col min="2821" max="2823" width="18.7265625" style="56" customWidth="1"/>
    <col min="2824" max="2824" width="1.7265625" style="56" customWidth="1"/>
    <col min="2825" max="2827" width="18.7265625" style="56" customWidth="1"/>
    <col min="2828" max="2828" width="1.26953125" style="56" customWidth="1"/>
    <col min="2829" max="2835" width="11.453125" style="56" customWidth="1"/>
    <col min="2836" max="2836" width="1.7265625" style="56" customWidth="1"/>
    <col min="2837" max="2839" width="18.7265625" style="56" customWidth="1"/>
    <col min="2840" max="2840" width="12.54296875" style="56" bestFit="1" customWidth="1"/>
    <col min="2841" max="3073" width="11.453125" style="56"/>
    <col min="3074" max="3074" width="35.7265625" style="56" customWidth="1"/>
    <col min="3075" max="3075" width="3" style="56" customWidth="1"/>
    <col min="3076" max="3076" width="1.453125" style="56" customWidth="1"/>
    <col min="3077" max="3079" width="18.7265625" style="56" customWidth="1"/>
    <col min="3080" max="3080" width="1.7265625" style="56" customWidth="1"/>
    <col min="3081" max="3083" width="18.7265625" style="56" customWidth="1"/>
    <col min="3084" max="3084" width="1.26953125" style="56" customWidth="1"/>
    <col min="3085" max="3091" width="11.453125" style="56" customWidth="1"/>
    <col min="3092" max="3092" width="1.7265625" style="56" customWidth="1"/>
    <col min="3093" max="3095" width="18.7265625" style="56" customWidth="1"/>
    <col min="3096" max="3096" width="12.54296875" style="56" bestFit="1" customWidth="1"/>
    <col min="3097" max="3329" width="11.453125" style="56"/>
    <col min="3330" max="3330" width="35.7265625" style="56" customWidth="1"/>
    <col min="3331" max="3331" width="3" style="56" customWidth="1"/>
    <col min="3332" max="3332" width="1.453125" style="56" customWidth="1"/>
    <col min="3333" max="3335" width="18.7265625" style="56" customWidth="1"/>
    <col min="3336" max="3336" width="1.7265625" style="56" customWidth="1"/>
    <col min="3337" max="3339" width="18.7265625" style="56" customWidth="1"/>
    <col min="3340" max="3340" width="1.26953125" style="56" customWidth="1"/>
    <col min="3341" max="3347" width="11.453125" style="56" customWidth="1"/>
    <col min="3348" max="3348" width="1.7265625" style="56" customWidth="1"/>
    <col min="3349" max="3351" width="18.7265625" style="56" customWidth="1"/>
    <col min="3352" max="3352" width="12.54296875" style="56" bestFit="1" customWidth="1"/>
    <col min="3353" max="3585" width="11.453125" style="56"/>
    <col min="3586" max="3586" width="35.7265625" style="56" customWidth="1"/>
    <col min="3587" max="3587" width="3" style="56" customWidth="1"/>
    <col min="3588" max="3588" width="1.453125" style="56" customWidth="1"/>
    <col min="3589" max="3591" width="18.7265625" style="56" customWidth="1"/>
    <col min="3592" max="3592" width="1.7265625" style="56" customWidth="1"/>
    <col min="3593" max="3595" width="18.7265625" style="56" customWidth="1"/>
    <col min="3596" max="3596" width="1.26953125" style="56" customWidth="1"/>
    <col min="3597" max="3603" width="11.453125" style="56" customWidth="1"/>
    <col min="3604" max="3604" width="1.7265625" style="56" customWidth="1"/>
    <col min="3605" max="3607" width="18.7265625" style="56" customWidth="1"/>
    <col min="3608" max="3608" width="12.54296875" style="56" bestFit="1" customWidth="1"/>
    <col min="3609" max="3841" width="11.453125" style="56"/>
    <col min="3842" max="3842" width="35.7265625" style="56" customWidth="1"/>
    <col min="3843" max="3843" width="3" style="56" customWidth="1"/>
    <col min="3844" max="3844" width="1.453125" style="56" customWidth="1"/>
    <col min="3845" max="3847" width="18.7265625" style="56" customWidth="1"/>
    <col min="3848" max="3848" width="1.7265625" style="56" customWidth="1"/>
    <col min="3849" max="3851" width="18.7265625" style="56" customWidth="1"/>
    <col min="3852" max="3852" width="1.26953125" style="56" customWidth="1"/>
    <col min="3853" max="3859" width="11.453125" style="56" customWidth="1"/>
    <col min="3860" max="3860" width="1.7265625" style="56" customWidth="1"/>
    <col min="3861" max="3863" width="18.7265625" style="56" customWidth="1"/>
    <col min="3864" max="3864" width="12.54296875" style="56" bestFit="1" customWidth="1"/>
    <col min="3865" max="4097" width="11.453125" style="56"/>
    <col min="4098" max="4098" width="35.7265625" style="56" customWidth="1"/>
    <col min="4099" max="4099" width="3" style="56" customWidth="1"/>
    <col min="4100" max="4100" width="1.453125" style="56" customWidth="1"/>
    <col min="4101" max="4103" width="18.7265625" style="56" customWidth="1"/>
    <col min="4104" max="4104" width="1.7265625" style="56" customWidth="1"/>
    <col min="4105" max="4107" width="18.7265625" style="56" customWidth="1"/>
    <col min="4108" max="4108" width="1.26953125" style="56" customWidth="1"/>
    <col min="4109" max="4115" width="11.453125" style="56" customWidth="1"/>
    <col min="4116" max="4116" width="1.7265625" style="56" customWidth="1"/>
    <col min="4117" max="4119" width="18.7265625" style="56" customWidth="1"/>
    <col min="4120" max="4120" width="12.54296875" style="56" bestFit="1" customWidth="1"/>
    <col min="4121" max="4353" width="11.453125" style="56"/>
    <col min="4354" max="4354" width="35.7265625" style="56" customWidth="1"/>
    <col min="4355" max="4355" width="3" style="56" customWidth="1"/>
    <col min="4356" max="4356" width="1.453125" style="56" customWidth="1"/>
    <col min="4357" max="4359" width="18.7265625" style="56" customWidth="1"/>
    <col min="4360" max="4360" width="1.7265625" style="56" customWidth="1"/>
    <col min="4361" max="4363" width="18.7265625" style="56" customWidth="1"/>
    <col min="4364" max="4364" width="1.26953125" style="56" customWidth="1"/>
    <col min="4365" max="4371" width="11.453125" style="56" customWidth="1"/>
    <col min="4372" max="4372" width="1.7265625" style="56" customWidth="1"/>
    <col min="4373" max="4375" width="18.7265625" style="56" customWidth="1"/>
    <col min="4376" max="4376" width="12.54296875" style="56" bestFit="1" customWidth="1"/>
    <col min="4377" max="4609" width="11.453125" style="56"/>
    <col min="4610" max="4610" width="35.7265625" style="56" customWidth="1"/>
    <col min="4611" max="4611" width="3" style="56" customWidth="1"/>
    <col min="4612" max="4612" width="1.453125" style="56" customWidth="1"/>
    <col min="4613" max="4615" width="18.7265625" style="56" customWidth="1"/>
    <col min="4616" max="4616" width="1.7265625" style="56" customWidth="1"/>
    <col min="4617" max="4619" width="18.7265625" style="56" customWidth="1"/>
    <col min="4620" max="4620" width="1.26953125" style="56" customWidth="1"/>
    <col min="4621" max="4627" width="11.453125" style="56" customWidth="1"/>
    <col min="4628" max="4628" width="1.7265625" style="56" customWidth="1"/>
    <col min="4629" max="4631" width="18.7265625" style="56" customWidth="1"/>
    <col min="4632" max="4632" width="12.54296875" style="56" bestFit="1" customWidth="1"/>
    <col min="4633" max="4865" width="11.453125" style="56"/>
    <col min="4866" max="4866" width="35.7265625" style="56" customWidth="1"/>
    <col min="4867" max="4867" width="3" style="56" customWidth="1"/>
    <col min="4868" max="4868" width="1.453125" style="56" customWidth="1"/>
    <col min="4869" max="4871" width="18.7265625" style="56" customWidth="1"/>
    <col min="4872" max="4872" width="1.7265625" style="56" customWidth="1"/>
    <col min="4873" max="4875" width="18.7265625" style="56" customWidth="1"/>
    <col min="4876" max="4876" width="1.26953125" style="56" customWidth="1"/>
    <col min="4877" max="4883" width="11.453125" style="56" customWidth="1"/>
    <col min="4884" max="4884" width="1.7265625" style="56" customWidth="1"/>
    <col min="4885" max="4887" width="18.7265625" style="56" customWidth="1"/>
    <col min="4888" max="4888" width="12.54296875" style="56" bestFit="1" customWidth="1"/>
    <col min="4889" max="5121" width="11.453125" style="56"/>
    <col min="5122" max="5122" width="35.7265625" style="56" customWidth="1"/>
    <col min="5123" max="5123" width="3" style="56" customWidth="1"/>
    <col min="5124" max="5124" width="1.453125" style="56" customWidth="1"/>
    <col min="5125" max="5127" width="18.7265625" style="56" customWidth="1"/>
    <col min="5128" max="5128" width="1.7265625" style="56" customWidth="1"/>
    <col min="5129" max="5131" width="18.7265625" style="56" customWidth="1"/>
    <col min="5132" max="5132" width="1.26953125" style="56" customWidth="1"/>
    <col min="5133" max="5139" width="11.453125" style="56" customWidth="1"/>
    <col min="5140" max="5140" width="1.7265625" style="56" customWidth="1"/>
    <col min="5141" max="5143" width="18.7265625" style="56" customWidth="1"/>
    <col min="5144" max="5144" width="12.54296875" style="56" bestFit="1" customWidth="1"/>
    <col min="5145" max="5377" width="11.453125" style="56"/>
    <col min="5378" max="5378" width="35.7265625" style="56" customWidth="1"/>
    <col min="5379" max="5379" width="3" style="56" customWidth="1"/>
    <col min="5380" max="5380" width="1.453125" style="56" customWidth="1"/>
    <col min="5381" max="5383" width="18.7265625" style="56" customWidth="1"/>
    <col min="5384" max="5384" width="1.7265625" style="56" customWidth="1"/>
    <col min="5385" max="5387" width="18.7265625" style="56" customWidth="1"/>
    <col min="5388" max="5388" width="1.26953125" style="56" customWidth="1"/>
    <col min="5389" max="5395" width="11.453125" style="56" customWidth="1"/>
    <col min="5396" max="5396" width="1.7265625" style="56" customWidth="1"/>
    <col min="5397" max="5399" width="18.7265625" style="56" customWidth="1"/>
    <col min="5400" max="5400" width="12.54296875" style="56" bestFit="1" customWidth="1"/>
    <col min="5401" max="5633" width="11.453125" style="56"/>
    <col min="5634" max="5634" width="35.7265625" style="56" customWidth="1"/>
    <col min="5635" max="5635" width="3" style="56" customWidth="1"/>
    <col min="5636" max="5636" width="1.453125" style="56" customWidth="1"/>
    <col min="5637" max="5639" width="18.7265625" style="56" customWidth="1"/>
    <col min="5640" max="5640" width="1.7265625" style="56" customWidth="1"/>
    <col min="5641" max="5643" width="18.7265625" style="56" customWidth="1"/>
    <col min="5644" max="5644" width="1.26953125" style="56" customWidth="1"/>
    <col min="5645" max="5651" width="11.453125" style="56" customWidth="1"/>
    <col min="5652" max="5652" width="1.7265625" style="56" customWidth="1"/>
    <col min="5653" max="5655" width="18.7265625" style="56" customWidth="1"/>
    <col min="5656" max="5656" width="12.54296875" style="56" bestFit="1" customWidth="1"/>
    <col min="5657" max="5889" width="11.453125" style="56"/>
    <col min="5890" max="5890" width="35.7265625" style="56" customWidth="1"/>
    <col min="5891" max="5891" width="3" style="56" customWidth="1"/>
    <col min="5892" max="5892" width="1.453125" style="56" customWidth="1"/>
    <col min="5893" max="5895" width="18.7265625" style="56" customWidth="1"/>
    <col min="5896" max="5896" width="1.7265625" style="56" customWidth="1"/>
    <col min="5897" max="5899" width="18.7265625" style="56" customWidth="1"/>
    <col min="5900" max="5900" width="1.26953125" style="56" customWidth="1"/>
    <col min="5901" max="5907" width="11.453125" style="56" customWidth="1"/>
    <col min="5908" max="5908" width="1.7265625" style="56" customWidth="1"/>
    <col min="5909" max="5911" width="18.7265625" style="56" customWidth="1"/>
    <col min="5912" max="5912" width="12.54296875" style="56" bestFit="1" customWidth="1"/>
    <col min="5913" max="6145" width="11.453125" style="56"/>
    <col min="6146" max="6146" width="35.7265625" style="56" customWidth="1"/>
    <col min="6147" max="6147" width="3" style="56" customWidth="1"/>
    <col min="6148" max="6148" width="1.453125" style="56" customWidth="1"/>
    <col min="6149" max="6151" width="18.7265625" style="56" customWidth="1"/>
    <col min="6152" max="6152" width="1.7265625" style="56" customWidth="1"/>
    <col min="6153" max="6155" width="18.7265625" style="56" customWidth="1"/>
    <col min="6156" max="6156" width="1.26953125" style="56" customWidth="1"/>
    <col min="6157" max="6163" width="11.453125" style="56" customWidth="1"/>
    <col min="6164" max="6164" width="1.7265625" style="56" customWidth="1"/>
    <col min="6165" max="6167" width="18.7265625" style="56" customWidth="1"/>
    <col min="6168" max="6168" width="12.54296875" style="56" bestFit="1" customWidth="1"/>
    <col min="6169" max="6401" width="11.453125" style="56"/>
    <col min="6402" max="6402" width="35.7265625" style="56" customWidth="1"/>
    <col min="6403" max="6403" width="3" style="56" customWidth="1"/>
    <col min="6404" max="6404" width="1.453125" style="56" customWidth="1"/>
    <col min="6405" max="6407" width="18.7265625" style="56" customWidth="1"/>
    <col min="6408" max="6408" width="1.7265625" style="56" customWidth="1"/>
    <col min="6409" max="6411" width="18.7265625" style="56" customWidth="1"/>
    <col min="6412" max="6412" width="1.26953125" style="56" customWidth="1"/>
    <col min="6413" max="6419" width="11.453125" style="56" customWidth="1"/>
    <col min="6420" max="6420" width="1.7265625" style="56" customWidth="1"/>
    <col min="6421" max="6423" width="18.7265625" style="56" customWidth="1"/>
    <col min="6424" max="6424" width="12.54296875" style="56" bestFit="1" customWidth="1"/>
    <col min="6425" max="6657" width="11.453125" style="56"/>
    <col min="6658" max="6658" width="35.7265625" style="56" customWidth="1"/>
    <col min="6659" max="6659" width="3" style="56" customWidth="1"/>
    <col min="6660" max="6660" width="1.453125" style="56" customWidth="1"/>
    <col min="6661" max="6663" width="18.7265625" style="56" customWidth="1"/>
    <col min="6664" max="6664" width="1.7265625" style="56" customWidth="1"/>
    <col min="6665" max="6667" width="18.7265625" style="56" customWidth="1"/>
    <col min="6668" max="6668" width="1.26953125" style="56" customWidth="1"/>
    <col min="6669" max="6675" width="11.453125" style="56" customWidth="1"/>
    <col min="6676" max="6676" width="1.7265625" style="56" customWidth="1"/>
    <col min="6677" max="6679" width="18.7265625" style="56" customWidth="1"/>
    <col min="6680" max="6680" width="12.54296875" style="56" bestFit="1" customWidth="1"/>
    <col min="6681" max="6913" width="11.453125" style="56"/>
    <col min="6914" max="6914" width="35.7265625" style="56" customWidth="1"/>
    <col min="6915" max="6915" width="3" style="56" customWidth="1"/>
    <col min="6916" max="6916" width="1.453125" style="56" customWidth="1"/>
    <col min="6917" max="6919" width="18.7265625" style="56" customWidth="1"/>
    <col min="6920" max="6920" width="1.7265625" style="56" customWidth="1"/>
    <col min="6921" max="6923" width="18.7265625" style="56" customWidth="1"/>
    <col min="6924" max="6924" width="1.26953125" style="56" customWidth="1"/>
    <col min="6925" max="6931" width="11.453125" style="56" customWidth="1"/>
    <col min="6932" max="6932" width="1.7265625" style="56" customWidth="1"/>
    <col min="6933" max="6935" width="18.7265625" style="56" customWidth="1"/>
    <col min="6936" max="6936" width="12.54296875" style="56" bestFit="1" customWidth="1"/>
    <col min="6937" max="7169" width="11.453125" style="56"/>
    <col min="7170" max="7170" width="35.7265625" style="56" customWidth="1"/>
    <col min="7171" max="7171" width="3" style="56" customWidth="1"/>
    <col min="7172" max="7172" width="1.453125" style="56" customWidth="1"/>
    <col min="7173" max="7175" width="18.7265625" style="56" customWidth="1"/>
    <col min="7176" max="7176" width="1.7265625" style="56" customWidth="1"/>
    <col min="7177" max="7179" width="18.7265625" style="56" customWidth="1"/>
    <col min="7180" max="7180" width="1.26953125" style="56" customWidth="1"/>
    <col min="7181" max="7187" width="11.453125" style="56" customWidth="1"/>
    <col min="7188" max="7188" width="1.7265625" style="56" customWidth="1"/>
    <col min="7189" max="7191" width="18.7265625" style="56" customWidth="1"/>
    <col min="7192" max="7192" width="12.54296875" style="56" bestFit="1" customWidth="1"/>
    <col min="7193" max="7425" width="11.453125" style="56"/>
    <col min="7426" max="7426" width="35.7265625" style="56" customWidth="1"/>
    <col min="7427" max="7427" width="3" style="56" customWidth="1"/>
    <col min="7428" max="7428" width="1.453125" style="56" customWidth="1"/>
    <col min="7429" max="7431" width="18.7265625" style="56" customWidth="1"/>
    <col min="7432" max="7432" width="1.7265625" style="56" customWidth="1"/>
    <col min="7433" max="7435" width="18.7265625" style="56" customWidth="1"/>
    <col min="7436" max="7436" width="1.26953125" style="56" customWidth="1"/>
    <col min="7437" max="7443" width="11.453125" style="56" customWidth="1"/>
    <col min="7444" max="7444" width="1.7265625" style="56" customWidth="1"/>
    <col min="7445" max="7447" width="18.7265625" style="56" customWidth="1"/>
    <col min="7448" max="7448" width="12.54296875" style="56" bestFit="1" customWidth="1"/>
    <col min="7449" max="7681" width="11.453125" style="56"/>
    <col min="7682" max="7682" width="35.7265625" style="56" customWidth="1"/>
    <col min="7683" max="7683" width="3" style="56" customWidth="1"/>
    <col min="7684" max="7684" width="1.453125" style="56" customWidth="1"/>
    <col min="7685" max="7687" width="18.7265625" style="56" customWidth="1"/>
    <col min="7688" max="7688" width="1.7265625" style="56" customWidth="1"/>
    <col min="7689" max="7691" width="18.7265625" style="56" customWidth="1"/>
    <col min="7692" max="7692" width="1.26953125" style="56" customWidth="1"/>
    <col min="7693" max="7699" width="11.453125" style="56" customWidth="1"/>
    <col min="7700" max="7700" width="1.7265625" style="56" customWidth="1"/>
    <col min="7701" max="7703" width="18.7265625" style="56" customWidth="1"/>
    <col min="7704" max="7704" width="12.54296875" style="56" bestFit="1" customWidth="1"/>
    <col min="7705" max="7937" width="11.453125" style="56"/>
    <col min="7938" max="7938" width="35.7265625" style="56" customWidth="1"/>
    <col min="7939" max="7939" width="3" style="56" customWidth="1"/>
    <col min="7940" max="7940" width="1.453125" style="56" customWidth="1"/>
    <col min="7941" max="7943" width="18.7265625" style="56" customWidth="1"/>
    <col min="7944" max="7944" width="1.7265625" style="56" customWidth="1"/>
    <col min="7945" max="7947" width="18.7265625" style="56" customWidth="1"/>
    <col min="7948" max="7948" width="1.26953125" style="56" customWidth="1"/>
    <col min="7949" max="7955" width="11.453125" style="56" customWidth="1"/>
    <col min="7956" max="7956" width="1.7265625" style="56" customWidth="1"/>
    <col min="7957" max="7959" width="18.7265625" style="56" customWidth="1"/>
    <col min="7960" max="7960" width="12.54296875" style="56" bestFit="1" customWidth="1"/>
    <col min="7961" max="8193" width="11.453125" style="56"/>
    <col min="8194" max="8194" width="35.7265625" style="56" customWidth="1"/>
    <col min="8195" max="8195" width="3" style="56" customWidth="1"/>
    <col min="8196" max="8196" width="1.453125" style="56" customWidth="1"/>
    <col min="8197" max="8199" width="18.7265625" style="56" customWidth="1"/>
    <col min="8200" max="8200" width="1.7265625" style="56" customWidth="1"/>
    <col min="8201" max="8203" width="18.7265625" style="56" customWidth="1"/>
    <col min="8204" max="8204" width="1.26953125" style="56" customWidth="1"/>
    <col min="8205" max="8211" width="11.453125" style="56" customWidth="1"/>
    <col min="8212" max="8212" width="1.7265625" style="56" customWidth="1"/>
    <col min="8213" max="8215" width="18.7265625" style="56" customWidth="1"/>
    <col min="8216" max="8216" width="12.54296875" style="56" bestFit="1" customWidth="1"/>
    <col min="8217" max="8449" width="11.453125" style="56"/>
    <col min="8450" max="8450" width="35.7265625" style="56" customWidth="1"/>
    <col min="8451" max="8451" width="3" style="56" customWidth="1"/>
    <col min="8452" max="8452" width="1.453125" style="56" customWidth="1"/>
    <col min="8453" max="8455" width="18.7265625" style="56" customWidth="1"/>
    <col min="8456" max="8456" width="1.7265625" style="56" customWidth="1"/>
    <col min="8457" max="8459" width="18.7265625" style="56" customWidth="1"/>
    <col min="8460" max="8460" width="1.26953125" style="56" customWidth="1"/>
    <col min="8461" max="8467" width="11.453125" style="56" customWidth="1"/>
    <col min="8468" max="8468" width="1.7265625" style="56" customWidth="1"/>
    <col min="8469" max="8471" width="18.7265625" style="56" customWidth="1"/>
    <col min="8472" max="8472" width="12.54296875" style="56" bestFit="1" customWidth="1"/>
    <col min="8473" max="8705" width="11.453125" style="56"/>
    <col min="8706" max="8706" width="35.7265625" style="56" customWidth="1"/>
    <col min="8707" max="8707" width="3" style="56" customWidth="1"/>
    <col min="8708" max="8708" width="1.453125" style="56" customWidth="1"/>
    <col min="8709" max="8711" width="18.7265625" style="56" customWidth="1"/>
    <col min="8712" max="8712" width="1.7265625" style="56" customWidth="1"/>
    <col min="8713" max="8715" width="18.7265625" style="56" customWidth="1"/>
    <col min="8716" max="8716" width="1.26953125" style="56" customWidth="1"/>
    <col min="8717" max="8723" width="11.453125" style="56" customWidth="1"/>
    <col min="8724" max="8724" width="1.7265625" style="56" customWidth="1"/>
    <col min="8725" max="8727" width="18.7265625" style="56" customWidth="1"/>
    <col min="8728" max="8728" width="12.54296875" style="56" bestFit="1" customWidth="1"/>
    <col min="8729" max="8961" width="11.453125" style="56"/>
    <col min="8962" max="8962" width="35.7265625" style="56" customWidth="1"/>
    <col min="8963" max="8963" width="3" style="56" customWidth="1"/>
    <col min="8964" max="8964" width="1.453125" style="56" customWidth="1"/>
    <col min="8965" max="8967" width="18.7265625" style="56" customWidth="1"/>
    <col min="8968" max="8968" width="1.7265625" style="56" customWidth="1"/>
    <col min="8969" max="8971" width="18.7265625" style="56" customWidth="1"/>
    <col min="8972" max="8972" width="1.26953125" style="56" customWidth="1"/>
    <col min="8973" max="8979" width="11.453125" style="56" customWidth="1"/>
    <col min="8980" max="8980" width="1.7265625" style="56" customWidth="1"/>
    <col min="8981" max="8983" width="18.7265625" style="56" customWidth="1"/>
    <col min="8984" max="8984" width="12.54296875" style="56" bestFit="1" customWidth="1"/>
    <col min="8985" max="9217" width="11.453125" style="56"/>
    <col min="9218" max="9218" width="35.7265625" style="56" customWidth="1"/>
    <col min="9219" max="9219" width="3" style="56" customWidth="1"/>
    <col min="9220" max="9220" width="1.453125" style="56" customWidth="1"/>
    <col min="9221" max="9223" width="18.7265625" style="56" customWidth="1"/>
    <col min="9224" max="9224" width="1.7265625" style="56" customWidth="1"/>
    <col min="9225" max="9227" width="18.7265625" style="56" customWidth="1"/>
    <col min="9228" max="9228" width="1.26953125" style="56" customWidth="1"/>
    <col min="9229" max="9235" width="11.453125" style="56" customWidth="1"/>
    <col min="9236" max="9236" width="1.7265625" style="56" customWidth="1"/>
    <col min="9237" max="9239" width="18.7265625" style="56" customWidth="1"/>
    <col min="9240" max="9240" width="12.54296875" style="56" bestFit="1" customWidth="1"/>
    <col min="9241" max="9473" width="11.453125" style="56"/>
    <col min="9474" max="9474" width="35.7265625" style="56" customWidth="1"/>
    <col min="9475" max="9475" width="3" style="56" customWidth="1"/>
    <col min="9476" max="9476" width="1.453125" style="56" customWidth="1"/>
    <col min="9477" max="9479" width="18.7265625" style="56" customWidth="1"/>
    <col min="9480" max="9480" width="1.7265625" style="56" customWidth="1"/>
    <col min="9481" max="9483" width="18.7265625" style="56" customWidth="1"/>
    <col min="9484" max="9484" width="1.26953125" style="56" customWidth="1"/>
    <col min="9485" max="9491" width="11.453125" style="56" customWidth="1"/>
    <col min="9492" max="9492" width="1.7265625" style="56" customWidth="1"/>
    <col min="9493" max="9495" width="18.7265625" style="56" customWidth="1"/>
    <col min="9496" max="9496" width="12.54296875" style="56" bestFit="1" customWidth="1"/>
    <col min="9497" max="9729" width="11.453125" style="56"/>
    <col min="9730" max="9730" width="35.7265625" style="56" customWidth="1"/>
    <col min="9731" max="9731" width="3" style="56" customWidth="1"/>
    <col min="9732" max="9732" width="1.453125" style="56" customWidth="1"/>
    <col min="9733" max="9735" width="18.7265625" style="56" customWidth="1"/>
    <col min="9736" max="9736" width="1.7265625" style="56" customWidth="1"/>
    <col min="9737" max="9739" width="18.7265625" style="56" customWidth="1"/>
    <col min="9740" max="9740" width="1.26953125" style="56" customWidth="1"/>
    <col min="9741" max="9747" width="11.453125" style="56" customWidth="1"/>
    <col min="9748" max="9748" width="1.7265625" style="56" customWidth="1"/>
    <col min="9749" max="9751" width="18.7265625" style="56" customWidth="1"/>
    <col min="9752" max="9752" width="12.54296875" style="56" bestFit="1" customWidth="1"/>
    <col min="9753" max="9985" width="11.453125" style="56"/>
    <col min="9986" max="9986" width="35.7265625" style="56" customWidth="1"/>
    <col min="9987" max="9987" width="3" style="56" customWidth="1"/>
    <col min="9988" max="9988" width="1.453125" style="56" customWidth="1"/>
    <col min="9989" max="9991" width="18.7265625" style="56" customWidth="1"/>
    <col min="9992" max="9992" width="1.7265625" style="56" customWidth="1"/>
    <col min="9993" max="9995" width="18.7265625" style="56" customWidth="1"/>
    <col min="9996" max="9996" width="1.26953125" style="56" customWidth="1"/>
    <col min="9997" max="10003" width="11.453125" style="56" customWidth="1"/>
    <col min="10004" max="10004" width="1.7265625" style="56" customWidth="1"/>
    <col min="10005" max="10007" width="18.7265625" style="56" customWidth="1"/>
    <col min="10008" max="10008" width="12.54296875" style="56" bestFit="1" customWidth="1"/>
    <col min="10009" max="10241" width="11.453125" style="56"/>
    <col min="10242" max="10242" width="35.7265625" style="56" customWidth="1"/>
    <col min="10243" max="10243" width="3" style="56" customWidth="1"/>
    <col min="10244" max="10244" width="1.453125" style="56" customWidth="1"/>
    <col min="10245" max="10247" width="18.7265625" style="56" customWidth="1"/>
    <col min="10248" max="10248" width="1.7265625" style="56" customWidth="1"/>
    <col min="10249" max="10251" width="18.7265625" style="56" customWidth="1"/>
    <col min="10252" max="10252" width="1.26953125" style="56" customWidth="1"/>
    <col min="10253" max="10259" width="11.453125" style="56" customWidth="1"/>
    <col min="10260" max="10260" width="1.7265625" style="56" customWidth="1"/>
    <col min="10261" max="10263" width="18.7265625" style="56" customWidth="1"/>
    <col min="10264" max="10264" width="12.54296875" style="56" bestFit="1" customWidth="1"/>
    <col min="10265" max="10497" width="11.453125" style="56"/>
    <col min="10498" max="10498" width="35.7265625" style="56" customWidth="1"/>
    <col min="10499" max="10499" width="3" style="56" customWidth="1"/>
    <col min="10500" max="10500" width="1.453125" style="56" customWidth="1"/>
    <col min="10501" max="10503" width="18.7265625" style="56" customWidth="1"/>
    <col min="10504" max="10504" width="1.7265625" style="56" customWidth="1"/>
    <col min="10505" max="10507" width="18.7265625" style="56" customWidth="1"/>
    <col min="10508" max="10508" width="1.26953125" style="56" customWidth="1"/>
    <col min="10509" max="10515" width="11.453125" style="56" customWidth="1"/>
    <col min="10516" max="10516" width="1.7265625" style="56" customWidth="1"/>
    <col min="10517" max="10519" width="18.7265625" style="56" customWidth="1"/>
    <col min="10520" max="10520" width="12.54296875" style="56" bestFit="1" customWidth="1"/>
    <col min="10521" max="10753" width="11.453125" style="56"/>
    <col min="10754" max="10754" width="35.7265625" style="56" customWidth="1"/>
    <col min="10755" max="10755" width="3" style="56" customWidth="1"/>
    <col min="10756" max="10756" width="1.453125" style="56" customWidth="1"/>
    <col min="10757" max="10759" width="18.7265625" style="56" customWidth="1"/>
    <col min="10760" max="10760" width="1.7265625" style="56" customWidth="1"/>
    <col min="10761" max="10763" width="18.7265625" style="56" customWidth="1"/>
    <col min="10764" max="10764" width="1.26953125" style="56" customWidth="1"/>
    <col min="10765" max="10771" width="11.453125" style="56" customWidth="1"/>
    <col min="10772" max="10772" width="1.7265625" style="56" customWidth="1"/>
    <col min="10773" max="10775" width="18.7265625" style="56" customWidth="1"/>
    <col min="10776" max="10776" width="12.54296875" style="56" bestFit="1" customWidth="1"/>
    <col min="10777" max="11009" width="11.453125" style="56"/>
    <col min="11010" max="11010" width="35.7265625" style="56" customWidth="1"/>
    <col min="11011" max="11011" width="3" style="56" customWidth="1"/>
    <col min="11012" max="11012" width="1.453125" style="56" customWidth="1"/>
    <col min="11013" max="11015" width="18.7265625" style="56" customWidth="1"/>
    <col min="11016" max="11016" width="1.7265625" style="56" customWidth="1"/>
    <col min="11017" max="11019" width="18.7265625" style="56" customWidth="1"/>
    <col min="11020" max="11020" width="1.26953125" style="56" customWidth="1"/>
    <col min="11021" max="11027" width="11.453125" style="56" customWidth="1"/>
    <col min="11028" max="11028" width="1.7265625" style="56" customWidth="1"/>
    <col min="11029" max="11031" width="18.7265625" style="56" customWidth="1"/>
    <col min="11032" max="11032" width="12.54296875" style="56" bestFit="1" customWidth="1"/>
    <col min="11033" max="11265" width="11.453125" style="56"/>
    <col min="11266" max="11266" width="35.7265625" style="56" customWidth="1"/>
    <col min="11267" max="11267" width="3" style="56" customWidth="1"/>
    <col min="11268" max="11268" width="1.453125" style="56" customWidth="1"/>
    <col min="11269" max="11271" width="18.7265625" style="56" customWidth="1"/>
    <col min="11272" max="11272" width="1.7265625" style="56" customWidth="1"/>
    <col min="11273" max="11275" width="18.7265625" style="56" customWidth="1"/>
    <col min="11276" max="11276" width="1.26953125" style="56" customWidth="1"/>
    <col min="11277" max="11283" width="11.453125" style="56" customWidth="1"/>
    <col min="11284" max="11284" width="1.7265625" style="56" customWidth="1"/>
    <col min="11285" max="11287" width="18.7265625" style="56" customWidth="1"/>
    <col min="11288" max="11288" width="12.54296875" style="56" bestFit="1" customWidth="1"/>
    <col min="11289" max="11521" width="11.453125" style="56"/>
    <col min="11522" max="11522" width="35.7265625" style="56" customWidth="1"/>
    <col min="11523" max="11523" width="3" style="56" customWidth="1"/>
    <col min="11524" max="11524" width="1.453125" style="56" customWidth="1"/>
    <col min="11525" max="11527" width="18.7265625" style="56" customWidth="1"/>
    <col min="11528" max="11528" width="1.7265625" style="56" customWidth="1"/>
    <col min="11529" max="11531" width="18.7265625" style="56" customWidth="1"/>
    <col min="11532" max="11532" width="1.26953125" style="56" customWidth="1"/>
    <col min="11533" max="11539" width="11.453125" style="56" customWidth="1"/>
    <col min="11540" max="11540" width="1.7265625" style="56" customWidth="1"/>
    <col min="11541" max="11543" width="18.7265625" style="56" customWidth="1"/>
    <col min="11544" max="11544" width="12.54296875" style="56" bestFit="1" customWidth="1"/>
    <col min="11545" max="11777" width="11.453125" style="56"/>
    <col min="11778" max="11778" width="35.7265625" style="56" customWidth="1"/>
    <col min="11779" max="11779" width="3" style="56" customWidth="1"/>
    <col min="11780" max="11780" width="1.453125" style="56" customWidth="1"/>
    <col min="11781" max="11783" width="18.7265625" style="56" customWidth="1"/>
    <col min="11784" max="11784" width="1.7265625" style="56" customWidth="1"/>
    <col min="11785" max="11787" width="18.7265625" style="56" customWidth="1"/>
    <col min="11788" max="11788" width="1.26953125" style="56" customWidth="1"/>
    <col min="11789" max="11795" width="11.453125" style="56" customWidth="1"/>
    <col min="11796" max="11796" width="1.7265625" style="56" customWidth="1"/>
    <col min="11797" max="11799" width="18.7265625" style="56" customWidth="1"/>
    <col min="11800" max="11800" width="12.54296875" style="56" bestFit="1" customWidth="1"/>
    <col min="11801" max="12033" width="11.453125" style="56"/>
    <col min="12034" max="12034" width="35.7265625" style="56" customWidth="1"/>
    <col min="12035" max="12035" width="3" style="56" customWidth="1"/>
    <col min="12036" max="12036" width="1.453125" style="56" customWidth="1"/>
    <col min="12037" max="12039" width="18.7265625" style="56" customWidth="1"/>
    <col min="12040" max="12040" width="1.7265625" style="56" customWidth="1"/>
    <col min="12041" max="12043" width="18.7265625" style="56" customWidth="1"/>
    <col min="12044" max="12044" width="1.26953125" style="56" customWidth="1"/>
    <col min="12045" max="12051" width="11.453125" style="56" customWidth="1"/>
    <col min="12052" max="12052" width="1.7265625" style="56" customWidth="1"/>
    <col min="12053" max="12055" width="18.7265625" style="56" customWidth="1"/>
    <col min="12056" max="12056" width="12.54296875" style="56" bestFit="1" customWidth="1"/>
    <col min="12057" max="12289" width="11.453125" style="56"/>
    <col min="12290" max="12290" width="35.7265625" style="56" customWidth="1"/>
    <col min="12291" max="12291" width="3" style="56" customWidth="1"/>
    <col min="12292" max="12292" width="1.453125" style="56" customWidth="1"/>
    <col min="12293" max="12295" width="18.7265625" style="56" customWidth="1"/>
    <col min="12296" max="12296" width="1.7265625" style="56" customWidth="1"/>
    <col min="12297" max="12299" width="18.7265625" style="56" customWidth="1"/>
    <col min="12300" max="12300" width="1.26953125" style="56" customWidth="1"/>
    <col min="12301" max="12307" width="11.453125" style="56" customWidth="1"/>
    <col min="12308" max="12308" width="1.7265625" style="56" customWidth="1"/>
    <col min="12309" max="12311" width="18.7265625" style="56" customWidth="1"/>
    <col min="12312" max="12312" width="12.54296875" style="56" bestFit="1" customWidth="1"/>
    <col min="12313" max="12545" width="11.453125" style="56"/>
    <col min="12546" max="12546" width="35.7265625" style="56" customWidth="1"/>
    <col min="12547" max="12547" width="3" style="56" customWidth="1"/>
    <col min="12548" max="12548" width="1.453125" style="56" customWidth="1"/>
    <col min="12549" max="12551" width="18.7265625" style="56" customWidth="1"/>
    <col min="12552" max="12552" width="1.7265625" style="56" customWidth="1"/>
    <col min="12553" max="12555" width="18.7265625" style="56" customWidth="1"/>
    <col min="12556" max="12556" width="1.26953125" style="56" customWidth="1"/>
    <col min="12557" max="12563" width="11.453125" style="56" customWidth="1"/>
    <col min="12564" max="12564" width="1.7265625" style="56" customWidth="1"/>
    <col min="12565" max="12567" width="18.7265625" style="56" customWidth="1"/>
    <col min="12568" max="12568" width="12.54296875" style="56" bestFit="1" customWidth="1"/>
    <col min="12569" max="12801" width="11.453125" style="56"/>
    <col min="12802" max="12802" width="35.7265625" style="56" customWidth="1"/>
    <col min="12803" max="12803" width="3" style="56" customWidth="1"/>
    <col min="12804" max="12804" width="1.453125" style="56" customWidth="1"/>
    <col min="12805" max="12807" width="18.7265625" style="56" customWidth="1"/>
    <col min="12808" max="12808" width="1.7265625" style="56" customWidth="1"/>
    <col min="12809" max="12811" width="18.7265625" style="56" customWidth="1"/>
    <col min="12812" max="12812" width="1.26953125" style="56" customWidth="1"/>
    <col min="12813" max="12819" width="11.453125" style="56" customWidth="1"/>
    <col min="12820" max="12820" width="1.7265625" style="56" customWidth="1"/>
    <col min="12821" max="12823" width="18.7265625" style="56" customWidth="1"/>
    <col min="12824" max="12824" width="12.54296875" style="56" bestFit="1" customWidth="1"/>
    <col min="12825" max="13057" width="11.453125" style="56"/>
    <col min="13058" max="13058" width="35.7265625" style="56" customWidth="1"/>
    <col min="13059" max="13059" width="3" style="56" customWidth="1"/>
    <col min="13060" max="13060" width="1.453125" style="56" customWidth="1"/>
    <col min="13061" max="13063" width="18.7265625" style="56" customWidth="1"/>
    <col min="13064" max="13064" width="1.7265625" style="56" customWidth="1"/>
    <col min="13065" max="13067" width="18.7265625" style="56" customWidth="1"/>
    <col min="13068" max="13068" width="1.26953125" style="56" customWidth="1"/>
    <col min="13069" max="13075" width="11.453125" style="56" customWidth="1"/>
    <col min="13076" max="13076" width="1.7265625" style="56" customWidth="1"/>
    <col min="13077" max="13079" width="18.7265625" style="56" customWidth="1"/>
    <col min="13080" max="13080" width="12.54296875" style="56" bestFit="1" customWidth="1"/>
    <col min="13081" max="13313" width="11.453125" style="56"/>
    <col min="13314" max="13314" width="35.7265625" style="56" customWidth="1"/>
    <col min="13315" max="13315" width="3" style="56" customWidth="1"/>
    <col min="13316" max="13316" width="1.453125" style="56" customWidth="1"/>
    <col min="13317" max="13319" width="18.7265625" style="56" customWidth="1"/>
    <col min="13320" max="13320" width="1.7265625" style="56" customWidth="1"/>
    <col min="13321" max="13323" width="18.7265625" style="56" customWidth="1"/>
    <col min="13324" max="13324" width="1.26953125" style="56" customWidth="1"/>
    <col min="13325" max="13331" width="11.453125" style="56" customWidth="1"/>
    <col min="13332" max="13332" width="1.7265625" style="56" customWidth="1"/>
    <col min="13333" max="13335" width="18.7265625" style="56" customWidth="1"/>
    <col min="13336" max="13336" width="12.54296875" style="56" bestFit="1" customWidth="1"/>
    <col min="13337" max="13569" width="11.453125" style="56"/>
    <col min="13570" max="13570" width="35.7265625" style="56" customWidth="1"/>
    <col min="13571" max="13571" width="3" style="56" customWidth="1"/>
    <col min="13572" max="13572" width="1.453125" style="56" customWidth="1"/>
    <col min="13573" max="13575" width="18.7265625" style="56" customWidth="1"/>
    <col min="13576" max="13576" width="1.7265625" style="56" customWidth="1"/>
    <col min="13577" max="13579" width="18.7265625" style="56" customWidth="1"/>
    <col min="13580" max="13580" width="1.26953125" style="56" customWidth="1"/>
    <col min="13581" max="13587" width="11.453125" style="56" customWidth="1"/>
    <col min="13588" max="13588" width="1.7265625" style="56" customWidth="1"/>
    <col min="13589" max="13591" width="18.7265625" style="56" customWidth="1"/>
    <col min="13592" max="13592" width="12.54296875" style="56" bestFit="1" customWidth="1"/>
    <col min="13593" max="13825" width="11.453125" style="56"/>
    <col min="13826" max="13826" width="35.7265625" style="56" customWidth="1"/>
    <col min="13827" max="13827" width="3" style="56" customWidth="1"/>
    <col min="13828" max="13828" width="1.453125" style="56" customWidth="1"/>
    <col min="13829" max="13831" width="18.7265625" style="56" customWidth="1"/>
    <col min="13832" max="13832" width="1.7265625" style="56" customWidth="1"/>
    <col min="13833" max="13835" width="18.7265625" style="56" customWidth="1"/>
    <col min="13836" max="13836" width="1.26953125" style="56" customWidth="1"/>
    <col min="13837" max="13843" width="11.453125" style="56" customWidth="1"/>
    <col min="13844" max="13844" width="1.7265625" style="56" customWidth="1"/>
    <col min="13845" max="13847" width="18.7265625" style="56" customWidth="1"/>
    <col min="13848" max="13848" width="12.54296875" style="56" bestFit="1" customWidth="1"/>
    <col min="13849" max="14081" width="11.453125" style="56"/>
    <col min="14082" max="14082" width="35.7265625" style="56" customWidth="1"/>
    <col min="14083" max="14083" width="3" style="56" customWidth="1"/>
    <col min="14084" max="14084" width="1.453125" style="56" customWidth="1"/>
    <col min="14085" max="14087" width="18.7265625" style="56" customWidth="1"/>
    <col min="14088" max="14088" width="1.7265625" style="56" customWidth="1"/>
    <col min="14089" max="14091" width="18.7265625" style="56" customWidth="1"/>
    <col min="14092" max="14092" width="1.26953125" style="56" customWidth="1"/>
    <col min="14093" max="14099" width="11.453125" style="56" customWidth="1"/>
    <col min="14100" max="14100" width="1.7265625" style="56" customWidth="1"/>
    <col min="14101" max="14103" width="18.7265625" style="56" customWidth="1"/>
    <col min="14104" max="14104" width="12.54296875" style="56" bestFit="1" customWidth="1"/>
    <col min="14105" max="14337" width="11.453125" style="56"/>
    <col min="14338" max="14338" width="35.7265625" style="56" customWidth="1"/>
    <col min="14339" max="14339" width="3" style="56" customWidth="1"/>
    <col min="14340" max="14340" width="1.453125" style="56" customWidth="1"/>
    <col min="14341" max="14343" width="18.7265625" style="56" customWidth="1"/>
    <col min="14344" max="14344" width="1.7265625" style="56" customWidth="1"/>
    <col min="14345" max="14347" width="18.7265625" style="56" customWidth="1"/>
    <col min="14348" max="14348" width="1.26953125" style="56" customWidth="1"/>
    <col min="14349" max="14355" width="11.453125" style="56" customWidth="1"/>
    <col min="14356" max="14356" width="1.7265625" style="56" customWidth="1"/>
    <col min="14357" max="14359" width="18.7265625" style="56" customWidth="1"/>
    <col min="14360" max="14360" width="12.54296875" style="56" bestFit="1" customWidth="1"/>
    <col min="14361" max="14593" width="11.453125" style="56"/>
    <col min="14594" max="14594" width="35.7265625" style="56" customWidth="1"/>
    <col min="14595" max="14595" width="3" style="56" customWidth="1"/>
    <col min="14596" max="14596" width="1.453125" style="56" customWidth="1"/>
    <col min="14597" max="14599" width="18.7265625" style="56" customWidth="1"/>
    <col min="14600" max="14600" width="1.7265625" style="56" customWidth="1"/>
    <col min="14601" max="14603" width="18.7265625" style="56" customWidth="1"/>
    <col min="14604" max="14604" width="1.26953125" style="56" customWidth="1"/>
    <col min="14605" max="14611" width="11.453125" style="56" customWidth="1"/>
    <col min="14612" max="14612" width="1.7265625" style="56" customWidth="1"/>
    <col min="14613" max="14615" width="18.7265625" style="56" customWidth="1"/>
    <col min="14616" max="14616" width="12.54296875" style="56" bestFit="1" customWidth="1"/>
    <col min="14617" max="14849" width="11.453125" style="56"/>
    <col min="14850" max="14850" width="35.7265625" style="56" customWidth="1"/>
    <col min="14851" max="14851" width="3" style="56" customWidth="1"/>
    <col min="14852" max="14852" width="1.453125" style="56" customWidth="1"/>
    <col min="14853" max="14855" width="18.7265625" style="56" customWidth="1"/>
    <col min="14856" max="14856" width="1.7265625" style="56" customWidth="1"/>
    <col min="14857" max="14859" width="18.7265625" style="56" customWidth="1"/>
    <col min="14860" max="14860" width="1.26953125" style="56" customWidth="1"/>
    <col min="14861" max="14867" width="11.453125" style="56" customWidth="1"/>
    <col min="14868" max="14868" width="1.7265625" style="56" customWidth="1"/>
    <col min="14869" max="14871" width="18.7265625" style="56" customWidth="1"/>
    <col min="14872" max="14872" width="12.54296875" style="56" bestFit="1" customWidth="1"/>
    <col min="14873" max="15105" width="11.453125" style="56"/>
    <col min="15106" max="15106" width="35.7265625" style="56" customWidth="1"/>
    <col min="15107" max="15107" width="3" style="56" customWidth="1"/>
    <col min="15108" max="15108" width="1.453125" style="56" customWidth="1"/>
    <col min="15109" max="15111" width="18.7265625" style="56" customWidth="1"/>
    <col min="15112" max="15112" width="1.7265625" style="56" customWidth="1"/>
    <col min="15113" max="15115" width="18.7265625" style="56" customWidth="1"/>
    <col min="15116" max="15116" width="1.26953125" style="56" customWidth="1"/>
    <col min="15117" max="15123" width="11.453125" style="56" customWidth="1"/>
    <col min="15124" max="15124" width="1.7265625" style="56" customWidth="1"/>
    <col min="15125" max="15127" width="18.7265625" style="56" customWidth="1"/>
    <col min="15128" max="15128" width="12.54296875" style="56" bestFit="1" customWidth="1"/>
    <col min="15129" max="15361" width="11.453125" style="56"/>
    <col min="15362" max="15362" width="35.7265625" style="56" customWidth="1"/>
    <col min="15363" max="15363" width="3" style="56" customWidth="1"/>
    <col min="15364" max="15364" width="1.453125" style="56" customWidth="1"/>
    <col min="15365" max="15367" width="18.7265625" style="56" customWidth="1"/>
    <col min="15368" max="15368" width="1.7265625" style="56" customWidth="1"/>
    <col min="15369" max="15371" width="18.7265625" style="56" customWidth="1"/>
    <col min="15372" max="15372" width="1.26953125" style="56" customWidth="1"/>
    <col min="15373" max="15379" width="11.453125" style="56" customWidth="1"/>
    <col min="15380" max="15380" width="1.7265625" style="56" customWidth="1"/>
    <col min="15381" max="15383" width="18.7265625" style="56" customWidth="1"/>
    <col min="15384" max="15384" width="12.54296875" style="56" bestFit="1" customWidth="1"/>
    <col min="15385" max="15617" width="11.453125" style="56"/>
    <col min="15618" max="15618" width="35.7265625" style="56" customWidth="1"/>
    <col min="15619" max="15619" width="3" style="56" customWidth="1"/>
    <col min="15620" max="15620" width="1.453125" style="56" customWidth="1"/>
    <col min="15621" max="15623" width="18.7265625" style="56" customWidth="1"/>
    <col min="15624" max="15624" width="1.7265625" style="56" customWidth="1"/>
    <col min="15625" max="15627" width="18.7265625" style="56" customWidth="1"/>
    <col min="15628" max="15628" width="1.26953125" style="56" customWidth="1"/>
    <col min="15629" max="15635" width="11.453125" style="56" customWidth="1"/>
    <col min="15636" max="15636" width="1.7265625" style="56" customWidth="1"/>
    <col min="15637" max="15639" width="18.7265625" style="56" customWidth="1"/>
    <col min="15640" max="15640" width="12.54296875" style="56" bestFit="1" customWidth="1"/>
    <col min="15641" max="15873" width="11.453125" style="56"/>
    <col min="15874" max="15874" width="35.7265625" style="56" customWidth="1"/>
    <col min="15875" max="15875" width="3" style="56" customWidth="1"/>
    <col min="15876" max="15876" width="1.453125" style="56" customWidth="1"/>
    <col min="15877" max="15879" width="18.7265625" style="56" customWidth="1"/>
    <col min="15880" max="15880" width="1.7265625" style="56" customWidth="1"/>
    <col min="15881" max="15883" width="18.7265625" style="56" customWidth="1"/>
    <col min="15884" max="15884" width="1.26953125" style="56" customWidth="1"/>
    <col min="15885" max="15891" width="11.453125" style="56" customWidth="1"/>
    <col min="15892" max="15892" width="1.7265625" style="56" customWidth="1"/>
    <col min="15893" max="15895" width="18.7265625" style="56" customWidth="1"/>
    <col min="15896" max="15896" width="12.54296875" style="56" bestFit="1" customWidth="1"/>
    <col min="15897" max="16129" width="11.453125" style="56"/>
    <col min="16130" max="16130" width="35.7265625" style="56" customWidth="1"/>
    <col min="16131" max="16131" width="3" style="56" customWidth="1"/>
    <col min="16132" max="16132" width="1.453125" style="56" customWidth="1"/>
    <col min="16133" max="16135" width="18.7265625" style="56" customWidth="1"/>
    <col min="16136" max="16136" width="1.7265625" style="56" customWidth="1"/>
    <col min="16137" max="16139" width="18.7265625" style="56" customWidth="1"/>
    <col min="16140" max="16140" width="1.26953125" style="56" customWidth="1"/>
    <col min="16141" max="16147" width="11.453125" style="56" customWidth="1"/>
    <col min="16148" max="16148" width="1.7265625" style="56" customWidth="1"/>
    <col min="16149" max="16151" width="18.7265625" style="56" customWidth="1"/>
    <col min="16152" max="16152" width="12.54296875" style="56" bestFit="1" customWidth="1"/>
    <col min="16153" max="16384" width="11.453125" style="56"/>
  </cols>
  <sheetData>
    <row r="2" spans="2:38" ht="45.5" x14ac:dyDescent="0.25">
      <c r="B2" s="1">
        <f>E13</f>
        <v>46082</v>
      </c>
      <c r="C2" s="1"/>
      <c r="D2" s="1"/>
      <c r="E2" s="1"/>
      <c r="F2" s="1"/>
      <c r="G2" s="1"/>
      <c r="H2" s="1"/>
      <c r="I2" s="1"/>
      <c r="J2" s="1"/>
      <c r="K2" s="1"/>
      <c r="L2" s="1"/>
      <c r="M2" s="1"/>
      <c r="N2" s="1"/>
      <c r="O2" s="1"/>
      <c r="P2" s="1"/>
      <c r="Q2" s="1"/>
      <c r="R2" s="1"/>
      <c r="S2" s="1"/>
      <c r="T2" s="1"/>
      <c r="U2" s="1"/>
      <c r="V2" s="1"/>
      <c r="W2" s="1"/>
    </row>
    <row r="9" spans="2:38" ht="27.5" x14ac:dyDescent="0.25">
      <c r="B9" s="762" t="s">
        <v>0</v>
      </c>
      <c r="C9" s="762"/>
      <c r="D9" s="762"/>
      <c r="E9" s="762"/>
      <c r="F9" s="762"/>
      <c r="G9" s="762"/>
      <c r="H9" s="762"/>
      <c r="I9" s="762"/>
      <c r="J9" s="762"/>
      <c r="K9" s="762"/>
      <c r="L9" s="762"/>
      <c r="M9" s="762"/>
      <c r="N9" s="762"/>
      <c r="O9" s="762"/>
      <c r="P9" s="762"/>
      <c r="Q9" s="762"/>
      <c r="R9" s="762"/>
      <c r="S9" s="762"/>
      <c r="T9" s="762"/>
      <c r="U9" s="762"/>
      <c r="V9" s="762"/>
      <c r="W9" s="762"/>
    </row>
    <row r="11" spans="2:38" ht="25" x14ac:dyDescent="0.25">
      <c r="B11" s="238"/>
      <c r="C11" s="238"/>
      <c r="D11" s="238"/>
      <c r="E11" s="758" t="s">
        <v>57</v>
      </c>
      <c r="F11" s="758"/>
      <c r="G11" s="758"/>
      <c r="H11" s="239"/>
      <c r="I11" s="758" t="s">
        <v>58</v>
      </c>
      <c r="J11" s="758"/>
      <c r="K11" s="758"/>
      <c r="L11" s="239"/>
      <c r="M11" s="758" t="s">
        <v>59</v>
      </c>
      <c r="N11" s="758"/>
      <c r="O11" s="758"/>
      <c r="P11" s="239"/>
      <c r="Q11" s="758" t="s">
        <v>60</v>
      </c>
      <c r="R11" s="758"/>
      <c r="S11" s="758"/>
      <c r="T11" s="239"/>
      <c r="U11" s="758" t="s">
        <v>61</v>
      </c>
      <c r="V11" s="758"/>
      <c r="W11" s="758"/>
    </row>
    <row r="12" spans="2:38" ht="6.75" customHeight="1" x14ac:dyDescent="0.25">
      <c r="B12" s="238"/>
      <c r="C12" s="238"/>
      <c r="D12" s="238"/>
      <c r="E12" s="553"/>
      <c r="F12" s="553"/>
      <c r="G12" s="553"/>
      <c r="H12" s="238"/>
      <c r="I12" s="553"/>
      <c r="J12" s="553"/>
      <c r="K12" s="553"/>
      <c r="L12" s="238"/>
      <c r="M12" s="553"/>
      <c r="N12" s="553"/>
      <c r="O12" s="553"/>
      <c r="P12" s="238"/>
      <c r="Q12" s="553"/>
      <c r="R12" s="553"/>
      <c r="S12" s="553"/>
      <c r="T12" s="238"/>
      <c r="U12" s="553"/>
      <c r="V12" s="553"/>
      <c r="W12" s="553"/>
    </row>
    <row r="13" spans="2:38" ht="24.75" customHeight="1" x14ac:dyDescent="0.25">
      <c r="B13" s="240"/>
      <c r="C13" s="241"/>
      <c r="D13" s="242"/>
      <c r="E13" s="554">
        <f>'Syn prin concurents par catégor'!C13</f>
        <v>46082</v>
      </c>
      <c r="F13" s="555">
        <f>E13-360</f>
        <v>45722</v>
      </c>
      <c r="G13" s="556" t="s">
        <v>62</v>
      </c>
      <c r="H13" s="239"/>
      <c r="I13" s="554">
        <f>E13</f>
        <v>46082</v>
      </c>
      <c r="J13" s="555">
        <f>F13</f>
        <v>45722</v>
      </c>
      <c r="K13" s="556" t="s">
        <v>62</v>
      </c>
      <c r="L13" s="239"/>
      <c r="M13" s="554">
        <f>I13</f>
        <v>46082</v>
      </c>
      <c r="N13" s="555">
        <f>J13</f>
        <v>45722</v>
      </c>
      <c r="O13" s="556" t="s">
        <v>62</v>
      </c>
      <c r="P13" s="239"/>
      <c r="Q13" s="554">
        <f>M13</f>
        <v>46082</v>
      </c>
      <c r="R13" s="555">
        <f>N13</f>
        <v>45722</v>
      </c>
      <c r="S13" s="556" t="s">
        <v>62</v>
      </c>
      <c r="T13" s="239"/>
      <c r="U13" s="554">
        <f>Q13</f>
        <v>46082</v>
      </c>
      <c r="V13" s="555">
        <f>R13</f>
        <v>45722</v>
      </c>
      <c r="W13" s="556" t="s">
        <v>62</v>
      </c>
      <c r="AE13" s="756"/>
      <c r="AF13" s="756"/>
      <c r="AG13" s="756"/>
      <c r="AH13" s="756"/>
      <c r="AI13" s="756"/>
      <c r="AJ13" s="756"/>
    </row>
    <row r="14" spans="2:38" ht="6.75" customHeight="1" x14ac:dyDescent="0.25">
      <c r="B14" s="238"/>
      <c r="C14" s="238"/>
      <c r="D14" s="238"/>
      <c r="E14" s="553"/>
      <c r="F14" s="553"/>
      <c r="G14" s="553"/>
      <c r="H14" s="238"/>
      <c r="I14" s="553"/>
      <c r="J14" s="553"/>
      <c r="K14" s="553"/>
      <c r="L14" s="238"/>
      <c r="M14" s="553"/>
      <c r="N14" s="553"/>
      <c r="O14" s="553"/>
      <c r="P14" s="238"/>
      <c r="Q14" s="553"/>
      <c r="R14" s="553"/>
      <c r="S14" s="553"/>
      <c r="T14" s="238"/>
      <c r="U14" s="553"/>
      <c r="V14" s="553"/>
      <c r="W14" s="553"/>
      <c r="AE14" s="756"/>
      <c r="AF14" s="756"/>
      <c r="AG14" s="756"/>
    </row>
    <row r="15" spans="2:38" ht="6" customHeight="1" x14ac:dyDescent="0.25">
      <c r="B15" s="557"/>
      <c r="C15" s="557"/>
      <c r="D15" s="557"/>
      <c r="E15" s="557"/>
      <c r="F15" s="557"/>
      <c r="G15" s="557"/>
      <c r="H15" s="238"/>
      <c r="I15" s="557"/>
      <c r="J15" s="557"/>
      <c r="K15" s="557"/>
      <c r="L15" s="238"/>
      <c r="M15" s="557"/>
      <c r="N15" s="557"/>
      <c r="O15" s="557"/>
      <c r="P15" s="238"/>
      <c r="Q15" s="557"/>
      <c r="R15" s="557"/>
      <c r="S15" s="557"/>
      <c r="T15" s="238"/>
      <c r="U15" s="557"/>
      <c r="V15" s="557"/>
      <c r="W15" s="557"/>
    </row>
    <row r="16" spans="2:38" s="315" customFormat="1" ht="23" x14ac:dyDescent="0.25">
      <c r="B16" s="243" t="s">
        <v>10</v>
      </c>
      <c r="C16" s="312"/>
      <c r="D16" s="312"/>
      <c r="E16" s="334" t="e">
        <f>'Syn prin concurents'!E18/'Syn prin concurents Nbre'!#REF!</f>
        <v>#REF!</v>
      </c>
      <c r="F16" s="334" t="e">
        <f>'Syn prin concurents'!F18/'Syn prin concurents Nbre'!#REF!</f>
        <v>#REF!</v>
      </c>
      <c r="G16" s="290" t="e">
        <f>IF(F16=0,0,E16/F16-1)</f>
        <v>#REF!</v>
      </c>
      <c r="H16" s="291"/>
      <c r="I16" s="334" t="e">
        <f>'Syn prin concurents'!I18/'Syn prin concurents Nbre'!#REF!</f>
        <v>#REF!</v>
      </c>
      <c r="J16" s="334" t="e">
        <f>'Syn prin concurents'!J18/'Syn prin concurents Nbre'!#REF!</f>
        <v>#REF!</v>
      </c>
      <c r="K16" s="290" t="e">
        <f>IF(J16=0,0,I16/J16-1)</f>
        <v>#REF!</v>
      </c>
      <c r="L16" s="291"/>
      <c r="M16" s="313">
        <f>WAFASALAF!$D$18</f>
        <v>27117</v>
      </c>
      <c r="N16" s="313">
        <f>WAFASALAF!$E$18</f>
        <v>18156</v>
      </c>
      <c r="O16" s="290">
        <f>IF(N16=0,0,M16/N16-1)</f>
        <v>0.49355584930601459</v>
      </c>
      <c r="P16" s="291"/>
      <c r="Q16" s="313">
        <f>WAFASALAF!$D$28</f>
        <v>88</v>
      </c>
      <c r="R16" s="313">
        <f>WAFASALAF!$E$28</f>
        <v>44</v>
      </c>
      <c r="S16" s="290">
        <f>IF(R16=0,0,Q16/R16-1)</f>
        <v>1</v>
      </c>
      <c r="T16" s="291"/>
      <c r="U16" s="334" t="e">
        <f>'Syn prin concurents'!U18/'Syn prin concurents Nbre'!#REF!</f>
        <v>#REF!</v>
      </c>
      <c r="V16" s="334" t="e">
        <f>'Syn prin concurents'!V18/'Syn prin concurents Nbre'!#REF!</f>
        <v>#REF!</v>
      </c>
      <c r="W16" s="290" t="e">
        <f>IF(V16=0,0,U16/V16-1)</f>
        <v>#REF!</v>
      </c>
      <c r="X16" s="314"/>
      <c r="AE16" s="314"/>
      <c r="AF16" s="314"/>
      <c r="AG16" s="314"/>
      <c r="AH16" s="314"/>
      <c r="AI16" s="314"/>
      <c r="AJ16" s="314"/>
      <c r="AL16" s="325"/>
    </row>
    <row r="17" spans="2:38" s="320" customFormat="1" ht="18" x14ac:dyDescent="0.25">
      <c r="B17" s="248" t="s">
        <v>67</v>
      </c>
      <c r="C17" s="316"/>
      <c r="D17" s="316"/>
      <c r="E17" s="317" t="e">
        <f>E16/E$30</f>
        <v>#REF!</v>
      </c>
      <c r="F17" s="317" t="e">
        <f>F16/F$30</f>
        <v>#REF!</v>
      </c>
      <c r="G17" s="318" t="e">
        <f>(E17-F17)*100</f>
        <v>#REF!</v>
      </c>
      <c r="H17" s="319"/>
      <c r="I17" s="317" t="e">
        <f>I16/I$30</f>
        <v>#REF!</v>
      </c>
      <c r="J17" s="317" t="e">
        <f>J16/J$30</f>
        <v>#REF!</v>
      </c>
      <c r="K17" s="318" t="e">
        <f>(I17-J17)*100</f>
        <v>#REF!</v>
      </c>
      <c r="L17" s="319"/>
      <c r="M17" s="317">
        <f>M16/M$30</f>
        <v>0.99522883253202188</v>
      </c>
      <c r="N17" s="317">
        <f>N16/N$30</f>
        <v>0.98732938169557893</v>
      </c>
      <c r="O17" s="318">
        <f>(M17-N17)*100</f>
        <v>0.7899450836442945</v>
      </c>
      <c r="P17" s="319"/>
      <c r="Q17" s="317">
        <f>Q16/Q$30</f>
        <v>0.91666666666666663</v>
      </c>
      <c r="R17" s="317">
        <f>R16/R$30</f>
        <v>0.37606837606837606</v>
      </c>
      <c r="S17" s="318">
        <f>(Q17-R17)*100</f>
        <v>54.059829059829056</v>
      </c>
      <c r="T17" s="319"/>
      <c r="U17" s="317" t="e">
        <f>U16/U$30</f>
        <v>#REF!</v>
      </c>
      <c r="V17" s="317" t="e">
        <f>V16/V$30</f>
        <v>#REF!</v>
      </c>
      <c r="W17" s="318" t="e">
        <f>(U17-V17)*100</f>
        <v>#REF!</v>
      </c>
      <c r="AG17" s="321"/>
    </row>
    <row r="18" spans="2:38" ht="23.5" x14ac:dyDescent="0.25">
      <c r="B18" s="223" t="s">
        <v>2</v>
      </c>
      <c r="C18" s="224"/>
      <c r="D18" s="224"/>
      <c r="E18" s="335" t="e">
        <f>'Syn prin concurents'!E16/'Syn prin concurents Nbre'!#REF!</f>
        <v>#REF!</v>
      </c>
      <c r="F18" s="335" t="e">
        <f>'Syn prin concurents'!F16/'Syn prin concurents Nbre'!#REF!</f>
        <v>#REF!</v>
      </c>
      <c r="G18" s="226" t="e">
        <f>IF(F18=0,0,E18/F18-1)</f>
        <v>#REF!</v>
      </c>
      <c r="H18" s="247"/>
      <c r="I18" s="335" t="e">
        <f>'Syn prin concurents'!I16/'Syn prin concurents Nbre'!#REF!</f>
        <v>#REF!</v>
      </c>
      <c r="J18" s="335" t="e">
        <f>'Syn prin concurents'!J16/'Syn prin concurents Nbre'!#REF!</f>
        <v>#REF!</v>
      </c>
      <c r="K18" s="226" t="e">
        <f>IF(J18=0,0,I18/J18-1)</f>
        <v>#REF!</v>
      </c>
      <c r="L18" s="247"/>
      <c r="M18" s="225">
        <f>SOFAC!$D$18</f>
        <v>118</v>
      </c>
      <c r="N18" s="225">
        <f>SOFAC!$E$18</f>
        <v>152</v>
      </c>
      <c r="O18" s="226">
        <f>IF(N18=0,0,M18/N18-1)</f>
        <v>-0.22368421052631582</v>
      </c>
      <c r="P18" s="247"/>
      <c r="Q18" s="225">
        <f>SOFAC!$D$28</f>
        <v>0</v>
      </c>
      <c r="R18" s="225">
        <f>SOFAC!$E$28</f>
        <v>0</v>
      </c>
      <c r="S18" s="226">
        <f>IF(R18=0,0,Q18/R18-1)</f>
        <v>0</v>
      </c>
      <c r="T18" s="247"/>
      <c r="U18" s="335" t="e">
        <f>'Syn prin concurents'!U16/'Syn prin concurents Nbre'!#REF!</f>
        <v>#REF!</v>
      </c>
      <c r="V18" s="335" t="e">
        <f>'Syn prin concurents'!V16/'Syn prin concurents Nbre'!#REF!</f>
        <v>#REF!</v>
      </c>
      <c r="W18" s="226" t="e">
        <f>IF(V18=0,0,U18/V18-1)</f>
        <v>#REF!</v>
      </c>
      <c r="X18" s="57"/>
      <c r="AA18" s="57"/>
      <c r="AB18" s="57"/>
      <c r="AC18" s="58"/>
      <c r="AE18" s="314"/>
      <c r="AF18" s="314"/>
      <c r="AG18" s="314"/>
      <c r="AH18" s="314"/>
      <c r="AI18" s="314"/>
      <c r="AJ18" s="314"/>
      <c r="AL18" s="325"/>
    </row>
    <row r="19" spans="2:38" ht="18.5" x14ac:dyDescent="0.25">
      <c r="B19" s="227" t="s">
        <v>67</v>
      </c>
      <c r="C19" s="228"/>
      <c r="D19" s="228"/>
      <c r="E19" s="229" t="e">
        <f>E18/E$30</f>
        <v>#REF!</v>
      </c>
      <c r="F19" s="229" t="e">
        <f>F18/F$30</f>
        <v>#REF!</v>
      </c>
      <c r="G19" s="230" t="e">
        <f>(E19-F19)*100</f>
        <v>#REF!</v>
      </c>
      <c r="H19" s="252"/>
      <c r="I19" s="229" t="e">
        <f>I18/I$30</f>
        <v>#REF!</v>
      </c>
      <c r="J19" s="229" t="e">
        <f>J18/J$30</f>
        <v>#REF!</v>
      </c>
      <c r="K19" s="230" t="e">
        <f>(I19-J19)*100</f>
        <v>#REF!</v>
      </c>
      <c r="L19" s="252"/>
      <c r="M19" s="229">
        <f>M18/M$30</f>
        <v>4.3307520093955297E-3</v>
      </c>
      <c r="N19" s="229">
        <f>N18/N$30</f>
        <v>8.265811082712491E-3</v>
      </c>
      <c r="O19" s="230">
        <f>(M19-N19)*100</f>
        <v>-0.3935059073316961</v>
      </c>
      <c r="P19" s="252"/>
      <c r="Q19" s="229">
        <f>Q18/Q$30</f>
        <v>0</v>
      </c>
      <c r="R19" s="229">
        <f>R18/R$30</f>
        <v>0</v>
      </c>
      <c r="S19" s="230">
        <f>(Q19-R19)*100</f>
        <v>0</v>
      </c>
      <c r="T19" s="252"/>
      <c r="U19" s="229" t="e">
        <f>U18/U$30</f>
        <v>#REF!</v>
      </c>
      <c r="V19" s="229" t="e">
        <f>V18/V$30</f>
        <v>#REF!</v>
      </c>
      <c r="W19" s="230" t="e">
        <f>(U19-V19)*100</f>
        <v>#REF!</v>
      </c>
      <c r="AA19" s="57"/>
      <c r="AB19" s="57"/>
      <c r="AC19" s="58"/>
      <c r="AG19" s="57"/>
    </row>
    <row r="20" spans="2:38" ht="23.5" x14ac:dyDescent="0.25">
      <c r="B20" s="243" t="s">
        <v>5</v>
      </c>
      <c r="C20" s="278"/>
      <c r="D20" s="278"/>
      <c r="E20" s="336" t="e">
        <f>'Syn prin concurents'!E20/'Syn prin concurents Nbre'!#REF!</f>
        <v>#REF!</v>
      </c>
      <c r="F20" s="336" t="e">
        <f>'Syn prin concurents'!F20/'Syn prin concurents Nbre'!#REF!</f>
        <v>#REF!</v>
      </c>
      <c r="G20" s="280" t="e">
        <f>IF(F20=0,0,E20/F20-1)</f>
        <v>#REF!</v>
      </c>
      <c r="H20" s="247"/>
      <c r="I20" s="336" t="e">
        <f>'Syn prin concurents'!I20/'Syn prin concurents Nbre'!#REF!</f>
        <v>#REF!</v>
      </c>
      <c r="J20" s="336" t="e">
        <f>'Syn prin concurents'!J20/'Syn prin concurents Nbre'!#REF!</f>
        <v>#REF!</v>
      </c>
      <c r="K20" s="280" t="e">
        <f>IF(J20=0,0,I20/J20-1)</f>
        <v>#REF!</v>
      </c>
      <c r="L20" s="247"/>
      <c r="M20" s="279">
        <f>VIVALIS!$D$18</f>
        <v>0</v>
      </c>
      <c r="N20" s="279">
        <f>VIVALIS!$E$18</f>
        <v>0</v>
      </c>
      <c r="O20" s="280">
        <f>IF(N20=0,0,M20/N20-1)</f>
        <v>0</v>
      </c>
      <c r="P20" s="247"/>
      <c r="Q20" s="279">
        <f>VIVALIS!$D$28</f>
        <v>0</v>
      </c>
      <c r="R20" s="279">
        <f>VIVALIS!$E$28</f>
        <v>0</v>
      </c>
      <c r="S20" s="280">
        <f>IF(R20=0,0,Q20/R20-1)</f>
        <v>0</v>
      </c>
      <c r="T20" s="247"/>
      <c r="U20" s="336" t="e">
        <f>'Syn prin concurents'!U20/'Syn prin concurents Nbre'!#REF!</f>
        <v>#REF!</v>
      </c>
      <c r="V20" s="336" t="e">
        <f>'Syn prin concurents'!V20/'Syn prin concurents Nbre'!#REF!</f>
        <v>#REF!</v>
      </c>
      <c r="W20" s="280" t="e">
        <f>IF(V20=0,0,U20/V20-1)</f>
        <v>#REF!</v>
      </c>
      <c r="X20" s="57"/>
      <c r="AA20" s="57"/>
      <c r="AB20" s="57"/>
      <c r="AC20" s="58"/>
      <c r="AE20" s="314"/>
      <c r="AF20" s="314"/>
      <c r="AG20" s="314"/>
      <c r="AH20" s="314"/>
      <c r="AI20" s="314"/>
      <c r="AJ20" s="314"/>
      <c r="AL20" s="325"/>
    </row>
    <row r="21" spans="2:38" ht="18.5" x14ac:dyDescent="0.25">
      <c r="B21" s="248" t="s">
        <v>67</v>
      </c>
      <c r="C21" s="281"/>
      <c r="D21" s="281"/>
      <c r="E21" s="282" t="e">
        <f>E20/E$30</f>
        <v>#REF!</v>
      </c>
      <c r="F21" s="282" t="e">
        <f>F20/F$30</f>
        <v>#REF!</v>
      </c>
      <c r="G21" s="283" t="e">
        <f>(E21-F21)*100</f>
        <v>#REF!</v>
      </c>
      <c r="H21" s="252"/>
      <c r="I21" s="282" t="e">
        <f>I20/I$30</f>
        <v>#REF!</v>
      </c>
      <c r="J21" s="282" t="e">
        <f>J20/J$30</f>
        <v>#REF!</v>
      </c>
      <c r="K21" s="283" t="e">
        <f>(I21-J21)*100</f>
        <v>#REF!</v>
      </c>
      <c r="L21" s="252"/>
      <c r="M21" s="282">
        <f>M20/M$30</f>
        <v>0</v>
      </c>
      <c r="N21" s="282">
        <f>N20/N$30</f>
        <v>0</v>
      </c>
      <c r="O21" s="283">
        <f>(M21-N21)*100</f>
        <v>0</v>
      </c>
      <c r="P21" s="252"/>
      <c r="Q21" s="282">
        <f>Q20/Q$30</f>
        <v>0</v>
      </c>
      <c r="R21" s="282">
        <f>R20/R$30</f>
        <v>0</v>
      </c>
      <c r="S21" s="283">
        <f>(Q21-R21)*100</f>
        <v>0</v>
      </c>
      <c r="T21" s="252"/>
      <c r="U21" s="282" t="e">
        <f>U20/U$30</f>
        <v>#REF!</v>
      </c>
      <c r="V21" s="282" t="e">
        <f>V20/V$30</f>
        <v>#REF!</v>
      </c>
      <c r="W21" s="283" t="e">
        <f>(U21-V21)*100</f>
        <v>#REF!</v>
      </c>
      <c r="AA21" s="57"/>
      <c r="AB21" s="57"/>
      <c r="AC21" s="58"/>
      <c r="AG21" s="57"/>
    </row>
    <row r="22" spans="2:38" ht="23.5" x14ac:dyDescent="0.25">
      <c r="B22" s="243" t="s">
        <v>6</v>
      </c>
      <c r="C22" s="244"/>
      <c r="D22" s="244"/>
      <c r="E22" s="337" t="e">
        <f>'Syn prin concurents'!E22/'Syn prin concurents Nbre'!#REF!</f>
        <v>#REF!</v>
      </c>
      <c r="F22" s="337" t="e">
        <f>'Syn prin concurents'!F22/'Syn prin concurents Nbre'!#REF!</f>
        <v>#REF!</v>
      </c>
      <c r="G22" s="246" t="e">
        <f>IF(F22=0,0,E22/F22-1)</f>
        <v>#REF!</v>
      </c>
      <c r="H22" s="247"/>
      <c r="I22" s="337" t="e">
        <f>'Syn prin concurents'!I22/'Syn prin concurents Nbre'!#REF!</f>
        <v>#REF!</v>
      </c>
      <c r="J22" s="337" t="e">
        <f>'Syn prin concurents'!J22/'Syn prin concurents Nbre'!#REF!</f>
        <v>#REF!</v>
      </c>
      <c r="K22" s="246" t="e">
        <f>IF(J22=0,0,I22/J22-1)</f>
        <v>#REF!</v>
      </c>
      <c r="L22" s="247"/>
      <c r="M22" s="245">
        <f>EQDOM!$D$18</f>
        <v>12</v>
      </c>
      <c r="N22" s="245">
        <f>EQDOM!$E$18</f>
        <v>81</v>
      </c>
      <c r="O22" s="246">
        <f>IF(N22=0,0,M22/N22-1)</f>
        <v>-0.85185185185185186</v>
      </c>
      <c r="P22" s="247"/>
      <c r="Q22" s="245">
        <f>EQDOM!$D$28</f>
        <v>0</v>
      </c>
      <c r="R22" s="245">
        <f>EQDOM!$E$28</f>
        <v>0</v>
      </c>
      <c r="S22" s="246">
        <f>IF(R22=0,0,Q22/R22-1)</f>
        <v>0</v>
      </c>
      <c r="T22" s="247"/>
      <c r="U22" s="337" t="e">
        <f>'Syn prin concurents'!U22/'Syn prin concurents Nbre'!#REF!</f>
        <v>#REF!</v>
      </c>
      <c r="V22" s="337" t="e">
        <f>'Syn prin concurents'!V22/'Syn prin concurents Nbre'!#REF!</f>
        <v>#REF!</v>
      </c>
      <c r="W22" s="246" t="e">
        <f>IF(V22=0,0,U22/V22-1)</f>
        <v>#REF!</v>
      </c>
      <c r="X22" s="57"/>
      <c r="AE22" s="314"/>
      <c r="AF22" s="314"/>
      <c r="AG22" s="314"/>
      <c r="AH22" s="314"/>
      <c r="AI22" s="314"/>
      <c r="AJ22" s="314"/>
      <c r="AL22" s="325"/>
    </row>
    <row r="23" spans="2:38" ht="18.5" x14ac:dyDescent="0.25">
      <c r="B23" s="248" t="s">
        <v>67</v>
      </c>
      <c r="C23" s="249"/>
      <c r="D23" s="249"/>
      <c r="E23" s="250" t="e">
        <f>E22/E$30</f>
        <v>#REF!</v>
      </c>
      <c r="F23" s="250" t="e">
        <f>F22/F$30</f>
        <v>#REF!</v>
      </c>
      <c r="G23" s="251" t="e">
        <f>(E23-F23)*100</f>
        <v>#REF!</v>
      </c>
      <c r="H23" s="252"/>
      <c r="I23" s="250" t="e">
        <f>I22/I$30</f>
        <v>#REF!</v>
      </c>
      <c r="J23" s="250" t="e">
        <f>J22/J$30</f>
        <v>#REF!</v>
      </c>
      <c r="K23" s="251" t="e">
        <f>(I23-J23)*100</f>
        <v>#REF!</v>
      </c>
      <c r="L23" s="252"/>
      <c r="M23" s="250">
        <f>M22/M$30</f>
        <v>4.4041545858259626E-4</v>
      </c>
      <c r="N23" s="250">
        <f>N22/N$30</f>
        <v>4.4048072217086299E-3</v>
      </c>
      <c r="O23" s="251">
        <f>(M23-N23)*100</f>
        <v>-0.39643917631260339</v>
      </c>
      <c r="P23" s="252"/>
      <c r="Q23" s="250">
        <f>Q22/Q$30</f>
        <v>0</v>
      </c>
      <c r="R23" s="250">
        <f>R22/R$30</f>
        <v>0</v>
      </c>
      <c r="S23" s="251">
        <f>(Q23-R23)*100</f>
        <v>0</v>
      </c>
      <c r="T23" s="252"/>
      <c r="U23" s="250" t="e">
        <f>U22/U$30</f>
        <v>#REF!</v>
      </c>
      <c r="V23" s="250" t="e">
        <f>V22/V$30</f>
        <v>#REF!</v>
      </c>
      <c r="W23" s="251" t="e">
        <f>(U23-V23)*100</f>
        <v>#REF!</v>
      </c>
      <c r="AG23" s="57"/>
    </row>
    <row r="24" spans="2:38" ht="23.5" x14ac:dyDescent="0.25">
      <c r="B24" s="243" t="s">
        <v>4</v>
      </c>
      <c r="C24" s="244"/>
      <c r="D24" s="244"/>
      <c r="E24" s="337" t="e">
        <f>'Syn prin concurents'!E24/'Syn prin concurents Nbre'!#REF!</f>
        <v>#REF!</v>
      </c>
      <c r="F24" s="337" t="e">
        <f>'Syn prin concurents'!F24/'Syn prin concurents Nbre'!#REF!</f>
        <v>#REF!</v>
      </c>
      <c r="G24" s="246" t="e">
        <f>IF(F24=0,0,E24/F24-1)</f>
        <v>#REF!</v>
      </c>
      <c r="H24" s="247"/>
      <c r="I24" s="337" t="e">
        <f>'Syn prin concurents'!I24/'Syn prin concurents Nbre'!#REF!</f>
        <v>#REF!</v>
      </c>
      <c r="J24" s="337" t="e">
        <f>'Syn prin concurents'!J24/'Syn prin concurents Nbre'!#REF!</f>
        <v>#REF!</v>
      </c>
      <c r="K24" s="246" t="e">
        <f>IF(J24=0,0,I24/J24-1)</f>
        <v>#REF!</v>
      </c>
      <c r="L24" s="247"/>
      <c r="M24" s="245">
        <f>'RCI '!$D$18</f>
        <v>0</v>
      </c>
      <c r="N24" s="245">
        <f>'RCI '!$E$18</f>
        <v>0</v>
      </c>
      <c r="O24" s="246">
        <f>IF(N24=0,0,M24/N24-1)</f>
        <v>0</v>
      </c>
      <c r="P24" s="247"/>
      <c r="Q24" s="245">
        <f>'RCI '!$D$28</f>
        <v>0</v>
      </c>
      <c r="R24" s="245">
        <f>'RCI '!$E$28</f>
        <v>0</v>
      </c>
      <c r="S24" s="246">
        <f>IF(R24=0,0,Q24/R24-1)</f>
        <v>0</v>
      </c>
      <c r="T24" s="247"/>
      <c r="U24" s="337" t="e">
        <f>'Syn prin concurents'!U24/'Syn prin concurents Nbre'!#REF!</f>
        <v>#REF!</v>
      </c>
      <c r="V24" s="337" t="e">
        <f>'Syn prin concurents'!V24/'Syn prin concurents Nbre'!#REF!</f>
        <v>#REF!</v>
      </c>
      <c r="W24" s="246" t="e">
        <f>IF(V24=0,0,U24/V24-1)</f>
        <v>#REF!</v>
      </c>
      <c r="X24" s="57"/>
      <c r="Y24" s="332"/>
      <c r="AE24" s="314"/>
      <c r="AF24" s="314"/>
      <c r="AG24" s="314"/>
      <c r="AH24" s="314"/>
      <c r="AI24" s="314"/>
      <c r="AJ24" s="314"/>
      <c r="AL24" s="325"/>
    </row>
    <row r="25" spans="2:38" ht="18.5" x14ac:dyDescent="0.25">
      <c r="B25" s="248" t="s">
        <v>67</v>
      </c>
      <c r="C25" s="249"/>
      <c r="D25" s="249"/>
      <c r="E25" s="250" t="e">
        <f>E24/E$30</f>
        <v>#REF!</v>
      </c>
      <c r="F25" s="250" t="e">
        <f>F24/F$30</f>
        <v>#REF!</v>
      </c>
      <c r="G25" s="251" t="e">
        <f>(E25-F25)*100</f>
        <v>#REF!</v>
      </c>
      <c r="H25" s="252"/>
      <c r="I25" s="250" t="e">
        <f>I24/I$30</f>
        <v>#REF!</v>
      </c>
      <c r="J25" s="250" t="e">
        <f>J24/J$30</f>
        <v>#REF!</v>
      </c>
      <c r="K25" s="251" t="e">
        <f>(I25-J25)*100</f>
        <v>#REF!</v>
      </c>
      <c r="L25" s="252"/>
      <c r="M25" s="250">
        <f>M24/M$30</f>
        <v>0</v>
      </c>
      <c r="N25" s="250">
        <f>N24/N$30</f>
        <v>0</v>
      </c>
      <c r="O25" s="251">
        <f>(M25-N25)*100</f>
        <v>0</v>
      </c>
      <c r="P25" s="252"/>
      <c r="Q25" s="250">
        <f>Q24/Q$30</f>
        <v>0</v>
      </c>
      <c r="R25" s="250">
        <f>R24/R$30</f>
        <v>0</v>
      </c>
      <c r="S25" s="251">
        <f>(Q25-R25)*100</f>
        <v>0</v>
      </c>
      <c r="T25" s="252"/>
      <c r="U25" s="250" t="e">
        <f>U24/U$30</f>
        <v>#REF!</v>
      </c>
      <c r="V25" s="250" t="e">
        <f>V24/V$30</f>
        <v>#REF!</v>
      </c>
      <c r="W25" s="251" t="e">
        <f>(U25-V25)*100</f>
        <v>#REF!</v>
      </c>
      <c r="AG25" s="57"/>
    </row>
    <row r="26" spans="2:38" ht="23.5" x14ac:dyDescent="0.25">
      <c r="B26" s="243" t="s">
        <v>7</v>
      </c>
      <c r="C26" s="244"/>
      <c r="D26" s="244"/>
      <c r="E26" s="337" t="e">
        <f>'Syn prin concurents'!E26/'Syn prin concurents Nbre'!#REF!</f>
        <v>#REF!</v>
      </c>
      <c r="F26" s="337" t="e">
        <f>'Syn prin concurents'!F26/'Syn prin concurents Nbre'!#REF!</f>
        <v>#REF!</v>
      </c>
      <c r="G26" s="246" t="e">
        <f>IF(F26=0,0,E26/F26-1)</f>
        <v>#REF!</v>
      </c>
      <c r="H26" s="247"/>
      <c r="I26" s="337" t="e">
        <f>'Syn prin concurents'!I26/'Syn prin concurents Nbre'!#REF!</f>
        <v>#REF!</v>
      </c>
      <c r="J26" s="337" t="e">
        <f>'Syn prin concurents'!J26/'Syn prin concurents Nbre'!#REF!</f>
        <v>#REF!</v>
      </c>
      <c r="K26" s="246" t="e">
        <f>IF(J26=0,0,I26/J26-1)</f>
        <v>#REF!</v>
      </c>
      <c r="L26" s="247"/>
      <c r="M26" s="245">
        <f>SALAFIN!$D$18</f>
        <v>0</v>
      </c>
      <c r="N26" s="245">
        <f>SALAFIN!$E$18</f>
        <v>0</v>
      </c>
      <c r="O26" s="246">
        <f>IF(N26=0,0,M26/N26-1)</f>
        <v>0</v>
      </c>
      <c r="P26" s="247"/>
      <c r="Q26" s="245">
        <f>SALAFIN!$D$28</f>
        <v>8</v>
      </c>
      <c r="R26" s="245">
        <f>SALAFIN!$E$28</f>
        <v>73</v>
      </c>
      <c r="S26" s="246">
        <f>IF(R26=0,0,Q26/R26-1)</f>
        <v>-0.8904109589041096</v>
      </c>
      <c r="T26" s="247"/>
      <c r="U26" s="337" t="e">
        <f>'Syn prin concurents'!U26/'Syn prin concurents Nbre'!#REF!</f>
        <v>#REF!</v>
      </c>
      <c r="V26" s="337" t="e">
        <f>'Syn prin concurents'!V26/'Syn prin concurents Nbre'!#REF!</f>
        <v>#REF!</v>
      </c>
      <c r="W26" s="246" t="e">
        <f>IF(V26=0,0,U26/V26-1)</f>
        <v>#REF!</v>
      </c>
      <c r="X26" s="57"/>
      <c r="AE26" s="314"/>
      <c r="AF26" s="314"/>
      <c r="AG26" s="314"/>
      <c r="AH26" s="314"/>
      <c r="AI26" s="314"/>
      <c r="AJ26" s="314"/>
      <c r="AL26" s="325"/>
    </row>
    <row r="27" spans="2:38" ht="18.5" x14ac:dyDescent="0.25">
      <c r="B27" s="248" t="s">
        <v>67</v>
      </c>
      <c r="C27" s="249"/>
      <c r="D27" s="249"/>
      <c r="E27" s="250" t="e">
        <f>E26/E$30</f>
        <v>#REF!</v>
      </c>
      <c r="F27" s="250" t="e">
        <f>F26/F$30</f>
        <v>#REF!</v>
      </c>
      <c r="G27" s="251" t="e">
        <f>(E27-F27)*100</f>
        <v>#REF!</v>
      </c>
      <c r="H27" s="252"/>
      <c r="I27" s="250" t="e">
        <f>I26/I$30</f>
        <v>#REF!</v>
      </c>
      <c r="J27" s="250" t="e">
        <f>J26/J$30</f>
        <v>#REF!</v>
      </c>
      <c r="K27" s="251" t="e">
        <f>(I27-J27)*100</f>
        <v>#REF!</v>
      </c>
      <c r="L27" s="252"/>
      <c r="M27" s="250">
        <f>M26/M$30</f>
        <v>0</v>
      </c>
      <c r="N27" s="250">
        <f>N26/N$30</f>
        <v>0</v>
      </c>
      <c r="O27" s="251">
        <f>(M27-N27)*100</f>
        <v>0</v>
      </c>
      <c r="P27" s="252"/>
      <c r="Q27" s="250">
        <f>Q26/Q$30</f>
        <v>8.3333333333333329E-2</v>
      </c>
      <c r="R27" s="250">
        <f>R26/R$30</f>
        <v>0.62393162393162394</v>
      </c>
      <c r="S27" s="251">
        <f>(Q27-R27)*100</f>
        <v>-54.059829059829056</v>
      </c>
      <c r="T27" s="252"/>
      <c r="U27" s="250" t="e">
        <f>U26/U$30</f>
        <v>#REF!</v>
      </c>
      <c r="V27" s="250" t="e">
        <f>V26/V$30</f>
        <v>#REF!</v>
      </c>
      <c r="W27" s="251" t="e">
        <f>(U27-V27)*100</f>
        <v>#REF!</v>
      </c>
      <c r="AG27" s="57"/>
    </row>
    <row r="28" spans="2:38" ht="23.5" x14ac:dyDescent="0.25">
      <c r="B28" s="243" t="s">
        <v>11</v>
      </c>
      <c r="C28" s="244"/>
      <c r="D28" s="244"/>
      <c r="E28" s="337" t="e">
        <f>'Syn prin concurents'!E28/'Syn prin concurents Nbre'!#REF!</f>
        <v>#REF!</v>
      </c>
      <c r="F28" s="337" t="e">
        <f>'Syn prin concurents'!F28/'Syn prin concurents Nbre'!#REF!</f>
        <v>#REF!</v>
      </c>
      <c r="G28" s="246" t="e">
        <f>IF(F28=0,0,E28/F28-1)</f>
        <v>#REF!</v>
      </c>
      <c r="H28" s="247"/>
      <c r="I28" s="337" t="e">
        <f>'Syn prin concurents'!I28/'Syn prin concurents Nbre'!#REF!</f>
        <v>#REF!</v>
      </c>
      <c r="J28" s="337">
        <f>'AXA CREDIT'!$E$23</f>
        <v>3772</v>
      </c>
      <c r="K28" s="246" t="e">
        <f>IF(J28=0,0,I28/J28-1)</f>
        <v>#REF!</v>
      </c>
      <c r="L28" s="247"/>
      <c r="M28" s="245">
        <f>'AXA CREDIT'!$D$18</f>
        <v>0</v>
      </c>
      <c r="N28" s="245">
        <f>'AXA CREDIT'!$E$18</f>
        <v>0</v>
      </c>
      <c r="O28" s="246">
        <f>IF(N28=0,0,M28/N28-1)</f>
        <v>0</v>
      </c>
      <c r="P28" s="247"/>
      <c r="Q28" s="245">
        <f>'AXA CREDIT'!$D$28</f>
        <v>0</v>
      </c>
      <c r="R28" s="245">
        <f>'AXA CREDIT'!$E$28</f>
        <v>0</v>
      </c>
      <c r="S28" s="246">
        <f>IF(R28=0,0,Q28/R28-1)</f>
        <v>0</v>
      </c>
      <c r="T28" s="247"/>
      <c r="U28" s="337" t="e">
        <f>'Syn prin concurents'!U28/'Syn prin concurents Nbre'!#REF!</f>
        <v>#REF!</v>
      </c>
      <c r="V28" s="337" t="e">
        <f>'Syn prin concurents'!V28/'Syn prin concurents Nbre'!#REF!</f>
        <v>#REF!</v>
      </c>
      <c r="W28" s="246" t="e">
        <f>IF(V28=0,0,U28/V28-1)</f>
        <v>#REF!</v>
      </c>
      <c r="X28" s="57"/>
      <c r="AE28" s="314"/>
      <c r="AF28" s="314"/>
      <c r="AG28" s="314"/>
      <c r="AH28" s="314"/>
      <c r="AI28" s="314"/>
      <c r="AJ28" s="314"/>
      <c r="AL28" s="325"/>
    </row>
    <row r="29" spans="2:38" ht="19" thickBot="1" x14ac:dyDescent="0.3">
      <c r="B29" s="248" t="s">
        <v>67</v>
      </c>
      <c r="C29" s="249"/>
      <c r="D29" s="249"/>
      <c r="E29" s="250" t="e">
        <f>E28/E$30</f>
        <v>#REF!</v>
      </c>
      <c r="F29" s="250" t="e">
        <f>F28/F$30</f>
        <v>#REF!</v>
      </c>
      <c r="G29" s="251" t="e">
        <f>(E29-F29)*100</f>
        <v>#REF!</v>
      </c>
      <c r="H29" s="252"/>
      <c r="I29" s="250" t="e">
        <f>I28/I$30</f>
        <v>#REF!</v>
      </c>
      <c r="J29" s="250">
        <f>J28/J$30</f>
        <v>9.0028163635495734E-2</v>
      </c>
      <c r="K29" s="251" t="e">
        <f>(I29-J29)*100</f>
        <v>#REF!</v>
      </c>
      <c r="L29" s="252"/>
      <c r="M29" s="250">
        <f>M28/M$30</f>
        <v>0</v>
      </c>
      <c r="N29" s="250">
        <f>N28/N$30</f>
        <v>0</v>
      </c>
      <c r="O29" s="251">
        <f>(M29-N29)*100</f>
        <v>0</v>
      </c>
      <c r="P29" s="252"/>
      <c r="Q29" s="250">
        <f>Q28/Q$30</f>
        <v>0</v>
      </c>
      <c r="R29" s="250">
        <f>R28/R$30</f>
        <v>0</v>
      </c>
      <c r="S29" s="251">
        <f>(Q29-R29)*100</f>
        <v>0</v>
      </c>
      <c r="T29" s="252"/>
      <c r="U29" s="250" t="e">
        <f>U28/U$30</f>
        <v>#REF!</v>
      </c>
      <c r="V29" s="250" t="e">
        <f>V28/V$30</f>
        <v>#REF!</v>
      </c>
      <c r="W29" s="251" t="e">
        <f>(U29-V29)*100</f>
        <v>#REF!</v>
      </c>
      <c r="AG29" s="57"/>
    </row>
    <row r="30" spans="2:38" ht="26.5" thickBot="1" x14ac:dyDescent="0.65">
      <c r="B30" s="231" t="s">
        <v>8</v>
      </c>
      <c r="C30" s="232"/>
      <c r="D30" s="233"/>
      <c r="E30" s="233">
        <f>GLOBAL!$D$11</f>
        <v>36125</v>
      </c>
      <c r="F30" s="233">
        <f>GLOBAL!$E$11</f>
        <v>32296</v>
      </c>
      <c r="G30" s="234">
        <f>IF(F30=0,0,E30/F30-1)</f>
        <v>0.11855957394104544</v>
      </c>
      <c r="H30" s="239"/>
      <c r="I30" s="233">
        <f>GLOBAL!$D$23</f>
        <v>32495</v>
      </c>
      <c r="J30" s="233">
        <f>GLOBAL!$E$23</f>
        <v>41898</v>
      </c>
      <c r="K30" s="234">
        <f>IF(J30=0,0,I30/J30-1)</f>
        <v>-0.22442598692061677</v>
      </c>
      <c r="L30" s="239"/>
      <c r="M30" s="235">
        <f>GLOBAL!$D$18</f>
        <v>27247</v>
      </c>
      <c r="N30" s="235">
        <f>GLOBAL!$E$18</f>
        <v>18389</v>
      </c>
      <c r="O30" s="234">
        <f>IF(N30=0,0,M30/N30-1)</f>
        <v>0.48170101691228462</v>
      </c>
      <c r="P30" s="239"/>
      <c r="Q30" s="235">
        <f>GLOBAL!$D$28</f>
        <v>96</v>
      </c>
      <c r="R30" s="235">
        <f>GLOBAL!$E$28</f>
        <v>117</v>
      </c>
      <c r="S30" s="234">
        <f>IF(R30=0,0,Q30/R30-1)</f>
        <v>-0.17948717948717952</v>
      </c>
      <c r="T30" s="239"/>
      <c r="U30" s="233">
        <f>Q30+M30+I30+E30</f>
        <v>95963</v>
      </c>
      <c r="V30" s="233">
        <f>R30+N30+J30+F30</f>
        <v>92700</v>
      </c>
      <c r="W30" s="234">
        <f>IF(V30=0,0,U30/V30-1)</f>
        <v>3.5199568500539291E-2</v>
      </c>
      <c r="X30" s="64"/>
      <c r="Y30" s="263"/>
      <c r="AE30" s="314"/>
      <c r="AF30" s="314"/>
      <c r="AG30" s="314"/>
      <c r="AH30" s="314"/>
      <c r="AI30" s="314"/>
      <c r="AJ30" s="314"/>
      <c r="AL30" s="325"/>
    </row>
    <row r="31" spans="2:38" ht="14" x14ac:dyDescent="0.25">
      <c r="B31" s="221"/>
      <c r="E31" s="57"/>
      <c r="I31" s="57"/>
      <c r="J31" s="62"/>
      <c r="K31" s="63"/>
      <c r="X31" s="64"/>
    </row>
    <row r="32" spans="2:38" ht="14" x14ac:dyDescent="0.25">
      <c r="B32" s="221"/>
      <c r="E32" s="57"/>
      <c r="I32" s="57"/>
      <c r="J32" s="62"/>
      <c r="K32" s="63"/>
    </row>
    <row r="34" spans="2:38" ht="25" x14ac:dyDescent="0.25">
      <c r="B34" s="238"/>
      <c r="C34" s="238"/>
      <c r="D34" s="238"/>
      <c r="E34" s="758" t="s">
        <v>87</v>
      </c>
      <c r="F34" s="758"/>
      <c r="G34" s="758"/>
      <c r="H34" s="239"/>
      <c r="I34" s="758" t="s">
        <v>88</v>
      </c>
      <c r="J34" s="758"/>
      <c r="K34" s="758"/>
      <c r="L34" s="239"/>
      <c r="M34" s="758" t="s">
        <v>89</v>
      </c>
      <c r="N34" s="758"/>
      <c r="O34" s="758"/>
      <c r="P34" s="239"/>
      <c r="Q34" s="758" t="s">
        <v>90</v>
      </c>
      <c r="R34" s="758"/>
      <c r="S34" s="758"/>
      <c r="T34" s="239"/>
      <c r="U34" s="758" t="s">
        <v>91</v>
      </c>
      <c r="V34" s="758"/>
      <c r="W34" s="758"/>
    </row>
    <row r="35" spans="2:38" ht="6.75" customHeight="1" x14ac:dyDescent="0.25">
      <c r="B35" s="238"/>
      <c r="C35" s="238"/>
      <c r="D35" s="238"/>
      <c r="E35" s="553"/>
      <c r="F35" s="553"/>
      <c r="G35" s="553"/>
      <c r="H35" s="238"/>
      <c r="I35" s="553"/>
      <c r="J35" s="553"/>
      <c r="K35" s="553"/>
      <c r="L35" s="238"/>
      <c r="M35" s="553"/>
      <c r="N35" s="553"/>
      <c r="O35" s="553"/>
      <c r="P35" s="238"/>
      <c r="Q35" s="553"/>
      <c r="R35" s="553"/>
      <c r="S35" s="553"/>
      <c r="T35" s="238"/>
      <c r="U35" s="553"/>
      <c r="V35" s="553"/>
      <c r="W35" s="553"/>
    </row>
    <row r="36" spans="2:38" ht="24.75" customHeight="1" x14ac:dyDescent="0.25">
      <c r="B36" s="240"/>
      <c r="C36" s="241"/>
      <c r="D36" s="242"/>
      <c r="E36" s="554">
        <f>E13</f>
        <v>46082</v>
      </c>
      <c r="F36" s="555">
        <f>E36-360</f>
        <v>45722</v>
      </c>
      <c r="G36" s="556" t="s">
        <v>62</v>
      </c>
      <c r="H36" s="239"/>
      <c r="I36" s="554">
        <f>E36</f>
        <v>46082</v>
      </c>
      <c r="J36" s="555">
        <f>F36</f>
        <v>45722</v>
      </c>
      <c r="K36" s="556" t="s">
        <v>62</v>
      </c>
      <c r="L36" s="239"/>
      <c r="M36" s="554">
        <f>I36</f>
        <v>46082</v>
      </c>
      <c r="N36" s="555">
        <f>J36</f>
        <v>45722</v>
      </c>
      <c r="O36" s="556" t="s">
        <v>62</v>
      </c>
      <c r="P36" s="239"/>
      <c r="Q36" s="554">
        <f>M36</f>
        <v>46082</v>
      </c>
      <c r="R36" s="555">
        <f>N36</f>
        <v>45722</v>
      </c>
      <c r="S36" s="556" t="s">
        <v>62</v>
      </c>
      <c r="T36" s="239"/>
      <c r="U36" s="554">
        <f>Q36</f>
        <v>46082</v>
      </c>
      <c r="V36" s="555">
        <f>R36</f>
        <v>45722</v>
      </c>
      <c r="W36" s="556" t="s">
        <v>62</v>
      </c>
      <c r="AE36" s="756"/>
      <c r="AF36" s="756"/>
      <c r="AG36" s="756"/>
      <c r="AH36" s="756"/>
      <c r="AI36" s="756"/>
      <c r="AJ36" s="756"/>
    </row>
    <row r="37" spans="2:38" ht="6.75" customHeight="1" x14ac:dyDescent="0.25">
      <c r="B37" s="238"/>
      <c r="C37" s="238"/>
      <c r="D37" s="238"/>
      <c r="E37" s="553"/>
      <c r="F37" s="553"/>
      <c r="G37" s="553"/>
      <c r="H37" s="238"/>
      <c r="I37" s="553"/>
      <c r="J37" s="553"/>
      <c r="K37" s="553"/>
      <c r="L37" s="238"/>
      <c r="M37" s="553"/>
      <c r="N37" s="553"/>
      <c r="O37" s="553"/>
      <c r="P37" s="238"/>
      <c r="Q37" s="553"/>
      <c r="R37" s="553"/>
      <c r="S37" s="553"/>
      <c r="T37" s="238"/>
      <c r="U37" s="553"/>
      <c r="V37" s="553"/>
      <c r="W37" s="553"/>
      <c r="AE37" s="756"/>
      <c r="AF37" s="756"/>
      <c r="AG37" s="756"/>
    </row>
    <row r="38" spans="2:38" ht="6" customHeight="1" x14ac:dyDescent="0.25">
      <c r="B38" s="557"/>
      <c r="C38" s="557"/>
      <c r="D38" s="557"/>
      <c r="E38" s="557"/>
      <c r="F38" s="557"/>
      <c r="G38" s="557"/>
      <c r="H38" s="238"/>
      <c r="I38" s="557"/>
      <c r="J38" s="557"/>
      <c r="K38" s="557"/>
      <c r="L38" s="238"/>
      <c r="M38" s="557"/>
      <c r="N38" s="557"/>
      <c r="O38" s="557"/>
      <c r="P38" s="238"/>
      <c r="Q38" s="557"/>
      <c r="R38" s="557"/>
      <c r="S38" s="557"/>
      <c r="T38" s="238"/>
      <c r="U38" s="557"/>
      <c r="V38" s="557"/>
      <c r="W38" s="557"/>
    </row>
    <row r="39" spans="2:38" s="315" customFormat="1" ht="23" x14ac:dyDescent="0.25">
      <c r="B39" s="243" t="s">
        <v>10</v>
      </c>
      <c r="C39" s="312"/>
      <c r="D39" s="312"/>
      <c r="E39" s="334">
        <f>WAFASALAF!$D$11</f>
        <v>7879</v>
      </c>
      <c r="F39" s="334">
        <f>WAFASALAF!$E$11</f>
        <v>7491</v>
      </c>
      <c r="G39" s="290">
        <f>IF(F39=0,0,E39/F39-1)</f>
        <v>5.1795487918836036E-2</v>
      </c>
      <c r="H39" s="291"/>
      <c r="I39" s="334">
        <f>WAFASALAF!$D$23</f>
        <v>12058</v>
      </c>
      <c r="J39" s="334">
        <f>WAFASALAF!$E$23</f>
        <v>14202</v>
      </c>
      <c r="K39" s="290">
        <f>IF(J39=0,0,I39/J39-1)</f>
        <v>-0.15096465286579352</v>
      </c>
      <c r="L39" s="291"/>
      <c r="M39" s="334">
        <f>WAFASALAF!$D$18</f>
        <v>27117</v>
      </c>
      <c r="N39" s="334">
        <f>WAFASALAF!$E$18</f>
        <v>18156</v>
      </c>
      <c r="O39" s="290">
        <f>IF(N39=0,0,M39/N39-1)</f>
        <v>0.49355584930601459</v>
      </c>
      <c r="P39" s="291"/>
      <c r="Q39" s="334">
        <f>WAFASALAF!$D$28</f>
        <v>88</v>
      </c>
      <c r="R39" s="334">
        <f>WAFASALAF!$E$28</f>
        <v>44</v>
      </c>
      <c r="S39" s="290">
        <f>IF(R39=0,0,Q39/R39-1)</f>
        <v>1</v>
      </c>
      <c r="T39" s="291"/>
      <c r="U39" s="334">
        <f>Q39+M39+I39+E39</f>
        <v>47142</v>
      </c>
      <c r="V39" s="334">
        <f>R39+N39+J39+F39</f>
        <v>39893</v>
      </c>
      <c r="W39" s="290">
        <f>IF(V39=0,0,U39/V39-1)</f>
        <v>0.18171107713132639</v>
      </c>
      <c r="X39" s="314"/>
      <c r="AE39" s="314"/>
      <c r="AF39" s="314"/>
      <c r="AG39" s="314"/>
      <c r="AH39" s="314"/>
      <c r="AI39" s="314"/>
      <c r="AJ39" s="314"/>
      <c r="AL39" s="325"/>
    </row>
    <row r="40" spans="2:38" s="320" customFormat="1" ht="18" x14ac:dyDescent="0.25">
      <c r="B40" s="248" t="s">
        <v>67</v>
      </c>
      <c r="C40" s="316"/>
      <c r="D40" s="316"/>
      <c r="E40" s="317">
        <f>E39/E$53</f>
        <v>0.21810380622837369</v>
      </c>
      <c r="F40" s="317">
        <f>F39/F$53</f>
        <v>0.23194822888283378</v>
      </c>
      <c r="G40" s="318">
        <f>(E40-F40)*100</f>
        <v>-1.3844422654460091</v>
      </c>
      <c r="H40" s="319"/>
      <c r="I40" s="317">
        <f>I39/I$53</f>
        <v>0.37107247268810584</v>
      </c>
      <c r="J40" s="317">
        <f>J39/J$53</f>
        <v>0.3389660604324789</v>
      </c>
      <c r="K40" s="318">
        <f>(I40-J40)*100</f>
        <v>3.2106412255626937</v>
      </c>
      <c r="L40" s="319"/>
      <c r="M40" s="317">
        <f>M39/M$53</f>
        <v>0.99522883253202188</v>
      </c>
      <c r="N40" s="317">
        <f>N39/N$53</f>
        <v>0.98732938169557893</v>
      </c>
      <c r="O40" s="318">
        <f>(M40-N40)*100</f>
        <v>0.7899450836442945</v>
      </c>
      <c r="P40" s="319"/>
      <c r="Q40" s="317">
        <f>Q39/Q$53</f>
        <v>0.91666666666666663</v>
      </c>
      <c r="R40" s="317">
        <f>R39/R$53</f>
        <v>0.37606837606837606</v>
      </c>
      <c r="S40" s="318">
        <f>(Q40-R40)*100</f>
        <v>54.059829059829056</v>
      </c>
      <c r="T40" s="319"/>
      <c r="U40" s="317">
        <f>U39/U$53</f>
        <v>0.49125183664537375</v>
      </c>
      <c r="V40" s="317">
        <f>V39/V$53</f>
        <v>0.43034519956850054</v>
      </c>
      <c r="W40" s="318">
        <f>(U40-V40)*100</f>
        <v>6.0906637076873213</v>
      </c>
      <c r="AG40" s="321"/>
    </row>
    <row r="41" spans="2:38" ht="23.5" x14ac:dyDescent="0.25">
      <c r="B41" s="223" t="s">
        <v>2</v>
      </c>
      <c r="C41" s="224"/>
      <c r="D41" s="224"/>
      <c r="E41" s="335">
        <f>SOFAC!$D$11</f>
        <v>12681</v>
      </c>
      <c r="F41" s="335">
        <f>SOFAC!$E$11</f>
        <v>10600</v>
      </c>
      <c r="G41" s="226">
        <f>IF(F41=0,0,E41/F41-1)</f>
        <v>0.19632075471698118</v>
      </c>
      <c r="H41" s="247"/>
      <c r="I41" s="335">
        <f>SOFAC!$D$23</f>
        <v>4623</v>
      </c>
      <c r="J41" s="335">
        <f>SOFAC!$E$23</f>
        <v>5361</v>
      </c>
      <c r="K41" s="226">
        <f>IF(J41=0,0,I41/J41-1)</f>
        <v>-0.13766088416340239</v>
      </c>
      <c r="L41" s="247"/>
      <c r="M41" s="335">
        <f>SOFAC!$D$18</f>
        <v>118</v>
      </c>
      <c r="N41" s="335">
        <f>SOFAC!$E$18</f>
        <v>152</v>
      </c>
      <c r="O41" s="226">
        <f>IF(N41=0,0,M41/N41-1)</f>
        <v>-0.22368421052631582</v>
      </c>
      <c r="P41" s="247"/>
      <c r="Q41" s="335">
        <f>SOFAC!$D$28</f>
        <v>0</v>
      </c>
      <c r="R41" s="335">
        <f>SOFAC!$E$28</f>
        <v>0</v>
      </c>
      <c r="S41" s="226">
        <f>IF(R41=0,0,Q41/R41-1)</f>
        <v>0</v>
      </c>
      <c r="T41" s="247"/>
      <c r="U41" s="335">
        <f>Q41+M41+I41+E41</f>
        <v>17422</v>
      </c>
      <c r="V41" s="335">
        <f>R41+N41+J41+F41</f>
        <v>16113</v>
      </c>
      <c r="W41" s="226">
        <f>IF(V41=0,0,U41/V41-1)</f>
        <v>8.1238751318810865E-2</v>
      </c>
      <c r="X41" s="57"/>
      <c r="AA41" s="57"/>
      <c r="AB41" s="57"/>
      <c r="AC41" s="58"/>
      <c r="AE41" s="314"/>
      <c r="AF41" s="314"/>
      <c r="AG41" s="314"/>
      <c r="AH41" s="314"/>
      <c r="AI41" s="314"/>
      <c r="AJ41" s="314"/>
      <c r="AL41" s="325"/>
    </row>
    <row r="42" spans="2:38" ht="18.5" x14ac:dyDescent="0.25">
      <c r="B42" s="227" t="s">
        <v>67</v>
      </c>
      <c r="C42" s="228"/>
      <c r="D42" s="228"/>
      <c r="E42" s="229">
        <f>E41/E$53</f>
        <v>0.35103114186851209</v>
      </c>
      <c r="F42" s="229">
        <f>F41/F$53</f>
        <v>0.32821402031211294</v>
      </c>
      <c r="G42" s="230">
        <f>(E42-F42)*100</f>
        <v>2.2817121556399145</v>
      </c>
      <c r="H42" s="252"/>
      <c r="I42" s="229">
        <f>I41/I$53</f>
        <v>0.1422680412371134</v>
      </c>
      <c r="J42" s="229">
        <f>J41/J$53</f>
        <v>0.12795360160389518</v>
      </c>
      <c r="K42" s="230">
        <f>(I42-J42)*100</f>
        <v>1.4314439633218212</v>
      </c>
      <c r="L42" s="252"/>
      <c r="M42" s="229">
        <f>M41/M$53</f>
        <v>4.3307520093955297E-3</v>
      </c>
      <c r="N42" s="229">
        <f>N41/N$53</f>
        <v>8.265811082712491E-3</v>
      </c>
      <c r="O42" s="230">
        <f>(M42-N42)*100</f>
        <v>-0.3935059073316961</v>
      </c>
      <c r="P42" s="252"/>
      <c r="Q42" s="229">
        <f>Q41/Q$53</f>
        <v>0</v>
      </c>
      <c r="R42" s="229">
        <f>R41/R$53</f>
        <v>0</v>
      </c>
      <c r="S42" s="230">
        <f>(Q42-R42)*100</f>
        <v>0</v>
      </c>
      <c r="T42" s="252"/>
      <c r="U42" s="229">
        <f>U41/U$53</f>
        <v>0.1815491387305524</v>
      </c>
      <c r="V42" s="229">
        <f>V41/V$53</f>
        <v>0.17381877022653722</v>
      </c>
      <c r="W42" s="230">
        <f>(U42-V42)*100</f>
        <v>0.77303685040151782</v>
      </c>
      <c r="AA42" s="57"/>
      <c r="AB42" s="57"/>
      <c r="AC42" s="58"/>
      <c r="AG42" s="57"/>
    </row>
    <row r="43" spans="2:38" ht="23.5" x14ac:dyDescent="0.25">
      <c r="B43" s="243" t="s">
        <v>5</v>
      </c>
      <c r="C43" s="278"/>
      <c r="D43" s="278"/>
      <c r="E43" s="336">
        <f>VIVALIS!$D$11</f>
        <v>4449</v>
      </c>
      <c r="F43" s="336">
        <f>VIVALIS!$E$11</f>
        <v>5026</v>
      </c>
      <c r="G43" s="280">
        <f>IF(F43=0,0,E43/F43-1)</f>
        <v>-0.11480302427377631</v>
      </c>
      <c r="H43" s="247"/>
      <c r="I43" s="336">
        <f>VIVALIS!$D$23</f>
        <v>5849</v>
      </c>
      <c r="J43" s="336">
        <f>VIVALIS!$E$23</f>
        <v>8309</v>
      </c>
      <c r="K43" s="280">
        <f>IF(J43=0,0,I43/J43-1)</f>
        <v>-0.29606450836442411</v>
      </c>
      <c r="L43" s="247"/>
      <c r="M43" s="336">
        <f>VIVALIS!$D$18</f>
        <v>0</v>
      </c>
      <c r="N43" s="336">
        <f>VIVALIS!$E$18</f>
        <v>0</v>
      </c>
      <c r="O43" s="280">
        <f>IF(N43=0,0,M43/N43-1)</f>
        <v>0</v>
      </c>
      <c r="P43" s="247"/>
      <c r="Q43" s="336">
        <f>VIVALIS!$D$28</f>
        <v>0</v>
      </c>
      <c r="R43" s="336">
        <f>VIVALIS!$E$28</f>
        <v>0</v>
      </c>
      <c r="S43" s="280">
        <f>IF(R43=0,0,Q43/R43-1)</f>
        <v>0</v>
      </c>
      <c r="T43" s="247"/>
      <c r="U43" s="336">
        <f>Q43+M43+I43+E43</f>
        <v>10298</v>
      </c>
      <c r="V43" s="336">
        <f>R43+N43+J43+F43</f>
        <v>13335</v>
      </c>
      <c r="W43" s="280">
        <f>IF(V43=0,0,U43/V43-1)</f>
        <v>-0.22774653168353953</v>
      </c>
      <c r="X43" s="57"/>
      <c r="AA43" s="57"/>
      <c r="AB43" s="57"/>
      <c r="AC43" s="58"/>
      <c r="AE43" s="314"/>
      <c r="AF43" s="314"/>
      <c r="AG43" s="314"/>
      <c r="AH43" s="314"/>
      <c r="AI43" s="314"/>
      <c r="AJ43" s="314"/>
      <c r="AL43" s="325"/>
    </row>
    <row r="44" spans="2:38" ht="18.5" x14ac:dyDescent="0.25">
      <c r="B44" s="248" t="s">
        <v>67</v>
      </c>
      <c r="C44" s="281"/>
      <c r="D44" s="281"/>
      <c r="E44" s="282">
        <f>E43/E$53</f>
        <v>0.12315570934256055</v>
      </c>
      <c r="F44" s="282">
        <f>F43/F$53</f>
        <v>0.15562298736685656</v>
      </c>
      <c r="G44" s="283">
        <f>(E44-F44)*100</f>
        <v>-3.2467278024296014</v>
      </c>
      <c r="H44" s="252"/>
      <c r="I44" s="282">
        <f>I43/I$53</f>
        <v>0.17999692260347747</v>
      </c>
      <c r="J44" s="282">
        <f>J43/J$53</f>
        <v>0.19831495536779797</v>
      </c>
      <c r="K44" s="283">
        <f>(I44-J44)*100</f>
        <v>-1.8318032764320509</v>
      </c>
      <c r="L44" s="252"/>
      <c r="M44" s="282">
        <f>M43/M$53</f>
        <v>0</v>
      </c>
      <c r="N44" s="282">
        <f>N43/N$53</f>
        <v>0</v>
      </c>
      <c r="O44" s="283">
        <f>(M44-N44)*100</f>
        <v>0</v>
      </c>
      <c r="P44" s="252"/>
      <c r="Q44" s="282">
        <f>Q43/Q$53</f>
        <v>0</v>
      </c>
      <c r="R44" s="282">
        <f>R43/R$53</f>
        <v>0</v>
      </c>
      <c r="S44" s="283">
        <f>(Q44-R44)*100</f>
        <v>0</v>
      </c>
      <c r="T44" s="252"/>
      <c r="U44" s="282">
        <f>U43/U$53</f>
        <v>0.10731219324114502</v>
      </c>
      <c r="V44" s="282">
        <f>V43/V$53</f>
        <v>0.14385113268608415</v>
      </c>
      <c r="W44" s="283">
        <f>(U44-V44)*100</f>
        <v>-3.6538939444939134</v>
      </c>
      <c r="AA44" s="57"/>
      <c r="AB44" s="57"/>
      <c r="AC44" s="58"/>
      <c r="AG44" s="57"/>
    </row>
    <row r="45" spans="2:38" ht="23.5" x14ac:dyDescent="0.25">
      <c r="B45" s="243" t="s">
        <v>6</v>
      </c>
      <c r="C45" s="244"/>
      <c r="D45" s="244"/>
      <c r="E45" s="337">
        <f>EQDOM!$D$11</f>
        <v>2667</v>
      </c>
      <c r="F45" s="337">
        <f>EQDOM!$E$11</f>
        <v>2138</v>
      </c>
      <c r="G45" s="246">
        <f>IF(F45=0,0,E45/F45-1)</f>
        <v>0.24742750233863431</v>
      </c>
      <c r="H45" s="247"/>
      <c r="I45" s="337">
        <f>EQDOM!$D$23</f>
        <v>6125</v>
      </c>
      <c r="J45" s="337">
        <f>EQDOM!$E$23</f>
        <v>8043</v>
      </c>
      <c r="K45" s="246">
        <f>IF(J45=0,0,I45/J45-1)</f>
        <v>-0.23846823324630118</v>
      </c>
      <c r="L45" s="247"/>
      <c r="M45" s="337">
        <f>EQDOM!$D$18</f>
        <v>12</v>
      </c>
      <c r="N45" s="337">
        <f>EQDOM!$E$18</f>
        <v>81</v>
      </c>
      <c r="O45" s="246">
        <f>IF(N45=0,0,M45/N45-1)</f>
        <v>-0.85185185185185186</v>
      </c>
      <c r="P45" s="247"/>
      <c r="Q45" s="337">
        <f>EQDOM!$D$28</f>
        <v>0</v>
      </c>
      <c r="R45" s="337">
        <f>EQDOM!$E$28</f>
        <v>0</v>
      </c>
      <c r="S45" s="246">
        <f>IF(R45=0,0,Q45/R45-1)</f>
        <v>0</v>
      </c>
      <c r="T45" s="247"/>
      <c r="U45" s="337">
        <f>Q45+M45+I45+E45</f>
        <v>8804</v>
      </c>
      <c r="V45" s="337">
        <f>R45+N45+J45+F45</f>
        <v>10262</v>
      </c>
      <c r="W45" s="246">
        <f>IF(V45=0,0,U45/V45-1)</f>
        <v>-0.14207756772558955</v>
      </c>
      <c r="X45" s="57"/>
      <c r="AE45" s="314"/>
      <c r="AF45" s="314"/>
      <c r="AG45" s="314"/>
      <c r="AH45" s="314"/>
      <c r="AI45" s="314"/>
      <c r="AJ45" s="314"/>
      <c r="AL45" s="325"/>
    </row>
    <row r="46" spans="2:38" ht="18.5" x14ac:dyDescent="0.25">
      <c r="B46" s="248" t="s">
        <v>67</v>
      </c>
      <c r="C46" s="249"/>
      <c r="D46" s="249"/>
      <c r="E46" s="250">
        <f>E45/E$53</f>
        <v>7.3826989619377156E-2</v>
      </c>
      <c r="F46" s="250">
        <f>F45/F$53</f>
        <v>6.620014862521674E-2</v>
      </c>
      <c r="G46" s="251">
        <f>(E46-F46)*100</f>
        <v>0.76268409941604165</v>
      </c>
      <c r="H46" s="252"/>
      <c r="I46" s="250">
        <f>I45/I$53</f>
        <v>0.18849053700569318</v>
      </c>
      <c r="J46" s="250">
        <f>J45/J$53</f>
        <v>0.19196620363740513</v>
      </c>
      <c r="K46" s="251">
        <f>(I46-J46)*100</f>
        <v>-0.34756666317119489</v>
      </c>
      <c r="L46" s="252"/>
      <c r="M46" s="250">
        <f>M45/M$53</f>
        <v>4.4041545858259626E-4</v>
      </c>
      <c r="N46" s="250">
        <f>N45/N$53</f>
        <v>4.4048072217086299E-3</v>
      </c>
      <c r="O46" s="251">
        <f>(M46-N46)*100</f>
        <v>-0.39643917631260339</v>
      </c>
      <c r="P46" s="252"/>
      <c r="Q46" s="250">
        <f>Q45/Q$53</f>
        <v>0</v>
      </c>
      <c r="R46" s="250">
        <f>R45/R$53</f>
        <v>0</v>
      </c>
      <c r="S46" s="251">
        <f>(Q46-R46)*100</f>
        <v>0</v>
      </c>
      <c r="T46" s="252"/>
      <c r="U46" s="250">
        <f>U45/U$53</f>
        <v>9.1743692881631464E-2</v>
      </c>
      <c r="V46" s="250">
        <f>V45/V$53</f>
        <v>0.11070118662351672</v>
      </c>
      <c r="W46" s="251">
        <f>(U46-V46)*100</f>
        <v>-1.8957493741885254</v>
      </c>
      <c r="AG46" s="57"/>
    </row>
    <row r="47" spans="2:38" ht="23.5" x14ac:dyDescent="0.25">
      <c r="B47" s="243" t="s">
        <v>4</v>
      </c>
      <c r="C47" s="244"/>
      <c r="D47" s="244"/>
      <c r="E47" s="337">
        <f>'RCI '!$D$11</f>
        <v>7423</v>
      </c>
      <c r="F47" s="337">
        <f>'RCI '!$E$11</f>
        <v>5984</v>
      </c>
      <c r="G47" s="246">
        <f>IF(F47=0,0,E47/F47-1)</f>
        <v>0.24047459893048129</v>
      </c>
      <c r="H47" s="247"/>
      <c r="I47" s="337">
        <f>'RCI '!$D$23</f>
        <v>0</v>
      </c>
      <c r="J47" s="337">
        <f>'RCI '!$E$23</f>
        <v>0</v>
      </c>
      <c r="K47" s="246">
        <f>IF(J47=0,0,I47/J47-1)</f>
        <v>0</v>
      </c>
      <c r="L47" s="247"/>
      <c r="M47" s="337">
        <f>'RCI '!$D$18</f>
        <v>0</v>
      </c>
      <c r="N47" s="337">
        <f>'RCI '!$E$18</f>
        <v>0</v>
      </c>
      <c r="O47" s="246">
        <f>IF(N47=0,0,M47/N47-1)</f>
        <v>0</v>
      </c>
      <c r="P47" s="247"/>
      <c r="Q47" s="337">
        <f>'RCI '!$D$28</f>
        <v>0</v>
      </c>
      <c r="R47" s="337">
        <f>'RCI '!$E$28</f>
        <v>0</v>
      </c>
      <c r="S47" s="246">
        <f>IF(R47=0,0,Q47/R47-1)</f>
        <v>0</v>
      </c>
      <c r="T47" s="247"/>
      <c r="U47" s="337">
        <f>Q47+M47+I47+E47</f>
        <v>7423</v>
      </c>
      <c r="V47" s="337">
        <f>R47+N47+J47+F47</f>
        <v>5984</v>
      </c>
      <c r="W47" s="246">
        <f>IF(V47=0,0,U47/V47-1)</f>
        <v>0.24047459893048129</v>
      </c>
      <c r="X47" s="57"/>
      <c r="Y47" s="332"/>
      <c r="AE47" s="314"/>
      <c r="AF47" s="314"/>
      <c r="AG47" s="314"/>
      <c r="AH47" s="314"/>
      <c r="AI47" s="314"/>
      <c r="AJ47" s="314"/>
      <c r="AL47" s="325"/>
    </row>
    <row r="48" spans="2:38" ht="18.5" x14ac:dyDescent="0.25">
      <c r="B48" s="248" t="s">
        <v>67</v>
      </c>
      <c r="C48" s="249"/>
      <c r="D48" s="249"/>
      <c r="E48" s="250">
        <f>E47/E$53</f>
        <v>0.2054809688581315</v>
      </c>
      <c r="F48" s="250">
        <f>F47/F$53</f>
        <v>0.18528610354223432</v>
      </c>
      <c r="G48" s="251">
        <f>(E48-F48)*100</f>
        <v>2.0194865315897177</v>
      </c>
      <c r="H48" s="252"/>
      <c r="I48" s="250">
        <f>I47/I$53</f>
        <v>0</v>
      </c>
      <c r="J48" s="250">
        <f>J47/J$53</f>
        <v>0</v>
      </c>
      <c r="K48" s="251">
        <f>(I48-J48)*100</f>
        <v>0</v>
      </c>
      <c r="L48" s="252"/>
      <c r="M48" s="250">
        <f>M47/M$53</f>
        <v>0</v>
      </c>
      <c r="N48" s="250">
        <f>N47/N$53</f>
        <v>0</v>
      </c>
      <c r="O48" s="251">
        <f>(M48-N48)*100</f>
        <v>0</v>
      </c>
      <c r="P48" s="252"/>
      <c r="Q48" s="250">
        <f>Q47/Q$53</f>
        <v>0</v>
      </c>
      <c r="R48" s="250">
        <f>R47/R$53</f>
        <v>0</v>
      </c>
      <c r="S48" s="251">
        <f>(Q48-R48)*100</f>
        <v>0</v>
      </c>
      <c r="T48" s="252"/>
      <c r="U48" s="250">
        <f>U47/U$53</f>
        <v>7.7352729697904396E-2</v>
      </c>
      <c r="V48" s="250">
        <f>V47/V$53</f>
        <v>6.455231930960087E-2</v>
      </c>
      <c r="W48" s="251">
        <f>(U48-V48)*100</f>
        <v>1.2800410388303527</v>
      </c>
      <c r="AG48" s="57"/>
    </row>
    <row r="49" spans="2:38" ht="23.5" x14ac:dyDescent="0.25">
      <c r="B49" s="243" t="s">
        <v>7</v>
      </c>
      <c r="C49" s="244"/>
      <c r="D49" s="244"/>
      <c r="E49" s="337">
        <f>SALAFIN!$D$11</f>
        <v>377</v>
      </c>
      <c r="F49" s="337">
        <f>SALAFIN!$E$11</f>
        <v>439</v>
      </c>
      <c r="G49" s="246">
        <f>IF(F49=0,0,E49/F49-1)</f>
        <v>-0.14123006833712981</v>
      </c>
      <c r="H49" s="247"/>
      <c r="I49" s="337">
        <f>SALAFIN!$D$23</f>
        <v>1534</v>
      </c>
      <c r="J49" s="337">
        <f>SALAFIN!$E$23</f>
        <v>1918</v>
      </c>
      <c r="K49" s="246">
        <f>IF(J49=0,0,I49/J49-1)</f>
        <v>-0.20020855057351405</v>
      </c>
      <c r="L49" s="247"/>
      <c r="M49" s="337">
        <f>SALAFIN!$D$18</f>
        <v>0</v>
      </c>
      <c r="N49" s="337">
        <f>SALAFIN!$E$18</f>
        <v>0</v>
      </c>
      <c r="O49" s="246">
        <f>IF(N49=0,0,M49/N49-1)</f>
        <v>0</v>
      </c>
      <c r="P49" s="247"/>
      <c r="Q49" s="337">
        <f>SALAFIN!$D$28</f>
        <v>8</v>
      </c>
      <c r="R49" s="337">
        <f>SALAFIN!$E$28</f>
        <v>73</v>
      </c>
      <c r="S49" s="246">
        <f>IF(R49=0,0,Q49/R49-1)</f>
        <v>-0.8904109589041096</v>
      </c>
      <c r="T49" s="247"/>
      <c r="U49" s="337">
        <f>Q49+M49+I49+E49</f>
        <v>1919</v>
      </c>
      <c r="V49" s="337">
        <f>R49+N49+J49+F49</f>
        <v>2430</v>
      </c>
      <c r="W49" s="246">
        <f>IF(V49=0,0,U49/V49-1)</f>
        <v>-0.21028806584362136</v>
      </c>
      <c r="X49" s="57"/>
      <c r="AE49" s="314"/>
      <c r="AF49" s="314"/>
      <c r="AG49" s="314"/>
      <c r="AH49" s="314"/>
      <c r="AI49" s="314"/>
      <c r="AJ49" s="314"/>
      <c r="AL49" s="325"/>
    </row>
    <row r="50" spans="2:38" ht="18.5" x14ac:dyDescent="0.25">
      <c r="B50" s="248" t="s">
        <v>67</v>
      </c>
      <c r="C50" s="249"/>
      <c r="D50" s="249"/>
      <c r="E50" s="250">
        <f>E49/E$53</f>
        <v>1.043598615916955E-2</v>
      </c>
      <c r="F50" s="250">
        <f>F49/F$53</f>
        <v>1.3593014614812981E-2</v>
      </c>
      <c r="G50" s="251">
        <f>(E50-F50)*100</f>
        <v>-0.31570284556434303</v>
      </c>
      <c r="H50" s="252"/>
      <c r="I50" s="250">
        <f>I49/I$53</f>
        <v>4.7207262655793197E-2</v>
      </c>
      <c r="J50" s="250">
        <f>J49/J$53</f>
        <v>4.5777841424411665E-2</v>
      </c>
      <c r="K50" s="251">
        <f>(I50-J50)*100</f>
        <v>0.14294212313815322</v>
      </c>
      <c r="L50" s="252"/>
      <c r="M50" s="250">
        <f>M49/M$53</f>
        <v>0</v>
      </c>
      <c r="N50" s="250">
        <f>N49/N$53</f>
        <v>0</v>
      </c>
      <c r="O50" s="251">
        <f>(M50-N50)*100</f>
        <v>0</v>
      </c>
      <c r="P50" s="252"/>
      <c r="Q50" s="250">
        <f>Q49/Q$53</f>
        <v>8.3333333333333329E-2</v>
      </c>
      <c r="R50" s="250">
        <f>R49/R$53</f>
        <v>0.62393162393162394</v>
      </c>
      <c r="S50" s="251">
        <f>(Q50-R50)*100</f>
        <v>-54.059829059829056</v>
      </c>
      <c r="T50" s="252"/>
      <c r="U50" s="250">
        <f>U49/U$53</f>
        <v>1.9997290622427395E-2</v>
      </c>
      <c r="V50" s="250">
        <f>V49/V$53</f>
        <v>2.621359223300971E-2</v>
      </c>
      <c r="W50" s="251">
        <f>(U50-V50)*100</f>
        <v>-0.62163016105823143</v>
      </c>
      <c r="AG50" s="57"/>
    </row>
    <row r="51" spans="2:38" ht="23.5" x14ac:dyDescent="0.25">
      <c r="B51" s="243" t="s">
        <v>11</v>
      </c>
      <c r="C51" s="244"/>
      <c r="D51" s="244"/>
      <c r="E51" s="337">
        <f>'AXA CREDIT'!$D$11</f>
        <v>5</v>
      </c>
      <c r="F51" s="337">
        <f>'AXA CREDIT'!$E$11</f>
        <v>5</v>
      </c>
      <c r="G51" s="246">
        <f>IF(F51=0,0,E51/F51-1)</f>
        <v>0</v>
      </c>
      <c r="H51" s="247"/>
      <c r="I51" s="337">
        <f>'AXA CREDIT'!$D$23</f>
        <v>2167</v>
      </c>
      <c r="J51" s="337">
        <f>'AXA CREDIT'!$E$23</f>
        <v>3772</v>
      </c>
      <c r="K51" s="246">
        <f>IF(J51=0,0,I51/J51-1)</f>
        <v>-0.42550371155885469</v>
      </c>
      <c r="L51" s="247"/>
      <c r="M51" s="337">
        <f>'AXA CREDIT'!$D$18</f>
        <v>0</v>
      </c>
      <c r="N51" s="337">
        <f>'AXA CREDIT'!$E$18</f>
        <v>0</v>
      </c>
      <c r="O51" s="246">
        <f>IF(N51=0,0,M51/N51-1)</f>
        <v>0</v>
      </c>
      <c r="P51" s="247"/>
      <c r="Q51" s="337">
        <f>'AXA CREDIT'!$D$28</f>
        <v>0</v>
      </c>
      <c r="R51" s="337">
        <f>'AXA CREDIT'!$E$28</f>
        <v>0</v>
      </c>
      <c r="S51" s="246">
        <f>IF(R51=0,0,Q51/R51-1)</f>
        <v>0</v>
      </c>
      <c r="T51" s="247"/>
      <c r="U51" s="337">
        <f>Q51+M51+I51+E51</f>
        <v>2172</v>
      </c>
      <c r="V51" s="337">
        <f>R51+N51+J51+F51</f>
        <v>3777</v>
      </c>
      <c r="W51" s="246">
        <f>IF(V51=0,0,U51/V51-1)</f>
        <v>-0.42494042891183481</v>
      </c>
      <c r="X51" s="57"/>
      <c r="AE51" s="314"/>
      <c r="AF51" s="314"/>
      <c r="AG51" s="314"/>
      <c r="AH51" s="314"/>
      <c r="AI51" s="314"/>
      <c r="AJ51" s="314"/>
      <c r="AL51" s="325"/>
    </row>
    <row r="52" spans="2:38" ht="19" thickBot="1" x14ac:dyDescent="0.3">
      <c r="B52" s="248" t="s">
        <v>67</v>
      </c>
      <c r="C52" s="249"/>
      <c r="D52" s="249"/>
      <c r="E52" s="250">
        <f>E51/E$53</f>
        <v>1.3840830449826991E-4</v>
      </c>
      <c r="F52" s="250">
        <f>F51/F$53</f>
        <v>1.5481793410948723E-4</v>
      </c>
      <c r="G52" s="251">
        <f>(E52-F52)*100</f>
        <v>-1.6409629611217327E-3</v>
      </c>
      <c r="H52" s="252"/>
      <c r="I52" s="250">
        <f>I51/I$53</f>
        <v>6.6687182643483611E-2</v>
      </c>
      <c r="J52" s="250">
        <f>J51/J$53</f>
        <v>9.0028163635495734E-2</v>
      </c>
      <c r="K52" s="251">
        <f>(I52-J52)*100</f>
        <v>-2.3340980992012121</v>
      </c>
      <c r="L52" s="252"/>
      <c r="M52" s="250">
        <f>M51/M$53</f>
        <v>0</v>
      </c>
      <c r="N52" s="250">
        <f>N51/N$53</f>
        <v>0</v>
      </c>
      <c r="O52" s="251">
        <f>(M52-N52)*100</f>
        <v>0</v>
      </c>
      <c r="P52" s="252"/>
      <c r="Q52" s="250">
        <f>Q51/Q$53</f>
        <v>0</v>
      </c>
      <c r="R52" s="250">
        <f>R51/R$53</f>
        <v>0</v>
      </c>
      <c r="S52" s="251">
        <f>(Q52-R52)*100</f>
        <v>0</v>
      </c>
      <c r="T52" s="252"/>
      <c r="U52" s="250">
        <f>U51/U$53</f>
        <v>2.263372341423257E-2</v>
      </c>
      <c r="V52" s="250">
        <f>V51/V$53</f>
        <v>4.0744336569579286E-2</v>
      </c>
      <c r="W52" s="251">
        <f>(U52-V52)*100</f>
        <v>-1.8110613155346715</v>
      </c>
      <c r="AG52" s="57"/>
    </row>
    <row r="53" spans="2:38" ht="26.5" thickBot="1" x14ac:dyDescent="0.65">
      <c r="B53" s="231" t="s">
        <v>8</v>
      </c>
      <c r="C53" s="232"/>
      <c r="D53" s="233"/>
      <c r="E53" s="338">
        <f>GLOBAL!$D$11</f>
        <v>36125</v>
      </c>
      <c r="F53" s="338">
        <f>GLOBAL!$E$11</f>
        <v>32296</v>
      </c>
      <c r="G53" s="234">
        <f>IF(F53=0,0,E53/F53-1)</f>
        <v>0.11855957394104544</v>
      </c>
      <c r="H53" s="239"/>
      <c r="I53" s="338">
        <f>GLOBAL!$D$23</f>
        <v>32495</v>
      </c>
      <c r="J53" s="338">
        <f>GLOBAL!$E$23</f>
        <v>41898</v>
      </c>
      <c r="K53" s="234">
        <f>IF(J53=0,0,I53/J53-1)</f>
        <v>-0.22442598692061677</v>
      </c>
      <c r="L53" s="239"/>
      <c r="M53" s="339">
        <f>GLOBAL!$D$18</f>
        <v>27247</v>
      </c>
      <c r="N53" s="339">
        <f>GLOBAL!$E$18</f>
        <v>18389</v>
      </c>
      <c r="O53" s="234">
        <f>IF(N53=0,0,M53/N53-1)</f>
        <v>0.48170101691228462</v>
      </c>
      <c r="P53" s="239"/>
      <c r="Q53" s="339">
        <f>GLOBAL!$D$28</f>
        <v>96</v>
      </c>
      <c r="R53" s="339">
        <f>GLOBAL!$E$28</f>
        <v>117</v>
      </c>
      <c r="S53" s="234">
        <f>IF(R53=0,0,Q53/R53-1)</f>
        <v>-0.17948717948717952</v>
      </c>
      <c r="T53" s="239"/>
      <c r="U53" s="338">
        <f>Q53+M53+I53+E53</f>
        <v>95963</v>
      </c>
      <c r="V53" s="338">
        <f>R53+N53+J53+F53</f>
        <v>92700</v>
      </c>
      <c r="W53" s="234">
        <f>IF(V53=0,0,U53/V53-1)</f>
        <v>3.5199568500539291E-2</v>
      </c>
      <c r="X53" s="64"/>
      <c r="Y53" s="263"/>
      <c r="AE53" s="314"/>
      <c r="AF53" s="314"/>
      <c r="AG53" s="314"/>
      <c r="AH53" s="314"/>
      <c r="AI53" s="314"/>
      <c r="AJ53" s="314"/>
      <c r="AL53" s="325"/>
    </row>
  </sheetData>
  <mergeCells count="15">
    <mergeCell ref="B9:W9"/>
    <mergeCell ref="E11:G11"/>
    <mergeCell ref="I11:K11"/>
    <mergeCell ref="M11:O11"/>
    <mergeCell ref="Q11:S11"/>
    <mergeCell ref="U11:W11"/>
    <mergeCell ref="AE36:AG37"/>
    <mergeCell ref="AH36:AJ36"/>
    <mergeCell ref="AE13:AG14"/>
    <mergeCell ref="AH13:AJ13"/>
    <mergeCell ref="E34:G34"/>
    <mergeCell ref="I34:K34"/>
    <mergeCell ref="M34:O34"/>
    <mergeCell ref="Q34:S34"/>
    <mergeCell ref="U34:W34"/>
  </mergeCells>
  <printOptions horizontalCentered="1"/>
  <pageMargins left="0" right="0" top="0" bottom="0" header="0" footer="0"/>
  <pageSetup paperSize="9" scale="44" fitToHeight="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dimension ref="A1:O140"/>
  <sheetViews>
    <sheetView showGridLines="0" view="pageBreakPreview" zoomScale="81" zoomScaleNormal="90" zoomScaleSheetLayoutView="90" workbookViewId="0">
      <selection activeCell="F25" sqref="F25"/>
    </sheetView>
  </sheetViews>
  <sheetFormatPr baseColWidth="10" defaultColWidth="10.26953125" defaultRowHeight="14.5" x14ac:dyDescent="0.35"/>
  <cols>
    <col min="1" max="1" width="49.81640625" style="214" customWidth="1"/>
    <col min="2" max="3" width="17.7265625" style="214" bestFit="1" customWidth="1"/>
    <col min="4" max="9" width="16.1796875" style="214" customWidth="1"/>
    <col min="10" max="10" width="17.54296875" style="214" customWidth="1"/>
    <col min="11" max="11" width="10.7265625" style="146" customWidth="1"/>
    <col min="12" max="12" width="10.26953125" style="146"/>
    <col min="13" max="13" width="11.54296875" style="146" customWidth="1"/>
    <col min="14" max="256" width="10.26953125" style="146"/>
    <col min="257" max="257" width="49.81640625" style="146" customWidth="1"/>
    <col min="258" max="265" width="16.1796875" style="146" customWidth="1"/>
    <col min="266" max="266" width="12.453125" style="146" customWidth="1"/>
    <col min="267" max="512" width="10.26953125" style="146"/>
    <col min="513" max="513" width="49.81640625" style="146" customWidth="1"/>
    <col min="514" max="521" width="16.1796875" style="146" customWidth="1"/>
    <col min="522" max="522" width="12.453125" style="146" customWidth="1"/>
    <col min="523" max="768" width="10.26953125" style="146"/>
    <col min="769" max="769" width="49.81640625" style="146" customWidth="1"/>
    <col min="770" max="777" width="16.1796875" style="146" customWidth="1"/>
    <col min="778" max="778" width="12.453125" style="146" customWidth="1"/>
    <col min="779" max="1024" width="10.26953125" style="146"/>
    <col min="1025" max="1025" width="49.81640625" style="146" customWidth="1"/>
    <col min="1026" max="1033" width="16.1796875" style="146" customWidth="1"/>
    <col min="1034" max="1034" width="12.453125" style="146" customWidth="1"/>
    <col min="1035" max="1280" width="10.26953125" style="146"/>
    <col min="1281" max="1281" width="49.81640625" style="146" customWidth="1"/>
    <col min="1282" max="1289" width="16.1796875" style="146" customWidth="1"/>
    <col min="1290" max="1290" width="12.453125" style="146" customWidth="1"/>
    <col min="1291" max="1536" width="10.26953125" style="146"/>
    <col min="1537" max="1537" width="49.81640625" style="146" customWidth="1"/>
    <col min="1538" max="1545" width="16.1796875" style="146" customWidth="1"/>
    <col min="1546" max="1546" width="12.453125" style="146" customWidth="1"/>
    <col min="1547" max="1792" width="10.26953125" style="146"/>
    <col min="1793" max="1793" width="49.81640625" style="146" customWidth="1"/>
    <col min="1794" max="1801" width="16.1796875" style="146" customWidth="1"/>
    <col min="1802" max="1802" width="12.453125" style="146" customWidth="1"/>
    <col min="1803" max="2048" width="10.26953125" style="146"/>
    <col min="2049" max="2049" width="49.81640625" style="146" customWidth="1"/>
    <col min="2050" max="2057" width="16.1796875" style="146" customWidth="1"/>
    <col min="2058" max="2058" width="12.453125" style="146" customWidth="1"/>
    <col min="2059" max="2304" width="10.26953125" style="146"/>
    <col min="2305" max="2305" width="49.81640625" style="146" customWidth="1"/>
    <col min="2306" max="2313" width="16.1796875" style="146" customWidth="1"/>
    <col min="2314" max="2314" width="12.453125" style="146" customWidth="1"/>
    <col min="2315" max="2560" width="10.26953125" style="146"/>
    <col min="2561" max="2561" width="49.81640625" style="146" customWidth="1"/>
    <col min="2562" max="2569" width="16.1796875" style="146" customWidth="1"/>
    <col min="2570" max="2570" width="12.453125" style="146" customWidth="1"/>
    <col min="2571" max="2816" width="10.26953125" style="146"/>
    <col min="2817" max="2817" width="49.81640625" style="146" customWidth="1"/>
    <col min="2818" max="2825" width="16.1796875" style="146" customWidth="1"/>
    <col min="2826" max="2826" width="12.453125" style="146" customWidth="1"/>
    <col min="2827" max="3072" width="10.26953125" style="146"/>
    <col min="3073" max="3073" width="49.81640625" style="146" customWidth="1"/>
    <col min="3074" max="3081" width="16.1796875" style="146" customWidth="1"/>
    <col min="3082" max="3082" width="12.453125" style="146" customWidth="1"/>
    <col min="3083" max="3328" width="10.26953125" style="146"/>
    <col min="3329" max="3329" width="49.81640625" style="146" customWidth="1"/>
    <col min="3330" max="3337" width="16.1796875" style="146" customWidth="1"/>
    <col min="3338" max="3338" width="12.453125" style="146" customWidth="1"/>
    <col min="3339" max="3584" width="10.26953125" style="146"/>
    <col min="3585" max="3585" width="49.81640625" style="146" customWidth="1"/>
    <col min="3586" max="3593" width="16.1796875" style="146" customWidth="1"/>
    <col min="3594" max="3594" width="12.453125" style="146" customWidth="1"/>
    <col min="3595" max="3840" width="10.26953125" style="146"/>
    <col min="3841" max="3841" width="49.81640625" style="146" customWidth="1"/>
    <col min="3842" max="3849" width="16.1796875" style="146" customWidth="1"/>
    <col min="3850" max="3850" width="12.453125" style="146" customWidth="1"/>
    <col min="3851" max="4096" width="10.26953125" style="146"/>
    <col min="4097" max="4097" width="49.81640625" style="146" customWidth="1"/>
    <col min="4098" max="4105" width="16.1796875" style="146" customWidth="1"/>
    <col min="4106" max="4106" width="12.453125" style="146" customWidth="1"/>
    <col min="4107" max="4352" width="10.26953125" style="146"/>
    <col min="4353" max="4353" width="49.81640625" style="146" customWidth="1"/>
    <col min="4354" max="4361" width="16.1796875" style="146" customWidth="1"/>
    <col min="4362" max="4362" width="12.453125" style="146" customWidth="1"/>
    <col min="4363" max="4608" width="10.26953125" style="146"/>
    <col min="4609" max="4609" width="49.81640625" style="146" customWidth="1"/>
    <col min="4610" max="4617" width="16.1796875" style="146" customWidth="1"/>
    <col min="4618" max="4618" width="12.453125" style="146" customWidth="1"/>
    <col min="4619" max="4864" width="10.26953125" style="146"/>
    <col min="4865" max="4865" width="49.81640625" style="146" customWidth="1"/>
    <col min="4866" max="4873" width="16.1796875" style="146" customWidth="1"/>
    <col min="4874" max="4874" width="12.453125" style="146" customWidth="1"/>
    <col min="4875" max="5120" width="10.26953125" style="146"/>
    <col min="5121" max="5121" width="49.81640625" style="146" customWidth="1"/>
    <col min="5122" max="5129" width="16.1796875" style="146" customWidth="1"/>
    <col min="5130" max="5130" width="12.453125" style="146" customWidth="1"/>
    <col min="5131" max="5376" width="10.26953125" style="146"/>
    <col min="5377" max="5377" width="49.81640625" style="146" customWidth="1"/>
    <col min="5378" max="5385" width="16.1796875" style="146" customWidth="1"/>
    <col min="5386" max="5386" width="12.453125" style="146" customWidth="1"/>
    <col min="5387" max="5632" width="10.26953125" style="146"/>
    <col min="5633" max="5633" width="49.81640625" style="146" customWidth="1"/>
    <col min="5634" max="5641" width="16.1796875" style="146" customWidth="1"/>
    <col min="5642" max="5642" width="12.453125" style="146" customWidth="1"/>
    <col min="5643" max="5888" width="10.26953125" style="146"/>
    <col min="5889" max="5889" width="49.81640625" style="146" customWidth="1"/>
    <col min="5890" max="5897" width="16.1796875" style="146" customWidth="1"/>
    <col min="5898" max="5898" width="12.453125" style="146" customWidth="1"/>
    <col min="5899" max="6144" width="10.26953125" style="146"/>
    <col min="6145" max="6145" width="49.81640625" style="146" customWidth="1"/>
    <col min="6146" max="6153" width="16.1796875" style="146" customWidth="1"/>
    <col min="6154" max="6154" width="12.453125" style="146" customWidth="1"/>
    <col min="6155" max="6400" width="10.26953125" style="146"/>
    <col min="6401" max="6401" width="49.81640625" style="146" customWidth="1"/>
    <col min="6402" max="6409" width="16.1796875" style="146" customWidth="1"/>
    <col min="6410" max="6410" width="12.453125" style="146" customWidth="1"/>
    <col min="6411" max="6656" width="10.26953125" style="146"/>
    <col min="6657" max="6657" width="49.81640625" style="146" customWidth="1"/>
    <col min="6658" max="6665" width="16.1796875" style="146" customWidth="1"/>
    <col min="6666" max="6666" width="12.453125" style="146" customWidth="1"/>
    <col min="6667" max="6912" width="10.26953125" style="146"/>
    <col min="6913" max="6913" width="49.81640625" style="146" customWidth="1"/>
    <col min="6914" max="6921" width="16.1796875" style="146" customWidth="1"/>
    <col min="6922" max="6922" width="12.453125" style="146" customWidth="1"/>
    <col min="6923" max="7168" width="10.26953125" style="146"/>
    <col min="7169" max="7169" width="49.81640625" style="146" customWidth="1"/>
    <col min="7170" max="7177" width="16.1796875" style="146" customWidth="1"/>
    <col min="7178" max="7178" width="12.453125" style="146" customWidth="1"/>
    <col min="7179" max="7424" width="10.26953125" style="146"/>
    <col min="7425" max="7425" width="49.81640625" style="146" customWidth="1"/>
    <col min="7426" max="7433" width="16.1796875" style="146" customWidth="1"/>
    <col min="7434" max="7434" width="12.453125" style="146" customWidth="1"/>
    <col min="7435" max="7680" width="10.26953125" style="146"/>
    <col min="7681" max="7681" width="49.81640625" style="146" customWidth="1"/>
    <col min="7682" max="7689" width="16.1796875" style="146" customWidth="1"/>
    <col min="7690" max="7690" width="12.453125" style="146" customWidth="1"/>
    <col min="7691" max="7936" width="10.26953125" style="146"/>
    <col min="7937" max="7937" width="49.81640625" style="146" customWidth="1"/>
    <col min="7938" max="7945" width="16.1796875" style="146" customWidth="1"/>
    <col min="7946" max="7946" width="12.453125" style="146" customWidth="1"/>
    <col min="7947" max="8192" width="10.26953125" style="146"/>
    <col min="8193" max="8193" width="49.81640625" style="146" customWidth="1"/>
    <col min="8194" max="8201" width="16.1796875" style="146" customWidth="1"/>
    <col min="8202" max="8202" width="12.453125" style="146" customWidth="1"/>
    <col min="8203" max="8448" width="10.26953125" style="146"/>
    <col min="8449" max="8449" width="49.81640625" style="146" customWidth="1"/>
    <col min="8450" max="8457" width="16.1796875" style="146" customWidth="1"/>
    <col min="8458" max="8458" width="12.453125" style="146" customWidth="1"/>
    <col min="8459" max="8704" width="10.26953125" style="146"/>
    <col min="8705" max="8705" width="49.81640625" style="146" customWidth="1"/>
    <col min="8706" max="8713" width="16.1796875" style="146" customWidth="1"/>
    <col min="8714" max="8714" width="12.453125" style="146" customWidth="1"/>
    <col min="8715" max="8960" width="10.26953125" style="146"/>
    <col min="8961" max="8961" width="49.81640625" style="146" customWidth="1"/>
    <col min="8962" max="8969" width="16.1796875" style="146" customWidth="1"/>
    <col min="8970" max="8970" width="12.453125" style="146" customWidth="1"/>
    <col min="8971" max="9216" width="10.26953125" style="146"/>
    <col min="9217" max="9217" width="49.81640625" style="146" customWidth="1"/>
    <col min="9218" max="9225" width="16.1796875" style="146" customWidth="1"/>
    <col min="9226" max="9226" width="12.453125" style="146" customWidth="1"/>
    <col min="9227" max="9472" width="10.26953125" style="146"/>
    <col min="9473" max="9473" width="49.81640625" style="146" customWidth="1"/>
    <col min="9474" max="9481" width="16.1796875" style="146" customWidth="1"/>
    <col min="9482" max="9482" width="12.453125" style="146" customWidth="1"/>
    <col min="9483" max="9728" width="10.26953125" style="146"/>
    <col min="9729" max="9729" width="49.81640625" style="146" customWidth="1"/>
    <col min="9730" max="9737" width="16.1796875" style="146" customWidth="1"/>
    <col min="9738" max="9738" width="12.453125" style="146" customWidth="1"/>
    <col min="9739" max="9984" width="10.26953125" style="146"/>
    <col min="9985" max="9985" width="49.81640625" style="146" customWidth="1"/>
    <col min="9986" max="9993" width="16.1796875" style="146" customWidth="1"/>
    <col min="9994" max="9994" width="12.453125" style="146" customWidth="1"/>
    <col min="9995" max="10240" width="10.26953125" style="146"/>
    <col min="10241" max="10241" width="49.81640625" style="146" customWidth="1"/>
    <col min="10242" max="10249" width="16.1796875" style="146" customWidth="1"/>
    <col min="10250" max="10250" width="12.453125" style="146" customWidth="1"/>
    <col min="10251" max="10496" width="10.26953125" style="146"/>
    <col min="10497" max="10497" width="49.81640625" style="146" customWidth="1"/>
    <col min="10498" max="10505" width="16.1796875" style="146" customWidth="1"/>
    <col min="10506" max="10506" width="12.453125" style="146" customWidth="1"/>
    <col min="10507" max="10752" width="10.26953125" style="146"/>
    <col min="10753" max="10753" width="49.81640625" style="146" customWidth="1"/>
    <col min="10754" max="10761" width="16.1796875" style="146" customWidth="1"/>
    <col min="10762" max="10762" width="12.453125" style="146" customWidth="1"/>
    <col min="10763" max="11008" width="10.26953125" style="146"/>
    <col min="11009" max="11009" width="49.81640625" style="146" customWidth="1"/>
    <col min="11010" max="11017" width="16.1796875" style="146" customWidth="1"/>
    <col min="11018" max="11018" width="12.453125" style="146" customWidth="1"/>
    <col min="11019" max="11264" width="10.26953125" style="146"/>
    <col min="11265" max="11265" width="49.81640625" style="146" customWidth="1"/>
    <col min="11266" max="11273" width="16.1796875" style="146" customWidth="1"/>
    <col min="11274" max="11274" width="12.453125" style="146" customWidth="1"/>
    <col min="11275" max="11520" width="10.26953125" style="146"/>
    <col min="11521" max="11521" width="49.81640625" style="146" customWidth="1"/>
    <col min="11522" max="11529" width="16.1796875" style="146" customWidth="1"/>
    <col min="11530" max="11530" width="12.453125" style="146" customWidth="1"/>
    <col min="11531" max="11776" width="10.26953125" style="146"/>
    <col min="11777" max="11777" width="49.81640625" style="146" customWidth="1"/>
    <col min="11778" max="11785" width="16.1796875" style="146" customWidth="1"/>
    <col min="11786" max="11786" width="12.453125" style="146" customWidth="1"/>
    <col min="11787" max="12032" width="10.26953125" style="146"/>
    <col min="12033" max="12033" width="49.81640625" style="146" customWidth="1"/>
    <col min="12034" max="12041" width="16.1796875" style="146" customWidth="1"/>
    <col min="12042" max="12042" width="12.453125" style="146" customWidth="1"/>
    <col min="12043" max="12288" width="10.26953125" style="146"/>
    <col min="12289" max="12289" width="49.81640625" style="146" customWidth="1"/>
    <col min="12290" max="12297" width="16.1796875" style="146" customWidth="1"/>
    <col min="12298" max="12298" width="12.453125" style="146" customWidth="1"/>
    <col min="12299" max="12544" width="10.26953125" style="146"/>
    <col min="12545" max="12545" width="49.81640625" style="146" customWidth="1"/>
    <col min="12546" max="12553" width="16.1796875" style="146" customWidth="1"/>
    <col min="12554" max="12554" width="12.453125" style="146" customWidth="1"/>
    <col min="12555" max="12800" width="10.26953125" style="146"/>
    <col min="12801" max="12801" width="49.81640625" style="146" customWidth="1"/>
    <col min="12802" max="12809" width="16.1796875" style="146" customWidth="1"/>
    <col min="12810" max="12810" width="12.453125" style="146" customWidth="1"/>
    <col min="12811" max="13056" width="10.26953125" style="146"/>
    <col min="13057" max="13057" width="49.81640625" style="146" customWidth="1"/>
    <col min="13058" max="13065" width="16.1796875" style="146" customWidth="1"/>
    <col min="13066" max="13066" width="12.453125" style="146" customWidth="1"/>
    <col min="13067" max="13312" width="10.26953125" style="146"/>
    <col min="13313" max="13313" width="49.81640625" style="146" customWidth="1"/>
    <col min="13314" max="13321" width="16.1796875" style="146" customWidth="1"/>
    <col min="13322" max="13322" width="12.453125" style="146" customWidth="1"/>
    <col min="13323" max="13568" width="10.26953125" style="146"/>
    <col min="13569" max="13569" width="49.81640625" style="146" customWidth="1"/>
    <col min="13570" max="13577" width="16.1796875" style="146" customWidth="1"/>
    <col min="13578" max="13578" width="12.453125" style="146" customWidth="1"/>
    <col min="13579" max="13824" width="10.26953125" style="146"/>
    <col min="13825" max="13825" width="49.81640625" style="146" customWidth="1"/>
    <col min="13826" max="13833" width="16.1796875" style="146" customWidth="1"/>
    <col min="13834" max="13834" width="12.453125" style="146" customWidth="1"/>
    <col min="13835" max="14080" width="10.26953125" style="146"/>
    <col min="14081" max="14081" width="49.81640625" style="146" customWidth="1"/>
    <col min="14082" max="14089" width="16.1796875" style="146" customWidth="1"/>
    <col min="14090" max="14090" width="12.453125" style="146" customWidth="1"/>
    <col min="14091" max="14336" width="10.26953125" style="146"/>
    <col min="14337" max="14337" width="49.81640625" style="146" customWidth="1"/>
    <col min="14338" max="14345" width="16.1796875" style="146" customWidth="1"/>
    <col min="14346" max="14346" width="12.453125" style="146" customWidth="1"/>
    <col min="14347" max="14592" width="10.26953125" style="146"/>
    <col min="14593" max="14593" width="49.81640625" style="146" customWidth="1"/>
    <col min="14594" max="14601" width="16.1796875" style="146" customWidth="1"/>
    <col min="14602" max="14602" width="12.453125" style="146" customWidth="1"/>
    <col min="14603" max="14848" width="10.26953125" style="146"/>
    <col min="14849" max="14849" width="49.81640625" style="146" customWidth="1"/>
    <col min="14850" max="14857" width="16.1796875" style="146" customWidth="1"/>
    <col min="14858" max="14858" width="12.453125" style="146" customWidth="1"/>
    <col min="14859" max="15104" width="10.26953125" style="146"/>
    <col min="15105" max="15105" width="49.81640625" style="146" customWidth="1"/>
    <col min="15106" max="15113" width="16.1796875" style="146" customWidth="1"/>
    <col min="15114" max="15114" width="12.453125" style="146" customWidth="1"/>
    <col min="15115" max="15360" width="10.26953125" style="146"/>
    <col min="15361" max="15361" width="49.81640625" style="146" customWidth="1"/>
    <col min="15362" max="15369" width="16.1796875" style="146" customWidth="1"/>
    <col min="15370" max="15370" width="12.453125" style="146" customWidth="1"/>
    <col min="15371" max="15616" width="10.26953125" style="146"/>
    <col min="15617" max="15617" width="49.81640625" style="146" customWidth="1"/>
    <col min="15618" max="15625" width="16.1796875" style="146" customWidth="1"/>
    <col min="15626" max="15626" width="12.453125" style="146" customWidth="1"/>
    <col min="15627" max="15872" width="10.26953125" style="146"/>
    <col min="15873" max="15873" width="49.81640625" style="146" customWidth="1"/>
    <col min="15874" max="15881" width="16.1796875" style="146" customWidth="1"/>
    <col min="15882" max="15882" width="12.453125" style="146" customWidth="1"/>
    <col min="15883" max="16128" width="10.26953125" style="146"/>
    <col min="16129" max="16129" width="49.81640625" style="146" customWidth="1"/>
    <col min="16130" max="16137" width="16.1796875" style="146" customWidth="1"/>
    <col min="16138" max="16138" width="12.453125" style="146" customWidth="1"/>
    <col min="16139" max="16384" width="10.26953125" style="146"/>
  </cols>
  <sheetData>
    <row r="1" spans="1:15" x14ac:dyDescent="0.35">
      <c r="A1" s="144" t="s">
        <v>101</v>
      </c>
      <c r="B1" s="145"/>
      <c r="C1" s="145"/>
      <c r="D1" s="145"/>
      <c r="E1" s="145"/>
      <c r="F1" s="145"/>
      <c r="G1" s="145"/>
      <c r="H1" s="145"/>
      <c r="I1" s="145"/>
      <c r="J1" s="146"/>
    </row>
    <row r="2" spans="1:15" x14ac:dyDescent="0.35">
      <c r="A2" s="145"/>
      <c r="B2" s="145"/>
      <c r="C2" s="145"/>
      <c r="D2" s="145"/>
      <c r="E2" s="145"/>
      <c r="F2" s="145"/>
      <c r="G2" s="145"/>
      <c r="H2" s="145"/>
      <c r="I2" s="145"/>
      <c r="J2" s="146"/>
    </row>
    <row r="3" spans="1:15" x14ac:dyDescent="0.35">
      <c r="A3" s="800" t="s">
        <v>102</v>
      </c>
      <c r="B3" s="800"/>
      <c r="C3" s="800"/>
      <c r="D3" s="800"/>
      <c r="E3" s="800"/>
      <c r="F3" s="145"/>
      <c r="G3" s="145"/>
      <c r="H3" s="145"/>
      <c r="I3" s="145"/>
      <c r="J3" s="146"/>
    </row>
    <row r="4" spans="1:15" x14ac:dyDescent="0.35">
      <c r="A4" s="145"/>
      <c r="B4" s="145"/>
      <c r="C4" s="145"/>
      <c r="D4" s="145"/>
      <c r="E4" s="145"/>
      <c r="F4" s="145"/>
      <c r="G4" s="145"/>
      <c r="H4" s="145"/>
      <c r="I4" s="145"/>
      <c r="J4" s="146"/>
    </row>
    <row r="5" spans="1:15" ht="15" thickBot="1" x14ac:dyDescent="0.4">
      <c r="A5" s="147" t="s">
        <v>103</v>
      </c>
      <c r="B5" s="783"/>
      <c r="C5" s="783"/>
      <c r="D5" s="148"/>
      <c r="E5" s="148"/>
      <c r="F5" s="145"/>
      <c r="G5" s="145"/>
      <c r="H5" s="145"/>
      <c r="I5" s="145"/>
      <c r="J5" s="146"/>
    </row>
    <row r="6" spans="1:15" ht="15" thickBot="1" x14ac:dyDescent="0.4">
      <c r="A6" s="149" t="s">
        <v>104</v>
      </c>
      <c r="B6" s="798" t="s">
        <v>105</v>
      </c>
      <c r="C6" s="799"/>
      <c r="D6" s="801" t="s">
        <v>106</v>
      </c>
      <c r="E6" s="802"/>
      <c r="F6" s="798" t="s">
        <v>107</v>
      </c>
      <c r="G6" s="803"/>
      <c r="H6" s="803"/>
      <c r="I6" s="799"/>
      <c r="J6" s="146"/>
    </row>
    <row r="7" spans="1:15" ht="15" thickBot="1" x14ac:dyDescent="0.4">
      <c r="A7" s="150" t="s">
        <v>108</v>
      </c>
      <c r="B7" s="324">
        <v>2018</v>
      </c>
      <c r="C7" s="324">
        <v>2017</v>
      </c>
      <c r="D7" s="324">
        <v>2018</v>
      </c>
      <c r="E7" s="324">
        <v>2017</v>
      </c>
      <c r="F7" s="798" t="s">
        <v>105</v>
      </c>
      <c r="G7" s="799"/>
      <c r="H7" s="798" t="s">
        <v>106</v>
      </c>
      <c r="I7" s="799"/>
      <c r="J7" s="146"/>
    </row>
    <row r="8" spans="1:15" x14ac:dyDescent="0.35">
      <c r="A8" s="790" t="s">
        <v>109</v>
      </c>
      <c r="B8" s="784"/>
      <c r="C8" s="785"/>
      <c r="D8" s="785"/>
      <c r="E8" s="786"/>
      <c r="F8" s="786" t="s">
        <v>110</v>
      </c>
      <c r="G8" s="795" t="s">
        <v>111</v>
      </c>
      <c r="H8" s="795" t="s">
        <v>112</v>
      </c>
      <c r="I8" s="795" t="s">
        <v>111</v>
      </c>
      <c r="J8" s="763"/>
      <c r="K8" s="764"/>
    </row>
    <row r="9" spans="1:15" ht="15" thickBot="1" x14ac:dyDescent="0.4">
      <c r="A9" s="791"/>
      <c r="B9" s="792"/>
      <c r="C9" s="793"/>
      <c r="D9" s="793"/>
      <c r="E9" s="794"/>
      <c r="F9" s="794"/>
      <c r="G9" s="796"/>
      <c r="H9" s="796"/>
      <c r="I9" s="796"/>
      <c r="J9" s="763"/>
      <c r="K9" s="764"/>
    </row>
    <row r="10" spans="1:15" ht="15" thickBot="1" x14ac:dyDescent="0.4">
      <c r="A10" s="151" t="s">
        <v>113</v>
      </c>
      <c r="B10" s="152"/>
      <c r="C10" s="152"/>
      <c r="D10" s="153"/>
      <c r="E10" s="154"/>
      <c r="F10" s="155"/>
      <c r="G10" s="155"/>
      <c r="H10" s="155"/>
      <c r="I10" s="156"/>
      <c r="J10" s="146"/>
    </row>
    <row r="11" spans="1:15" x14ac:dyDescent="0.35">
      <c r="A11" s="567" t="s">
        <v>114</v>
      </c>
      <c r="B11" s="568">
        <f>'AXA CREDIT'!B11+'ASSALAF AL AKHDAR'!B11+'DAR SALAF'!B11+EQDOM!B11+FNAC!B11+'RCI '!B11+SALAFIN!B11+SOFAC!B11+SOGEFINANCEMENT!B11+SONAC!B11+SOREC!B11+VIVALIS!B11+WAFASALAF!B11+DIAC!B11+FINACRED!B11+'SALAF AL MOUSTAQBAL'!B11</f>
        <v>6958882.1325133424</v>
      </c>
      <c r="C11" s="568">
        <f>'AXA CREDIT'!C11+'ASSALAF AL AKHDAR'!C11+'DAR SALAF'!C11+EQDOM!C11+FNAC!C11+'RCI '!C11+SALAFIN!C11+SOFAC!C11+SOGEFINANCEMENT!C11+SONAC!C11+SOREC!C11+VIVALIS!C11+WAFASALAF!C11+DIAC!C11+FINACRED!C11+'SALAF AL MOUSTAQBAL'!C11</f>
        <v>6438156.4479666688</v>
      </c>
      <c r="D11" s="568">
        <f>'AXA CREDIT'!D11+'ASSALAF AL AKHDAR'!D11+'DAR SALAF'!D11+EQDOM!D11+FNAC!D11+'RCI '!D11+SALAFIN!D11+SOFAC!D11+SOGEFINANCEMENT!D11+SONAC!D11+SOREC!D11+VIVALIS!D11+WAFASALAF!D11+DIAC!D11+FINACRED!D11+'SALAF AL MOUSTAQBAL'!D11</f>
        <v>36125</v>
      </c>
      <c r="E11" s="568">
        <f>'AXA CREDIT'!E11+'ASSALAF AL AKHDAR'!E11+'DAR SALAF'!E11+EQDOM!E11+FNAC!E11+'RCI '!E11+SALAFIN!E11+SOFAC!E11+SOGEFINANCEMENT!E11+SONAC!E11+SOREC!E11+VIVALIS!E11+WAFASALAF!E11+DIAC!E11+FINACRED!E11+'SALAF AL MOUSTAQBAL'!E11</f>
        <v>32296</v>
      </c>
      <c r="F11" s="157">
        <f>B11-C11</f>
        <v>520725.68454667367</v>
      </c>
      <c r="G11" s="157">
        <f>IF(C11&lt;&gt;0,(B11-C11)/C11)*100</f>
        <v>8.0881179069690354</v>
      </c>
      <c r="H11" s="157">
        <f>D11-E11</f>
        <v>3829</v>
      </c>
      <c r="I11" s="158">
        <f>IF(E11&lt;&gt;0,(D11-E11)/E11)*100</f>
        <v>11.855957394104532</v>
      </c>
      <c r="J11" s="219"/>
      <c r="K11" s="568">
        <f>B11-[7]GLOBAL!$B$11</f>
        <v>-6327209.3176699933</v>
      </c>
      <c r="L11" s="220"/>
    </row>
    <row r="12" spans="1:15" x14ac:dyDescent="0.35">
      <c r="A12" s="567" t="s">
        <v>115</v>
      </c>
      <c r="B12" s="568">
        <f>'AXA CREDIT'!B12+'ASSALAF AL AKHDAR'!B12+'DAR SALAF'!B12+EQDOM!B12+FNAC!B12+'RCI '!B12+SALAFIN!B12+SOFAC!B12+SOGEFINANCEMENT!B12+SONAC!B12+SOREC!B12+VIVALIS!B12+WAFASALAF!B12+DIAC!B12+FINACRED!B12+'SALAF AL MOUSTAQBAL'!B12</f>
        <v>3450116.1576600005</v>
      </c>
      <c r="C12" s="568">
        <f>'AXA CREDIT'!C12+'ASSALAF AL AKHDAR'!C12+'DAR SALAF'!C12+EQDOM!C12+FNAC!C12+'RCI '!C12+SALAFIN!C12+SOFAC!C12+SOGEFINANCEMENT!C12+SONAC!C12+SOREC!C12+VIVALIS!C12+WAFASALAF!C12+DIAC!C12+FINACRED!C12+'SALAF AL MOUSTAQBAL'!C12</f>
        <v>3143356.64243</v>
      </c>
      <c r="D12" s="568">
        <f>'AXA CREDIT'!D12+'ASSALAF AL AKHDAR'!D12+'DAR SALAF'!D12+EQDOM!D12+FNAC!D12+'RCI '!D12+SALAFIN!D12+SOFAC!D12+SOGEFINANCEMENT!D12+SONAC!D12+SOREC!D12+VIVALIS!D12+WAFASALAF!D12+DIAC!D12+FINACRED!D12+'SALAF AL MOUSTAQBAL'!D12</f>
        <v>17828</v>
      </c>
      <c r="E12" s="568">
        <f>'AXA CREDIT'!E12+'ASSALAF AL AKHDAR'!E12+'DAR SALAF'!E12+EQDOM!E12+FNAC!E12+'RCI '!E12+SALAFIN!E12+SOFAC!E12+SOGEFINANCEMENT!E12+SONAC!E12+SOREC!E12+VIVALIS!E12+WAFASALAF!E12+DIAC!E12+FINACRED!E12+'SALAF AL MOUSTAQBAL'!E12</f>
        <v>15419</v>
      </c>
      <c r="F12" s="569">
        <f>B12-C12</f>
        <v>306759.51523000048</v>
      </c>
      <c r="G12" s="570">
        <f>IF(C12&lt;&gt;0,(B12-C12)/C12)*100</f>
        <v>9.7589790190927008</v>
      </c>
      <c r="H12" s="569">
        <f>D12-E12</f>
        <v>2409</v>
      </c>
      <c r="I12" s="570">
        <f>IF(E12&lt;&gt;0,(D12-E12)/E12)*100</f>
        <v>15.623581295803879</v>
      </c>
      <c r="J12" s="219"/>
      <c r="K12" s="220"/>
      <c r="L12" s="220"/>
      <c r="M12" s="219"/>
      <c r="N12" s="219"/>
      <c r="O12" s="220"/>
    </row>
    <row r="13" spans="1:15" x14ac:dyDescent="0.35">
      <c r="A13" s="567" t="s">
        <v>116</v>
      </c>
      <c r="B13" s="568">
        <f>'AXA CREDIT'!B13+'ASSALAF AL AKHDAR'!B13+'DAR SALAF'!B13+EQDOM!B13+FNAC!B13+'RCI '!B13+SALAFIN!B13+SOFAC!B13+SOGEFINANCEMENT!B13+SONAC!B13+SOREC!B13+VIVALIS!B13+WAFASALAF!B13+DIAC!B13+FINACRED!B13+'SALAF AL MOUSTAQBAL'!B13</f>
        <v>3508765.9748533415</v>
      </c>
      <c r="C13" s="568">
        <f>'AXA CREDIT'!C13+'ASSALAF AL AKHDAR'!C13+'DAR SALAF'!C13+EQDOM!C13+FNAC!C13+'RCI '!C13+SALAFIN!C13+SOFAC!C13+SOGEFINANCEMENT!C13+SONAC!C13+SOREC!C13+VIVALIS!C13+WAFASALAF!C13+DIAC!C13+FINACRED!C13+'SALAF AL MOUSTAQBAL'!C13</f>
        <v>3294311.6805366687</v>
      </c>
      <c r="D13" s="568">
        <f>'AXA CREDIT'!D13+'ASSALAF AL AKHDAR'!D13+'DAR SALAF'!D13+EQDOM!D13+FNAC!D13+'RCI '!D13+SALAFIN!D13+SOFAC!D13+SOGEFINANCEMENT!D13+SONAC!D13+SOREC!D13+VIVALIS!D13+WAFASALAF!D13+DIAC!D13+FINACRED!D13+'SALAF AL MOUSTAQBAL'!D13</f>
        <v>18297</v>
      </c>
      <c r="E13" s="568">
        <f>'AXA CREDIT'!E13+'ASSALAF AL AKHDAR'!E13+'DAR SALAF'!E13+EQDOM!E13+FNAC!E13+'RCI '!E13+SALAFIN!E13+SOFAC!E13+SOGEFINANCEMENT!E13+SONAC!E13+SOREC!E13+VIVALIS!E13+WAFASALAF!E13+DIAC!E13+FINACRED!E13+'SALAF AL MOUSTAQBAL'!E13</f>
        <v>16877</v>
      </c>
      <c r="F13" s="569">
        <f>B13-C13</f>
        <v>214454.29431667272</v>
      </c>
      <c r="G13" s="570">
        <f>IF(C13&lt;&gt;0,(B13-C13)/C13)*100</f>
        <v>6.5098361998867231</v>
      </c>
      <c r="H13" s="569">
        <f>D13-E13</f>
        <v>1420</v>
      </c>
      <c r="I13" s="570">
        <f>IF(E13&lt;&gt;0,(D13-E13)/E13)*100</f>
        <v>8.4138176216152161</v>
      </c>
      <c r="J13" s="219"/>
      <c r="K13" s="220"/>
      <c r="L13" s="220"/>
      <c r="M13" s="219"/>
      <c r="N13" s="219"/>
      <c r="O13" s="220"/>
    </row>
    <row r="14" spans="1:15" x14ac:dyDescent="0.35">
      <c r="A14" s="571" t="s">
        <v>117</v>
      </c>
      <c r="B14" s="568">
        <f>'AXA CREDIT'!B14+'ASSALAF AL AKHDAR'!B14+'DAR SALAF'!B14+EQDOM!B14+FNAC!B14+'RCI '!B14+SALAFIN!B14+SOFAC!B14+SOGEFINANCEMENT!B14+SONAC!B14+SOREC!B14+VIVALIS!B14+WAFASALAF!B14+DIAC!B14+FINACRED!B14+'SALAF AL MOUSTAQBAL'!B14</f>
        <v>5207551.6384200081</v>
      </c>
      <c r="C14" s="568">
        <f>'AXA CREDIT'!C14+'ASSALAF AL AKHDAR'!C14+'DAR SALAF'!C14+EQDOM!C14+FNAC!C14+'RCI '!C14+SALAFIN!C14+SOFAC!C14+SOGEFINANCEMENT!C14+SONAC!C14+SOREC!C14+VIVALIS!C14+WAFASALAF!C14+DIAC!C14+FINACRED!C14+'SALAF AL MOUSTAQBAL'!C14</f>
        <v>4838093.7488700002</v>
      </c>
      <c r="D14" s="568">
        <f>'AXA CREDIT'!D14+'ASSALAF AL AKHDAR'!D14+'DAR SALAF'!D14+EQDOM!D14+FNAC!D14+'RCI '!D14+SALAFIN!D14+SOFAC!D14+SOGEFINANCEMENT!D14+SONAC!D14+SOREC!D14+VIVALIS!D14+WAFASALAF!D14+DIAC!D14+FINACRED!D14+'SALAF AL MOUSTAQBAL'!D14</f>
        <v>0</v>
      </c>
      <c r="E14" s="568">
        <f>'AXA CREDIT'!E14+'ASSALAF AL AKHDAR'!E14+'DAR SALAF'!E14+EQDOM!E14+FNAC!E14+'RCI '!E14+SALAFIN!E14+SOFAC!E14+SOGEFINANCEMENT!E14+SONAC!E14+SOREC!E14+VIVALIS!E14+WAFASALAF!E14+DIAC!E14+FINACRED!E14+'SALAF AL MOUSTAQBAL'!E14</f>
        <v>928</v>
      </c>
      <c r="F14" s="569"/>
      <c r="G14" s="572"/>
      <c r="H14" s="569"/>
      <c r="I14" s="572"/>
      <c r="J14" s="219"/>
      <c r="K14" s="220"/>
      <c r="L14" s="220"/>
      <c r="O14" s="220"/>
    </row>
    <row r="15" spans="1:15" x14ac:dyDescent="0.35">
      <c r="A15" s="571" t="s">
        <v>118</v>
      </c>
      <c r="B15" s="568">
        <f>'AXA CREDIT'!B15+'ASSALAF AL AKHDAR'!B15+'DAR SALAF'!B15+EQDOM!B15+FNAC!B15+'RCI '!B15+SALAFIN!B15+SOFAC!B15+SOGEFINANCEMENT!B15+SONAC!B15+SOREC!B15+VIVALIS!B15+WAFASALAF!B15+DIAC!B15+FINACRED!B15+'SALAF AL MOUSTAQBAL'!B15</f>
        <v>333369.79861666623</v>
      </c>
      <c r="C15" s="568">
        <f>'AXA CREDIT'!C15+'ASSALAF AL AKHDAR'!C15+'DAR SALAF'!C15+EQDOM!C15+FNAC!C15+'RCI '!C15+SALAFIN!C15+SOFAC!C15+SOGEFINANCEMENT!C15+SONAC!C15+SOREC!C15+VIVALIS!C15+WAFASALAF!C15+DIAC!C15+FINACRED!C15+'SALAF AL MOUSTAQBAL'!C15</f>
        <v>302394.82934999996</v>
      </c>
      <c r="D15" s="568">
        <f>'AXA CREDIT'!D15+'ASSALAF AL AKHDAR'!D15+'DAR SALAF'!D15+EQDOM!D15+FNAC!D15+'RCI '!D15+SALAFIN!D15+SOFAC!D15+SOGEFINANCEMENT!D15+SONAC!D15+SOREC!D15+VIVALIS!D15+WAFASALAF!D15+DIAC!D15+FINACRED!D15+'SALAF AL MOUSTAQBAL'!D15</f>
        <v>1458</v>
      </c>
      <c r="E15" s="568">
        <f>'AXA CREDIT'!E15+'ASSALAF AL AKHDAR'!E15+'DAR SALAF'!E15+EQDOM!E15+FNAC!E15+'RCI '!E15+SALAFIN!E15+SOFAC!E15+SOGEFINANCEMENT!E15+SONAC!E15+SOREC!E15+VIVALIS!E15+WAFASALAF!E15+DIAC!E15+FINACRED!E15+'SALAF AL MOUSTAQBAL'!E15</f>
        <v>1540</v>
      </c>
      <c r="F15" s="569"/>
      <c r="G15" s="572"/>
      <c r="H15" s="569"/>
      <c r="I15" s="572"/>
      <c r="J15" s="219"/>
      <c r="K15" s="220"/>
      <c r="L15" s="220"/>
      <c r="O15" s="220"/>
    </row>
    <row r="16" spans="1:15" x14ac:dyDescent="0.35">
      <c r="A16" s="571" t="s">
        <v>119</v>
      </c>
      <c r="B16" s="568">
        <f>'AXA CREDIT'!B16+'ASSALAF AL AKHDAR'!B16+'DAR SALAF'!B16+EQDOM!B16+FNAC!B16+'RCI '!B16+SALAFIN!B16+SOFAC!B16+SOGEFINANCEMENT!B16+SONAC!B16+SOREC!B16+VIVALIS!B16+WAFASALAF!B16+DIAC!B16+FINACRED!B16+'SALAF AL MOUSTAQBAL'!B16</f>
        <v>1365415.8649500001</v>
      </c>
      <c r="C16" s="568">
        <f>'AXA CREDIT'!C16+'ASSALAF AL AKHDAR'!C16+'DAR SALAF'!C16+EQDOM!C16+FNAC!C16+'RCI '!C16+SALAFIN!C16+SOFAC!C16+SOGEFINANCEMENT!C16+SONAC!C16+SOREC!C16+VIVALIS!C16+WAFASALAF!C16+DIAC!C16+FINACRED!C16+'SALAF AL MOUSTAQBAL'!C16</f>
        <v>1241387.2389833331</v>
      </c>
      <c r="D16" s="568">
        <f>'AXA CREDIT'!D16+'ASSALAF AL AKHDAR'!D16+'DAR SALAF'!D16+EQDOM!D16+FNAC!D16+'RCI '!D16+SALAFIN!D16+SOFAC!D16+SOGEFINANCEMENT!D16+SONAC!D16+SOREC!D16+VIVALIS!D16+WAFASALAF!D16+DIAC!D16+FINACRED!D16+'SALAF AL MOUSTAQBAL'!D16</f>
        <v>0</v>
      </c>
      <c r="E16" s="568">
        <f>'AXA CREDIT'!E16+'ASSALAF AL AKHDAR'!E16+'DAR SALAF'!E16+EQDOM!E16+FNAC!E16+'RCI '!E16+SALAFIN!E16+SOFAC!E16+SOGEFINANCEMENT!E16+SONAC!E16+SOREC!E16+VIVALIS!E16+WAFASALAF!E16+DIAC!E16+FINACRED!E16+'SALAF AL MOUSTAQBAL'!E16</f>
        <v>0</v>
      </c>
      <c r="F16" s="569"/>
      <c r="G16" s="572"/>
      <c r="H16" s="569"/>
      <c r="I16" s="572"/>
      <c r="J16" s="219"/>
      <c r="K16" s="220"/>
      <c r="L16" s="220"/>
      <c r="O16" s="220"/>
    </row>
    <row r="17" spans="1:15" x14ac:dyDescent="0.35">
      <c r="A17" s="573" t="s">
        <v>120</v>
      </c>
      <c r="B17" s="568">
        <f>'AXA CREDIT'!B17+'ASSALAF AL AKHDAR'!B17+'DAR SALAF'!B17+EQDOM!B17+FNAC!B17+'RCI '!B17+SALAFIN!B17+SOFAC!B17+SOGEFINANCEMENT!B17+SONAC!B17+SOREC!B17+VIVALIS!B17+WAFASALAF!B17+DIAC!B17+FINACRED!B17+'SALAF AL MOUSTAQBAL'!B17</f>
        <v>0</v>
      </c>
      <c r="C17" s="568">
        <f>'AXA CREDIT'!C17+'ASSALAF AL AKHDAR'!C17+'DAR SALAF'!C17+EQDOM!C17+FNAC!C17+'RCI '!C17+SALAFIN!C17+SOFAC!C17+SOGEFINANCEMENT!C17+SONAC!C17+SOREC!C17+VIVALIS!C17+WAFASALAF!C17+DIAC!C17+FINACRED!C17+'SALAF AL MOUSTAQBAL'!C17</f>
        <v>0</v>
      </c>
      <c r="D17" s="568">
        <f>'AXA CREDIT'!D17+'ASSALAF AL AKHDAR'!D17+'DAR SALAF'!D17+EQDOM!D17+FNAC!D17+'RCI '!D17+SALAFIN!D17+SOFAC!D17+SOGEFINANCEMENT!D17+SONAC!D17+SOREC!D17+VIVALIS!D17+WAFASALAF!D17+DIAC!D17+FINACRED!D17+'SALAF AL MOUSTAQBAL'!D17</f>
        <v>0</v>
      </c>
      <c r="E17" s="568">
        <f>'AXA CREDIT'!E17+'ASSALAF AL AKHDAR'!E17+'DAR SALAF'!E17+EQDOM!E17+FNAC!E17+'RCI '!E17+SALAFIN!E17+SOFAC!E17+SOGEFINANCEMENT!E17+SONAC!E17+SOREC!E17+VIVALIS!E17+WAFASALAF!E17+DIAC!E17+FINACRED!E17+'SALAF AL MOUSTAQBAL'!E17</f>
        <v>0</v>
      </c>
      <c r="F17" s="569">
        <f>B17-C17</f>
        <v>0</v>
      </c>
      <c r="G17" s="570">
        <f>IF(C17&lt;&gt;0,(B17-C17)/C17)*100</f>
        <v>0</v>
      </c>
      <c r="H17" s="569">
        <f>D17-E17</f>
        <v>0</v>
      </c>
      <c r="I17" s="570">
        <f>IF(E17&lt;&gt;0,(D17-E17)/E17)*100</f>
        <v>0</v>
      </c>
      <c r="J17" s="219"/>
      <c r="K17" s="220"/>
      <c r="L17" s="220"/>
      <c r="O17" s="220"/>
    </row>
    <row r="18" spans="1:15" x14ac:dyDescent="0.35">
      <c r="A18" s="567" t="s">
        <v>121</v>
      </c>
      <c r="B18" s="568">
        <f>'AXA CREDIT'!B18+'ASSALAF AL AKHDAR'!B18+'DAR SALAF'!B18+EQDOM!B18+FNAC!B18+'RCI '!B18+SALAFIN!B18+SOFAC!B18+SOGEFINANCEMENT!B18+SONAC!B18+SOREC!B18+VIVALIS!B18+WAFASALAF!B18+DIAC!B18+FINACRED!B18+'SALAF AL MOUSTAQBAL'!B18</f>
        <v>260609.72229999999</v>
      </c>
      <c r="C18" s="568">
        <f>'AXA CREDIT'!C18+'ASSALAF AL AKHDAR'!C18+'DAR SALAF'!C18+EQDOM!C18+FNAC!C18+'RCI '!C18+SALAFIN!C18+SOFAC!C18+SOGEFINANCEMENT!C18+SONAC!C18+SOREC!C18+VIVALIS!C18+WAFASALAF!C18+DIAC!C18+FINACRED!C18+'SALAF AL MOUSTAQBAL'!C18</f>
        <v>165735.66200000001</v>
      </c>
      <c r="D18" s="568">
        <f>'AXA CREDIT'!D18+'ASSALAF AL AKHDAR'!D18+'DAR SALAF'!D18+EQDOM!D18+FNAC!D18+'RCI '!D18+SALAFIN!D18+SOFAC!D18+SOGEFINANCEMENT!D18+SONAC!D18+SOREC!D18+VIVALIS!D18+WAFASALAF!D18+DIAC!D18+FINACRED!D18+'SALAF AL MOUSTAQBAL'!D18</f>
        <v>27247</v>
      </c>
      <c r="E18" s="568">
        <f>'AXA CREDIT'!E18+'ASSALAF AL AKHDAR'!E18+'DAR SALAF'!E18+EQDOM!E18+FNAC!E18+'RCI '!E18+SALAFIN!E18+SOFAC!E18+SOGEFINANCEMENT!E18+SONAC!E18+SOREC!E18+VIVALIS!E18+WAFASALAF!E18+DIAC!E18+FINACRED!E18+'SALAF AL MOUSTAQBAL'!E18</f>
        <v>18389</v>
      </c>
      <c r="F18" s="569">
        <f>B18-C18</f>
        <v>94874.060299999983</v>
      </c>
      <c r="G18" s="570">
        <f>IF(C18&lt;&gt;0,(B18-C18)/C18)*100</f>
        <v>57.244203905855805</v>
      </c>
      <c r="H18" s="569">
        <f>D18-E18</f>
        <v>8858</v>
      </c>
      <c r="I18" s="570">
        <f>IF(E18&lt;&gt;0,(D18-E18)/E18)*100</f>
        <v>48.170101691228453</v>
      </c>
      <c r="J18" s="146"/>
      <c r="K18" s="220"/>
      <c r="L18" s="220"/>
      <c r="O18" s="220"/>
    </row>
    <row r="19" spans="1:15" ht="15" thickBot="1" x14ac:dyDescent="0.4">
      <c r="A19" s="574" t="s">
        <v>122</v>
      </c>
      <c r="B19" s="568">
        <f>'AXA CREDIT'!B19+'ASSALAF AL AKHDAR'!B19+'DAR SALAF'!B19+EQDOM!B19+FNAC!B19+'RCI '!B19+SALAFIN!B19+SOFAC!B19+SOGEFINANCEMENT!B19+SONAC!B19+SOREC!B19+VIVALIS!B19+WAFASALAF!B19+DIAC!B19+FINACRED!B19+'SALAF AL MOUSTAQBAL'!B19</f>
        <v>0</v>
      </c>
      <c r="C19" s="568">
        <f>'AXA CREDIT'!C19+'ASSALAF AL AKHDAR'!C19+'DAR SALAF'!C19+EQDOM!C19+FNAC!C19+'RCI '!C19+SALAFIN!C19+SOFAC!C19+SOGEFINANCEMENT!C19+SONAC!C19+SOREC!C19+VIVALIS!C19+WAFASALAF!C19+DIAC!C19+FINACRED!C19+'SALAF AL MOUSTAQBAL'!C19</f>
        <v>0</v>
      </c>
      <c r="D19" s="568">
        <f>'AXA CREDIT'!D19+'ASSALAF AL AKHDAR'!D19+'DAR SALAF'!D19+EQDOM!D19+FNAC!D19+'RCI '!D19+SALAFIN!D19+SOFAC!D19+SOGEFINANCEMENT!D19+SONAC!D19+SOREC!D19+VIVALIS!D19+WAFASALAF!D19+DIAC!D19+FINACRED!D19+'SALAF AL MOUSTAQBAL'!D19</f>
        <v>0</v>
      </c>
      <c r="E19" s="568">
        <f>'AXA CREDIT'!E19+'ASSALAF AL AKHDAR'!E19+'DAR SALAF'!E19+EQDOM!E19+FNAC!E19+'RCI '!E19+SALAFIN!E19+SOFAC!E19+SOGEFINANCEMENT!E19+SONAC!E19+SOREC!E19+VIVALIS!E19+WAFASALAF!E19+DIAC!E19+FINACRED!E19+'SALAF AL MOUSTAQBAL'!E19</f>
        <v>0</v>
      </c>
      <c r="F19" s="569">
        <f>B19-C19</f>
        <v>0</v>
      </c>
      <c r="G19" s="575">
        <f>IF(C19&lt;&gt;0,(B19-C19)/C19)*100</f>
        <v>0</v>
      </c>
      <c r="H19" s="569">
        <f>D19-E19</f>
        <v>0</v>
      </c>
      <c r="I19" s="575">
        <f>IF(E19&lt;&gt;0,(D19-E19)/E19)*100</f>
        <v>0</v>
      </c>
      <c r="J19" s="146"/>
      <c r="K19" s="220"/>
      <c r="L19" s="220"/>
      <c r="O19" s="220"/>
    </row>
    <row r="20" spans="1:15" ht="15" thickBot="1" x14ac:dyDescent="0.4">
      <c r="A20" s="159" t="s">
        <v>123</v>
      </c>
      <c r="B20" s="576">
        <f>'AXA CREDIT'!B20+'ASSALAF AL AKHDAR'!B20+'DAR SALAF'!B20+EQDOM!B20+FNAC!B20+'RCI '!B20+SALAFIN!B20+SOFAC!B20+SOGEFINANCEMENT!B20+SONAC!B20+SOREC!B20+VIVALIS!B20+WAFASALAF!B20+DIAC!B20+FINACRED!B20+'SALAF AL MOUSTAQBAL'!B20</f>
        <v>7219491.854813342</v>
      </c>
      <c r="C20" s="576">
        <f>'AXA CREDIT'!C20+'ASSALAF AL AKHDAR'!C20+'DAR SALAF'!C20+EQDOM!C20+FNAC!C20+'RCI '!C20+SALAFIN!C20+SOFAC!C20+SOGEFINANCEMENT!C20+SONAC!C20+SOREC!C20+VIVALIS!C20+WAFASALAF!C20+DIAC!C20+FINACRED!C20+'SALAF AL MOUSTAQBAL'!C20</f>
        <v>6603892.1099666692</v>
      </c>
      <c r="D20" s="576">
        <f>'AXA CREDIT'!D20+'ASSALAF AL AKHDAR'!D20+'DAR SALAF'!D20+EQDOM!D20+FNAC!D20+'RCI '!D20+SALAFIN!D20+SOFAC!D20+SOGEFINANCEMENT!D20+SONAC!D20+SOREC!D20+VIVALIS!D20+WAFASALAF!D20+DIAC!D20+FINACRED!D20+'SALAF AL MOUSTAQBAL'!D20</f>
        <v>63372</v>
      </c>
      <c r="E20" s="576">
        <f>'AXA CREDIT'!E20+'ASSALAF AL AKHDAR'!E20+'DAR SALAF'!E20+EQDOM!E20+FNAC!E20+'RCI '!E20+SALAFIN!E20+SOFAC!E20+SOGEFINANCEMENT!E20+SONAC!E20+SOREC!E20+VIVALIS!E20+WAFASALAF!E20+DIAC!E20+FINACRED!E20+'SALAF AL MOUSTAQBAL'!E20</f>
        <v>50685</v>
      </c>
      <c r="F20" s="160">
        <f>F11+F18+F19</f>
        <v>615599.74484667368</v>
      </c>
      <c r="G20" s="162">
        <f>IF(C20&lt;&gt;0,(B20-C20)/C20)*100</f>
        <v>9.3217716854823021</v>
      </c>
      <c r="H20" s="160">
        <f>H11+H18+H19</f>
        <v>12687</v>
      </c>
      <c r="I20" s="162">
        <f>IF(E20&lt;&gt;0,(D20-E20)/E20)*100</f>
        <v>25.03107428233205</v>
      </c>
      <c r="J20" s="219"/>
      <c r="K20" s="220"/>
      <c r="L20" s="220"/>
      <c r="O20" s="220"/>
    </row>
    <row r="21" spans="1:15" ht="15" thickBot="1" x14ac:dyDescent="0.4">
      <c r="A21" s="163" t="s">
        <v>109</v>
      </c>
      <c r="B21" s="164"/>
      <c r="C21" s="164"/>
      <c r="D21" s="164"/>
      <c r="E21" s="164"/>
      <c r="F21" s="165"/>
      <c r="G21" s="165"/>
      <c r="H21" s="165"/>
      <c r="I21" s="166"/>
      <c r="J21" s="219"/>
      <c r="K21" s="220"/>
      <c r="L21" s="220"/>
      <c r="O21" s="220"/>
    </row>
    <row r="22" spans="1:15" x14ac:dyDescent="0.35">
      <c r="A22" s="577" t="s">
        <v>124</v>
      </c>
      <c r="B22" s="578"/>
      <c r="C22" s="579"/>
      <c r="D22" s="578"/>
      <c r="E22" s="579"/>
      <c r="F22" s="580"/>
      <c r="G22" s="581"/>
      <c r="H22" s="581"/>
      <c r="I22" s="582"/>
      <c r="J22" s="219"/>
      <c r="K22" s="220"/>
      <c r="L22" s="220"/>
      <c r="O22" s="220"/>
    </row>
    <row r="23" spans="1:15" x14ac:dyDescent="0.35">
      <c r="A23" s="567" t="s">
        <v>125</v>
      </c>
      <c r="B23" s="568">
        <f>'AXA CREDIT'!B23+'ASSALAF AL AKHDAR'!B23+'DAR SALAF'!B23+EQDOM!B23+FNAC!B23+'RCI '!B23+SALAFIN!B23+SOFAC!B23+SOGEFINANCEMENT!B23+SONAC!B23+SOREC!B23+VIVALIS!B23+WAFASALAF!B23+DIAC!B23+FINACRED!B23+'SALAF AL MOUSTAQBAL'!B23</f>
        <v>1790010.4970200001</v>
      </c>
      <c r="C23" s="568">
        <f>'AXA CREDIT'!C23+'ASSALAF AL AKHDAR'!C23+'DAR SALAF'!C23+EQDOM!C23+FNAC!C23+'RCI '!C23+SALAFIN!C23+SOFAC!C23+SOGEFINANCEMENT!C23+SONAC!C23+SOREC!C23+VIVALIS!C23+WAFASALAF!C23+DIAC!C23+FINACRED!C23+'SALAF AL MOUSTAQBAL'!C23</f>
        <v>2071586.0074499999</v>
      </c>
      <c r="D23" s="568">
        <f>'AXA CREDIT'!D23+'ASSALAF AL AKHDAR'!D23+'DAR SALAF'!D23+EQDOM!D23+FNAC!D23+'RCI '!D23+SALAFIN!D23+SOFAC!D23+SOGEFINANCEMENT!D23+SONAC!D23+SOREC!D23+VIVALIS!D23+WAFASALAF!D23+DIAC!D23+FINACRED!D23+'SALAF AL MOUSTAQBAL'!D23</f>
        <v>32495</v>
      </c>
      <c r="E23" s="568">
        <f>'AXA CREDIT'!E23+'ASSALAF AL AKHDAR'!E23+'DAR SALAF'!E23+EQDOM!E23+FNAC!E23+'RCI '!E23+SALAFIN!E23+SOFAC!E23+SOGEFINANCEMENT!E23+SONAC!E23+SOREC!E23+VIVALIS!E23+WAFASALAF!E23+DIAC!E23+FINACRED!E23+'SALAF AL MOUSTAQBAL'!E23</f>
        <v>41898</v>
      </c>
      <c r="F23" s="583">
        <f t="shared" ref="F23:F28" si="0">B23-C23</f>
        <v>-281575.51042999979</v>
      </c>
      <c r="G23" s="584">
        <f t="shared" ref="G23:G28" si="1">IF(C23&lt;&gt;0,(B23-C23)/C23)*100</f>
        <v>-13.592267442306325</v>
      </c>
      <c r="H23" s="583">
        <f t="shared" ref="H23:H28" si="2">D23-E23</f>
        <v>-9403</v>
      </c>
      <c r="I23" s="584">
        <f t="shared" ref="I23:I28" si="3">IF(E23&lt;&gt;0,(D23-E23)/E23)*100</f>
        <v>-22.442598692061676</v>
      </c>
      <c r="J23" s="219"/>
      <c r="K23" s="220"/>
      <c r="L23" s="220"/>
      <c r="O23" s="220"/>
    </row>
    <row r="24" spans="1:15" x14ac:dyDescent="0.35">
      <c r="A24" s="567" t="s">
        <v>126</v>
      </c>
      <c r="B24" s="568">
        <f>'AXA CREDIT'!B24+'ASSALAF AL AKHDAR'!B24+'DAR SALAF'!B24+EQDOM!B24+FNAC!B24+'RCI '!B24+SALAFIN!B24+SOFAC!B24+SOGEFINANCEMENT!B24+SONAC!B24+SOREC!B24+VIVALIS!B24+WAFASALAF!B24+DIAC!B24+FINACRED!B24+'SALAF AL MOUSTAQBAL'!B24</f>
        <v>747256.70263999992</v>
      </c>
      <c r="C24" s="568">
        <f>'AXA CREDIT'!C24+'ASSALAF AL AKHDAR'!C24+'DAR SALAF'!C24+EQDOM!C24+FNAC!C24+'RCI '!C24+SALAFIN!C24+SOFAC!C24+SOGEFINANCEMENT!C24+SONAC!C24+SOREC!C24+VIVALIS!C24+WAFASALAF!C24+DIAC!C24+FINACRED!C24+'SALAF AL MOUSTAQBAL'!C24</f>
        <v>1145845.9955899999</v>
      </c>
      <c r="D24" s="568">
        <f>'AXA CREDIT'!D24+'ASSALAF AL AKHDAR'!D24+'DAR SALAF'!D24+EQDOM!D24+FNAC!D24+'RCI '!D24+SALAFIN!D24+SOFAC!D24+SOGEFINANCEMENT!D24+SONAC!D24+SOREC!D24+VIVALIS!D24+WAFASALAF!D24+DIAC!D24+FINACRED!D24+'SALAF AL MOUSTAQBAL'!D24</f>
        <v>15779</v>
      </c>
      <c r="E24" s="568">
        <f>'AXA CREDIT'!E24+'ASSALAF AL AKHDAR'!E24+'DAR SALAF'!E24+EQDOM!E24+FNAC!E24+'RCI '!E24+SALAFIN!E24+SOFAC!E24+SOGEFINANCEMENT!E24+SONAC!E24+SOREC!E24+VIVALIS!E24+WAFASALAF!E24+DIAC!E24+FINACRED!E24+'SALAF AL MOUSTAQBAL'!E24</f>
        <v>24829.7</v>
      </c>
      <c r="F24" s="569">
        <f t="shared" si="0"/>
        <v>-398589.29295000003</v>
      </c>
      <c r="G24" s="570">
        <f t="shared" si="1"/>
        <v>-34.785590252446191</v>
      </c>
      <c r="H24" s="569">
        <f t="shared" si="2"/>
        <v>-9050.7000000000007</v>
      </c>
      <c r="I24" s="570">
        <f t="shared" si="3"/>
        <v>-36.451104926761097</v>
      </c>
      <c r="J24" s="219"/>
      <c r="K24" s="220"/>
      <c r="L24" s="220"/>
      <c r="M24" s="219"/>
      <c r="N24" s="219"/>
      <c r="O24" s="220"/>
    </row>
    <row r="25" spans="1:15" x14ac:dyDescent="0.35">
      <c r="A25" s="567" t="s">
        <v>127</v>
      </c>
      <c r="B25" s="568">
        <f>'AXA CREDIT'!B25+'ASSALAF AL AKHDAR'!B25+'DAR SALAF'!B25+EQDOM!B25+FNAC!B25+'RCI '!B25+SALAFIN!B25+SOFAC!B25+SOGEFINANCEMENT!B25+SONAC!B25+SOREC!B25+VIVALIS!B25+WAFASALAF!B25+DIAC!B25+FINACRED!B25+'SALAF AL MOUSTAQBAL'!B25</f>
        <v>194060.13420000003</v>
      </c>
      <c r="C25" s="568">
        <f>'AXA CREDIT'!C25+'ASSALAF AL AKHDAR'!C25+'DAR SALAF'!C25+EQDOM!C25+FNAC!C25+'RCI '!C25+SALAFIN!C25+SOFAC!C25+SOGEFINANCEMENT!C25+SONAC!C25+SOREC!C25+VIVALIS!C25+WAFASALAF!C25+DIAC!C25+FINACRED!C25+'SALAF AL MOUSTAQBAL'!C25</f>
        <v>214441.52398</v>
      </c>
      <c r="D25" s="568">
        <f>'AXA CREDIT'!D25+'ASSALAF AL AKHDAR'!D25+'DAR SALAF'!D25+EQDOM!D25+FNAC!D25+'RCI '!D25+SALAFIN!D25+SOFAC!D25+SOGEFINANCEMENT!D25+SONAC!D25+SOREC!D25+VIVALIS!D25+WAFASALAF!D25+DIAC!D25+FINACRED!D25+'SALAF AL MOUSTAQBAL'!D25</f>
        <v>7269</v>
      </c>
      <c r="E25" s="568">
        <f>'AXA CREDIT'!E25+'ASSALAF AL AKHDAR'!E25+'DAR SALAF'!E25+EQDOM!E25+FNAC!E25+'RCI '!E25+SALAFIN!E25+SOFAC!E25+SOGEFINANCEMENT!E25+SONAC!E25+SOREC!E25+VIVALIS!E25+WAFASALAF!E25+DIAC!E25+FINACRED!E25+'SALAF AL MOUSTAQBAL'!E25</f>
        <v>7435</v>
      </c>
      <c r="F25" s="569">
        <f t="shared" si="0"/>
        <v>-20381.389779999969</v>
      </c>
      <c r="G25" s="570">
        <f t="shared" si="1"/>
        <v>-9.504404465014364</v>
      </c>
      <c r="H25" s="569">
        <f t="shared" si="2"/>
        <v>-166</v>
      </c>
      <c r="I25" s="570">
        <f t="shared" si="3"/>
        <v>-2.2326832548755884</v>
      </c>
      <c r="J25" s="219"/>
      <c r="K25" s="220"/>
      <c r="L25" s="220"/>
      <c r="M25" s="219"/>
      <c r="N25" s="219"/>
      <c r="O25" s="220"/>
    </row>
    <row r="26" spans="1:15" x14ac:dyDescent="0.35">
      <c r="A26" s="585" t="s">
        <v>128</v>
      </c>
      <c r="B26" s="568">
        <f>'AXA CREDIT'!B26+'ASSALAF AL AKHDAR'!B26+'DAR SALAF'!B26+EQDOM!B26+FNAC!B26+'RCI '!B26+SALAFIN!B26+SOFAC!B26+SOGEFINANCEMENT!B26+SONAC!B26+SOREC!B26+VIVALIS!B26+WAFASALAF!B26+DIAC!B26+FINACRED!B26+'SALAF AL MOUSTAQBAL'!B26</f>
        <v>48946.98446</v>
      </c>
      <c r="C26" s="568">
        <f>'AXA CREDIT'!C26+'ASSALAF AL AKHDAR'!C26+'DAR SALAF'!C26+EQDOM!C26+FNAC!C26+'RCI '!C26+SALAFIN!C26+SOFAC!C26+SOGEFINANCEMENT!C26+SONAC!C26+SOREC!C26+VIVALIS!C26+WAFASALAF!C26+DIAC!C26+FINACRED!C26+'SALAF AL MOUSTAQBAL'!C26</f>
        <v>65480.809410000002</v>
      </c>
      <c r="D26" s="568">
        <f>'AXA CREDIT'!D26+'ASSALAF AL AKHDAR'!D26+'DAR SALAF'!D26+EQDOM!D26+FNAC!D26+'RCI '!D26+SALAFIN!D26+SOFAC!D26+SOGEFINANCEMENT!D26+SONAC!D26+SOREC!D26+VIVALIS!D26+WAFASALAF!D26+DIAC!D26+FINACRED!D26+'SALAF AL MOUSTAQBAL'!D26</f>
        <v>1437</v>
      </c>
      <c r="E26" s="568">
        <f>'AXA CREDIT'!E26+'ASSALAF AL AKHDAR'!E26+'DAR SALAF'!E26+EQDOM!E26+FNAC!E26+'RCI '!E26+SALAFIN!E26+SOFAC!E26+SOGEFINANCEMENT!E26+SONAC!E26+SOREC!E26+VIVALIS!E26+WAFASALAF!E26+DIAC!E26+FINACRED!E26+'SALAF AL MOUSTAQBAL'!E26</f>
        <v>2242.98</v>
      </c>
      <c r="F26" s="569">
        <f t="shared" si="0"/>
        <v>-16533.824950000002</v>
      </c>
      <c r="G26" s="570">
        <f t="shared" si="1"/>
        <v>-25.249878703354899</v>
      </c>
      <c r="H26" s="569">
        <f t="shared" si="2"/>
        <v>-805.98</v>
      </c>
      <c r="I26" s="570">
        <f t="shared" si="3"/>
        <v>-35.933445683866999</v>
      </c>
      <c r="J26" s="219"/>
      <c r="K26" s="220"/>
      <c r="L26" s="220"/>
      <c r="M26" s="219"/>
      <c r="N26" s="219"/>
      <c r="O26" s="220"/>
    </row>
    <row r="27" spans="1:15" x14ac:dyDescent="0.35">
      <c r="A27" s="567" t="s">
        <v>129</v>
      </c>
      <c r="B27" s="568">
        <f>'AXA CREDIT'!B27+'ASSALAF AL AKHDAR'!B27+'DAR SALAF'!B27+EQDOM!B27+FNAC!B27+'RCI '!B27+SALAFIN!B27+SOFAC!B27+SOGEFINANCEMENT!B27+SONAC!B27+SOREC!B27+VIVALIS!B27+WAFASALAF!B27+DIAC!B27+FINACRED!B27+'SALAF AL MOUSTAQBAL'!B27</f>
        <v>799746.67571999994</v>
      </c>
      <c r="C27" s="568">
        <f>'AXA CREDIT'!C27+'ASSALAF AL AKHDAR'!C27+'DAR SALAF'!C27+EQDOM!C27+FNAC!C27+'RCI '!C27+SALAFIN!C27+SOFAC!C27+SOGEFINANCEMENT!C27+SONAC!C27+SOREC!C27+VIVALIS!C27+WAFASALAF!C27+DIAC!C27+FINACRED!C27+'SALAF AL MOUSTAQBAL'!C27</f>
        <v>645817.67847000004</v>
      </c>
      <c r="D27" s="568">
        <f>'AXA CREDIT'!D27+'ASSALAF AL AKHDAR'!D27+'DAR SALAF'!D27+EQDOM!D27+FNAC!D27+'RCI '!D27+SALAFIN!D27+SOFAC!D27+SOGEFINANCEMENT!D27+SONAC!D27+SOREC!D27+VIVALIS!D27+WAFASALAF!D27+DIAC!D27+FINACRED!D27+'SALAF AL MOUSTAQBAL'!D27</f>
        <v>8010</v>
      </c>
      <c r="E27" s="568">
        <f>'AXA CREDIT'!E27+'ASSALAF AL AKHDAR'!E27+'DAR SALAF'!E27+EQDOM!E27+FNAC!E27+'RCI '!E27+SALAFIN!E27+SOFAC!E27+SOGEFINANCEMENT!E27+SONAC!E27+SOREC!E27+VIVALIS!E27+WAFASALAF!E27+DIAC!E27+FINACRED!E27+'SALAF AL MOUSTAQBAL'!E27</f>
        <v>7390.32</v>
      </c>
      <c r="F27" s="569">
        <f t="shared" si="0"/>
        <v>153928.9972499999</v>
      </c>
      <c r="G27" s="570">
        <f t="shared" si="1"/>
        <v>23.834745065305661</v>
      </c>
      <c r="H27" s="569">
        <f t="shared" si="2"/>
        <v>619.68000000000029</v>
      </c>
      <c r="I27" s="570">
        <f t="shared" si="3"/>
        <v>8.3850225700646295</v>
      </c>
      <c r="J27" s="219"/>
      <c r="K27" s="220"/>
      <c r="L27" s="220"/>
      <c r="M27" s="219"/>
      <c r="N27" s="219"/>
      <c r="O27" s="220"/>
    </row>
    <row r="28" spans="1:15" x14ac:dyDescent="0.35">
      <c r="A28" s="567" t="s">
        <v>130</v>
      </c>
      <c r="B28" s="568">
        <f>'AXA CREDIT'!B28+'ASSALAF AL AKHDAR'!B28+'DAR SALAF'!B28+EQDOM!B28+FNAC!B28+'RCI '!B28+SALAFIN!B28+SOFAC!B28+SOGEFINANCEMENT!B28+SONAC!B28+SOREC!B28+VIVALIS!B28+WAFASALAF!B28+DIAC!B28+FINACRED!B28+'SALAF AL MOUSTAQBAL'!B28</f>
        <v>6022.0680000000002</v>
      </c>
      <c r="C28" s="568">
        <f>'AXA CREDIT'!C28+'ASSALAF AL AKHDAR'!C28+'DAR SALAF'!C28+EQDOM!C28+FNAC!C28+'RCI '!C28+SALAFIN!C28+SOFAC!C28+SOGEFINANCEMENT!C28+SONAC!C28+SOREC!C28+VIVALIS!C28+WAFASALAF!C28+DIAC!C28+FINACRED!C28+'SALAF AL MOUSTAQBAL'!C28</f>
        <v>5938.4220000000005</v>
      </c>
      <c r="D28" s="568">
        <f>'AXA CREDIT'!D28+'ASSALAF AL AKHDAR'!D28+'DAR SALAF'!D28+EQDOM!D28+FNAC!D28+'RCI '!D28+SALAFIN!D28+SOFAC!D28+SOGEFINANCEMENT!D28+SONAC!D28+SOREC!D28+VIVALIS!D28+WAFASALAF!D28+DIAC!D28+FINACRED!D28+'SALAF AL MOUSTAQBAL'!D28</f>
        <v>96</v>
      </c>
      <c r="E28" s="568">
        <f>'AXA CREDIT'!E28+'ASSALAF AL AKHDAR'!E28+'DAR SALAF'!E28+EQDOM!E28+FNAC!E28+'RCI '!E28+SALAFIN!E28+SOFAC!E28+SOGEFINANCEMENT!E28+SONAC!E28+SOREC!E28+VIVALIS!E28+WAFASALAF!E28+DIAC!E28+FINACRED!E28+'SALAF AL MOUSTAQBAL'!E28</f>
        <v>117</v>
      </c>
      <c r="F28" s="569">
        <f t="shared" si="0"/>
        <v>83.645999999999731</v>
      </c>
      <c r="G28" s="570">
        <f t="shared" si="1"/>
        <v>1.4085560103340538</v>
      </c>
      <c r="H28" s="569">
        <f t="shared" si="2"/>
        <v>-21</v>
      </c>
      <c r="I28" s="570">
        <f t="shared" si="3"/>
        <v>-17.948717948717949</v>
      </c>
      <c r="J28" s="219"/>
      <c r="K28" s="220"/>
      <c r="L28" s="220"/>
      <c r="M28" s="219"/>
      <c r="N28" s="219"/>
      <c r="O28" s="220"/>
    </row>
    <row r="29" spans="1:15" x14ac:dyDescent="0.35">
      <c r="A29" s="567"/>
      <c r="B29" s="568">
        <f>'AXA CREDIT'!B29+'ASSALAF AL AKHDAR'!B29+'DAR SALAF'!B29+EQDOM!B29+FNAC!B29+'RCI '!B29+SALAFIN!B29+SOFAC!B29+SOGEFINANCEMENT!B29+SONAC!B29+SOREC!B29+VIVALIS!B29+WAFASALAF!B29+DIAC!B29+FINACRED!B29+'SALAF AL MOUSTAQBAL'!B29</f>
        <v>0</v>
      </c>
      <c r="C29" s="568">
        <f>'AXA CREDIT'!C29+'ASSALAF AL AKHDAR'!C29+'DAR SALAF'!C29+EQDOM!C29+FNAC!C29+'RCI '!C29+SALAFIN!C29+SOFAC!C29+SOGEFINANCEMENT!C29+SONAC!C29+SOREC!C29+VIVALIS!C29+WAFASALAF!C29+DIAC!C29+FINACRED!C29+'SALAF AL MOUSTAQBAL'!C29</f>
        <v>0</v>
      </c>
      <c r="D29" s="568">
        <f>'AXA CREDIT'!D29+'ASSALAF AL AKHDAR'!D29+'DAR SALAF'!D29+EQDOM!D29+FNAC!D29+'RCI '!D29+SALAFIN!D29+SOFAC!D29+SOGEFINANCEMENT!D29+SONAC!D29+SOREC!D29+VIVALIS!D29+WAFASALAF!D29+DIAC!D29+FINACRED!D29+'SALAF AL MOUSTAQBAL'!D29</f>
        <v>0</v>
      </c>
      <c r="E29" s="568">
        <f>'AXA CREDIT'!E29+'ASSALAF AL AKHDAR'!E29+'DAR SALAF'!E29+EQDOM!E29+FNAC!E29+'RCI '!E29+SALAFIN!E29+SOFAC!E29+SOGEFINANCEMENT!E29+SONAC!E29+SOREC!E29+VIVALIS!E29+WAFASALAF!E29+DIAC!E29+FINACRED!E29+'SALAF AL MOUSTAQBAL'!E29</f>
        <v>0</v>
      </c>
      <c r="F29" s="583"/>
      <c r="G29" s="584"/>
      <c r="H29" s="586"/>
      <c r="I29" s="587"/>
      <c r="J29" s="219"/>
      <c r="K29" s="220"/>
      <c r="L29" s="220"/>
    </row>
    <row r="30" spans="1:15" x14ac:dyDescent="0.35">
      <c r="A30" s="567"/>
      <c r="B30" s="568">
        <f>'AXA CREDIT'!B30+'ASSALAF AL AKHDAR'!B30+'DAR SALAF'!B30+EQDOM!B30+FNAC!B30+'RCI '!B30+SALAFIN!B30+SOFAC!B30+SOGEFINANCEMENT!B30+SONAC!B30+SOREC!B30+VIVALIS!B30+WAFASALAF!B30+DIAC!B30+FINACRED!B30+'SALAF AL MOUSTAQBAL'!B30</f>
        <v>0</v>
      </c>
      <c r="C30" s="568">
        <f>'AXA CREDIT'!C30+'ASSALAF AL AKHDAR'!C30+'DAR SALAF'!C30+EQDOM!C30+FNAC!C30+'RCI '!C30+SALAFIN!C30+SOFAC!C30+SOGEFINANCEMENT!C30+SONAC!C30+SOREC!C30+VIVALIS!C30+WAFASALAF!C30+DIAC!C30+FINACRED!C30+'SALAF AL MOUSTAQBAL'!C30</f>
        <v>0</v>
      </c>
      <c r="D30" s="568">
        <f>'AXA CREDIT'!D30+'ASSALAF AL AKHDAR'!D30+'DAR SALAF'!D30+EQDOM!D30+FNAC!D30+'RCI '!D30+SALAFIN!D30+SOFAC!D30+SOGEFINANCEMENT!D30+SONAC!D30+SOREC!D30+VIVALIS!D30+WAFASALAF!D30+DIAC!D30+FINACRED!D30+'SALAF AL MOUSTAQBAL'!D30</f>
        <v>0</v>
      </c>
      <c r="E30" s="568">
        <f>'AXA CREDIT'!E30+'ASSALAF AL AKHDAR'!E30+'DAR SALAF'!E30+EQDOM!E30+FNAC!E30+'RCI '!E30+SALAFIN!E30+SOFAC!E30+SOGEFINANCEMENT!E30+SONAC!E30+SOREC!E30+VIVALIS!E30+WAFASALAF!E30+DIAC!E30+FINACRED!E30+'SALAF AL MOUSTAQBAL'!E30</f>
        <v>0</v>
      </c>
      <c r="F30" s="583"/>
      <c r="G30" s="584"/>
      <c r="H30" s="586"/>
      <c r="I30" s="587"/>
      <c r="J30" s="219"/>
      <c r="K30" s="220"/>
      <c r="L30" s="220"/>
    </row>
    <row r="31" spans="1:15" ht="15" thickBot="1" x14ac:dyDescent="0.4">
      <c r="A31" s="167" t="s">
        <v>109</v>
      </c>
      <c r="B31" s="568">
        <f>'AXA CREDIT'!B31+'ASSALAF AL AKHDAR'!B31+'DAR SALAF'!B31+EQDOM!B31+FNAC!B31+'RCI '!B31+SALAFIN!B31+SOFAC!B31+SOGEFINANCEMENT!B31+SONAC!B31+SOREC!B31+VIVALIS!B31+WAFASALAF!B31+DIAC!B31+FINACRED!B31+'SALAF AL MOUSTAQBAL'!B31</f>
        <v>0</v>
      </c>
      <c r="C31" s="568">
        <f>'AXA CREDIT'!C31+'ASSALAF AL AKHDAR'!C31+'DAR SALAF'!C31+EQDOM!C31+FNAC!C31+'RCI '!C31+SALAFIN!C31+SOFAC!C31+SOGEFINANCEMENT!C31+SONAC!C31+SOREC!C31+VIVALIS!C31+WAFASALAF!C31+DIAC!C31+FINACRED!C31+'SALAF AL MOUSTAQBAL'!C31</f>
        <v>0</v>
      </c>
      <c r="D31" s="568">
        <f>'AXA CREDIT'!D31+'ASSALAF AL AKHDAR'!D31+'DAR SALAF'!D31+EQDOM!D31+FNAC!D31+'RCI '!D31+SALAFIN!D31+SOFAC!D31+SOGEFINANCEMENT!D31+SONAC!D31+SOREC!D31+VIVALIS!D31+WAFASALAF!D31+DIAC!D31+FINACRED!D31+'SALAF AL MOUSTAQBAL'!D31</f>
        <v>0</v>
      </c>
      <c r="E31" s="568">
        <f>'AXA CREDIT'!E31+'ASSALAF AL AKHDAR'!E31+'DAR SALAF'!E31+EQDOM!E31+FNAC!E31+'RCI '!E31+SALAFIN!E31+SOFAC!E31+SOGEFINANCEMENT!E31+SONAC!E31+SOREC!E31+VIVALIS!E31+WAFASALAF!E31+DIAC!E31+FINACRED!E31+'SALAF AL MOUSTAQBAL'!E31</f>
        <v>0</v>
      </c>
      <c r="F31" s="588"/>
      <c r="G31" s="589"/>
      <c r="H31" s="590"/>
      <c r="I31" s="591"/>
      <c r="J31" s="219"/>
      <c r="K31" s="220"/>
      <c r="L31" s="220"/>
    </row>
    <row r="32" spans="1:15" ht="15" thickBot="1" x14ac:dyDescent="0.4">
      <c r="A32" s="168" t="s">
        <v>131</v>
      </c>
      <c r="B32" s="568">
        <f>'AXA CREDIT'!B32+'ASSALAF AL AKHDAR'!B32+'DAR SALAF'!B32+EQDOM!B32+FNAC!B32+'RCI '!B32+SALAFIN!B32+SOFAC!B32+SOGEFINANCEMENT!B32+SONAC!B32+SOREC!B32+VIVALIS!B32+WAFASALAF!B32+DIAC!B32+FINACRED!B32+'SALAF AL MOUSTAQBAL'!B32</f>
        <v>1796032.5650200001</v>
      </c>
      <c r="C32" s="568">
        <f>'AXA CREDIT'!C32+'ASSALAF AL AKHDAR'!C32+'DAR SALAF'!C32+EQDOM!C32+FNAC!C32+'RCI '!C32+SALAFIN!C32+SOFAC!C32+SOGEFINANCEMENT!C32+SONAC!C32+SOREC!C32+VIVALIS!C32+WAFASALAF!C32+DIAC!C32+FINACRED!C32+'SALAF AL MOUSTAQBAL'!C32</f>
        <v>2077524.4294499999</v>
      </c>
      <c r="D32" s="568">
        <f>'AXA CREDIT'!D32+'ASSALAF AL AKHDAR'!D32+'DAR SALAF'!D32+EQDOM!D32+FNAC!D32+'RCI '!D32+SALAFIN!D32+SOFAC!D32+SOGEFINANCEMENT!D32+SONAC!D32+SOREC!D32+VIVALIS!D32+WAFASALAF!D32+DIAC!D32+FINACRED!D32+'SALAF AL MOUSTAQBAL'!D32</f>
        <v>32591</v>
      </c>
      <c r="E32" s="568">
        <f>'AXA CREDIT'!E32+'ASSALAF AL AKHDAR'!E32+'DAR SALAF'!E32+EQDOM!E32+FNAC!E32+'RCI '!E32+SALAFIN!E32+SOFAC!E32+SOGEFINANCEMENT!E32+SONAC!E32+SOREC!E32+VIVALIS!E32+WAFASALAF!E32+DIAC!E32+FINACRED!E32+'SALAF AL MOUSTAQBAL'!E32</f>
        <v>42015</v>
      </c>
      <c r="F32" s="169">
        <f>B32-C32</f>
        <v>-281491.86442999984</v>
      </c>
      <c r="G32" s="170">
        <f>IF(C32&lt;&gt;0,(B32-C32)/C32)*100</f>
        <v>-13.549388899581869</v>
      </c>
      <c r="H32" s="169">
        <f>D32-E32</f>
        <v>-9424</v>
      </c>
      <c r="I32" s="170">
        <f>IF(E32&lt;&gt;0,(D32-E32)/E32)*100</f>
        <v>-22.430084493633228</v>
      </c>
      <c r="J32" s="219"/>
      <c r="K32" s="220"/>
      <c r="L32" s="220"/>
    </row>
    <row r="33" spans="1:15" ht="15" thickBot="1" x14ac:dyDescent="0.4">
      <c r="A33" s="171" t="s">
        <v>132</v>
      </c>
      <c r="B33" s="576">
        <f>'AXA CREDIT'!B33+'ASSALAF AL AKHDAR'!B33+'DAR SALAF'!B33+EQDOM!B33+FNAC!B33+'RCI '!B33+SALAFIN!B33+SOFAC!B33+SOGEFINANCEMENT!B33+SONAC!B33+SOREC!B33+VIVALIS!B33+WAFASALAF!B33+DIAC!B33+FINACRED!B33+'SALAF AL MOUSTAQBAL'!B33</f>
        <v>9015524.4198333435</v>
      </c>
      <c r="C33" s="576">
        <f>'AXA CREDIT'!C33+'ASSALAF AL AKHDAR'!C33+'DAR SALAF'!C33+EQDOM!C33+FNAC!C33+'RCI '!C33+SALAFIN!C33+SOFAC!C33+SOGEFINANCEMENT!C33+SONAC!C33+SOREC!C33+VIVALIS!C33+WAFASALAF!C33+DIAC!C33+FINACRED!C33+'SALAF AL MOUSTAQBAL'!C33</f>
        <v>8681416.5394166689</v>
      </c>
      <c r="D33" s="576">
        <f>'AXA CREDIT'!D33+'ASSALAF AL AKHDAR'!D33+'DAR SALAF'!D33+EQDOM!D33+FNAC!D33+'RCI '!D33+SALAFIN!D33+SOFAC!D33+SOGEFINANCEMENT!D33+SONAC!D33+SOREC!D33+VIVALIS!D33+WAFASALAF!D33+DIAC!D33+FINACRED!D33+'SALAF AL MOUSTAQBAL'!D33</f>
        <v>95963</v>
      </c>
      <c r="E33" s="576">
        <f>'AXA CREDIT'!E33+'ASSALAF AL AKHDAR'!E33+'DAR SALAF'!E33+EQDOM!E33+FNAC!E33+'RCI '!E33+SALAFIN!E33+SOFAC!E33+SOGEFINANCEMENT!E33+SONAC!E33+SOREC!E33+VIVALIS!E33+WAFASALAF!E33+DIAC!E33+FINACRED!E33+'SALAF AL MOUSTAQBAL'!E33</f>
        <v>92700</v>
      </c>
      <c r="F33" s="169">
        <f>B33-C33</f>
        <v>334107.88041667454</v>
      </c>
      <c r="G33" s="170">
        <f>IF(C33&lt;&gt;0,(B33-C33)/C33)*100</f>
        <v>3.8485410635431192</v>
      </c>
      <c r="H33" s="169">
        <f>D33-E33</f>
        <v>3263</v>
      </c>
      <c r="I33" s="170">
        <f>IF(E33&lt;&gt;0,(D33-E33)/E33)*100</f>
        <v>3.5199568500539375</v>
      </c>
      <c r="J33" s="219"/>
      <c r="K33" s="220"/>
      <c r="L33" s="220"/>
    </row>
    <row r="34" spans="1:15" x14ac:dyDescent="0.35">
      <c r="A34" s="172"/>
      <c r="B34" s="172">
        <f>B11+B18+B23+B28</f>
        <v>9015524.4198333416</v>
      </c>
      <c r="C34" s="172">
        <f>C11+C18+C23+C28</f>
        <v>8681416.5394166689</v>
      </c>
      <c r="D34" s="172"/>
      <c r="E34" s="172"/>
      <c r="F34" s="173"/>
      <c r="G34" s="173"/>
      <c r="H34" s="173"/>
      <c r="I34" s="173"/>
      <c r="J34" s="146"/>
    </row>
    <row r="35" spans="1:15" x14ac:dyDescent="0.35">
      <c r="A35" s="148"/>
      <c r="B35" s="174"/>
      <c r="C35" s="175"/>
      <c r="D35" s="175"/>
      <c r="E35" s="175"/>
      <c r="F35" s="145"/>
      <c r="G35" s="145"/>
      <c r="H35" s="145"/>
      <c r="I35" s="145"/>
      <c r="J35" s="146"/>
    </row>
    <row r="36" spans="1:15" ht="15" thickBot="1" x14ac:dyDescent="0.4">
      <c r="A36" s="176" t="s">
        <v>133</v>
      </c>
      <c r="B36" s="783"/>
      <c r="C36" s="783"/>
      <c r="D36" s="177"/>
      <c r="E36" s="177"/>
      <c r="F36" s="145"/>
      <c r="G36" s="145"/>
      <c r="H36" s="145"/>
      <c r="I36" s="145"/>
      <c r="J36" s="146"/>
    </row>
    <row r="37" spans="1:15" ht="15" thickBot="1" x14ac:dyDescent="0.4">
      <c r="A37" s="795" t="s">
        <v>134</v>
      </c>
      <c r="B37" s="798" t="s">
        <v>105</v>
      </c>
      <c r="C37" s="799"/>
      <c r="D37" s="798" t="s">
        <v>106</v>
      </c>
      <c r="E37" s="799"/>
      <c r="F37" s="780" t="s">
        <v>107</v>
      </c>
      <c r="G37" s="781"/>
      <c r="H37" s="781"/>
      <c r="I37" s="782"/>
      <c r="J37" s="146"/>
    </row>
    <row r="38" spans="1:15" ht="15" thickBot="1" x14ac:dyDescent="0.4">
      <c r="A38" s="797"/>
      <c r="B38" s="324">
        <v>2018</v>
      </c>
      <c r="C38" s="324">
        <v>2017</v>
      </c>
      <c r="D38" s="324">
        <v>2018</v>
      </c>
      <c r="E38" s="324">
        <v>2017</v>
      </c>
      <c r="F38" s="780" t="s">
        <v>105</v>
      </c>
      <c r="G38" s="782"/>
      <c r="H38" s="780" t="s">
        <v>106</v>
      </c>
      <c r="I38" s="782"/>
      <c r="J38" s="146"/>
    </row>
    <row r="39" spans="1:15" x14ac:dyDescent="0.35">
      <c r="A39" s="178"/>
      <c r="B39" s="784"/>
      <c r="C39" s="785"/>
      <c r="D39" s="785"/>
      <c r="E39" s="786"/>
      <c r="F39" s="771" t="s">
        <v>110</v>
      </c>
      <c r="G39" s="773" t="s">
        <v>111</v>
      </c>
      <c r="H39" s="773" t="s">
        <v>112</v>
      </c>
      <c r="I39" s="773" t="s">
        <v>111</v>
      </c>
      <c r="J39" s="763"/>
      <c r="K39" s="764"/>
    </row>
    <row r="40" spans="1:15" ht="15" thickBot="1" x14ac:dyDescent="0.4">
      <c r="A40" s="179" t="s">
        <v>113</v>
      </c>
      <c r="B40" s="787"/>
      <c r="C40" s="788"/>
      <c r="D40" s="788"/>
      <c r="E40" s="789"/>
      <c r="F40" s="772"/>
      <c r="G40" s="774"/>
      <c r="H40" s="774"/>
      <c r="I40" s="774"/>
      <c r="J40" s="763"/>
      <c r="K40" s="764"/>
    </row>
    <row r="41" spans="1:15" ht="15" thickBot="1" x14ac:dyDescent="0.4">
      <c r="A41" s="180" t="s">
        <v>135</v>
      </c>
      <c r="B41" s="568">
        <f>'AXA CREDIT'!B41+'ASSALAF AL AKHDAR'!B41+'DAR SALAF'!B41+EQDOM!B41+FNAC!B41+'RCI '!B41+SALAFIN!B41+SOFAC!B41+SOGEFINANCEMENT!B41+SONAC!B41+SOREC!B41+VIVALIS!B41+WAFASALAF!B41+DIAC!B41+FINACRED!B41+'SALAF AL MOUSTAQBAL'!B41</f>
        <v>56400061.181116983</v>
      </c>
      <c r="C41" s="568">
        <f>'AXA CREDIT'!C41+'ASSALAF AL AKHDAR'!C41+'DAR SALAF'!C41+EQDOM!C41+FNAC!C41+'RCI '!C41+SALAFIN!C41+SOFAC!C41+SOGEFINANCEMENT!C41+SONAC!C41+SOREC!C41+VIVALIS!C41+WAFASALAF!C41+DIAC!C41+FINACRED!C41+'SALAF AL MOUSTAQBAL'!C41</f>
        <v>46114451.221800156</v>
      </c>
      <c r="D41" s="568">
        <f>'AXA CREDIT'!D41+'ASSALAF AL AKHDAR'!D41+'DAR SALAF'!D41+EQDOM!D41+FNAC!D41+'RCI '!D41+SALAFIN!D41+SOFAC!D41+SOGEFINANCEMENT!D41+SONAC!D41+SOREC!D41+VIVALIS!D41+WAFASALAF!D41+DIAC!D41+FINACRED!D41+'SALAF AL MOUSTAQBAL'!D41</f>
        <v>378901</v>
      </c>
      <c r="E41" s="568">
        <f>'AXA CREDIT'!E41+'ASSALAF AL AKHDAR'!E41+'DAR SALAF'!E41+EQDOM!E41+FNAC!E41+'RCI '!E41+SALAFIN!E41+SOFAC!E41+SOGEFINANCEMENT!E41+SONAC!E41+SOREC!E41+VIVALIS!E41+WAFASALAF!E41+DIAC!E41+FINACRED!E41+'SALAF AL MOUSTAQBAL'!E41</f>
        <v>326593</v>
      </c>
      <c r="F41" s="181">
        <f t="shared" ref="F41:F48" si="4">B41-C41</f>
        <v>10285609.959316827</v>
      </c>
      <c r="G41" s="182">
        <f t="shared" ref="G41:G48" si="5">IF(C41&lt;&gt;0,(B41-C41)/C41)*100</f>
        <v>22.304526426749291</v>
      </c>
      <c r="H41" s="181">
        <f t="shared" ref="H41:H48" si="6">D41-E41</f>
        <v>52308</v>
      </c>
      <c r="I41" s="182">
        <f t="shared" ref="I41:I48" si="7">IF(E41&lt;&gt;0,(D41-E41)/E41)*100</f>
        <v>16.016264892389</v>
      </c>
      <c r="J41" s="219"/>
      <c r="K41" s="220"/>
    </row>
    <row r="42" spans="1:15" x14ac:dyDescent="0.35">
      <c r="A42" s="180" t="s">
        <v>136</v>
      </c>
      <c r="B42" s="568">
        <f>'AXA CREDIT'!B42+'ASSALAF AL AKHDAR'!B42+'DAR SALAF'!B42+EQDOM!B42+FNAC!B42+'RCI '!B42+SALAFIN!B42+SOFAC!B42+SOGEFINANCEMENT!B42+SONAC!B42+SOREC!B42+VIVALIS!B42+WAFASALAF!B42+DIAC!B42+FINACRED!B42+'SALAF AL MOUSTAQBAL'!B42</f>
        <v>20558160.663080309</v>
      </c>
      <c r="C42" s="568">
        <f>'AXA CREDIT'!C42+'ASSALAF AL AKHDAR'!C42+'DAR SALAF'!C42+EQDOM!C42+FNAC!C42+'RCI '!C42+SALAFIN!C42+SOFAC!C42+SOGEFINANCEMENT!C42+SONAC!C42+SOREC!C42+VIVALIS!C42+WAFASALAF!C42+DIAC!C42+FINACRED!C42+'SALAF AL MOUSTAQBAL'!C42</f>
        <v>16957389.251630217</v>
      </c>
      <c r="D42" s="568">
        <f>'AXA CREDIT'!D42+'ASSALAF AL AKHDAR'!D42+'DAR SALAF'!D42+EQDOM!D42+FNAC!D42+'RCI '!D42+SALAFIN!D42+SOFAC!D42+SOGEFINANCEMENT!D42+SONAC!D42+SOREC!D42+VIVALIS!D42+WAFASALAF!D42+DIAC!D42+FINACRED!D42+'SALAF AL MOUSTAQBAL'!D42</f>
        <v>191415</v>
      </c>
      <c r="E42" s="568">
        <f>'AXA CREDIT'!E42+'ASSALAF AL AKHDAR'!E42+'DAR SALAF'!E42+EQDOM!E42+FNAC!E42+'RCI '!E42+SALAFIN!E42+SOFAC!E42+SOGEFINANCEMENT!E42+SONAC!E42+SOREC!E42+VIVALIS!E42+WAFASALAF!E42+DIAC!E42+FINACRED!E42+'SALAF AL MOUSTAQBAL'!E42</f>
        <v>156465</v>
      </c>
      <c r="F42" s="569">
        <f t="shared" si="4"/>
        <v>3600771.4114500917</v>
      </c>
      <c r="G42" s="570">
        <f t="shared" si="5"/>
        <v>21.234232215928685</v>
      </c>
      <c r="H42" s="569">
        <f t="shared" si="6"/>
        <v>34950</v>
      </c>
      <c r="I42" s="570">
        <f t="shared" si="7"/>
        <v>22.337263924839419</v>
      </c>
      <c r="J42" s="219"/>
      <c r="K42" s="220"/>
      <c r="L42" s="220"/>
      <c r="M42" s="219"/>
      <c r="O42" s="220"/>
    </row>
    <row r="43" spans="1:15" x14ac:dyDescent="0.35">
      <c r="A43" s="180" t="s">
        <v>116</v>
      </c>
      <c r="B43" s="568">
        <f>'AXA CREDIT'!B43+'ASSALAF AL AKHDAR'!B43+'DAR SALAF'!B43+EQDOM!B43+FNAC!B43+'RCI '!B43+SALAFIN!B43+SOFAC!B43+SOGEFINANCEMENT!B43+SONAC!B43+SOREC!B43+VIVALIS!B43+WAFASALAF!B43+DIAC!B43+FINACRED!B43+'SALAF AL MOUSTAQBAL'!B43</f>
        <v>35842687.903036684</v>
      </c>
      <c r="C43" s="568">
        <f>'AXA CREDIT'!C43+'ASSALAF AL AKHDAR'!C43+'DAR SALAF'!C43+EQDOM!C43+FNAC!C43+'RCI '!C43+SALAFIN!C43+SOFAC!C43+SOGEFINANCEMENT!C43+SONAC!C43+SOREC!C43+VIVALIS!C43+WAFASALAF!C43+DIAC!C43+FINACRED!C43+'SALAF AL MOUSTAQBAL'!C43</f>
        <v>29158648.809169933</v>
      </c>
      <c r="D43" s="568">
        <f>'AXA CREDIT'!D43+'ASSALAF AL AKHDAR'!D43+'DAR SALAF'!D43+EQDOM!D43+FNAC!D43+'RCI '!D43+SALAFIN!D43+SOFAC!D43+SOGEFINANCEMENT!D43+SONAC!D43+SOREC!D43+VIVALIS!D43+WAFASALAF!D43+DIAC!D43+FINACRED!D43+'SALAF AL MOUSTAQBAL'!D43</f>
        <v>187530</v>
      </c>
      <c r="E43" s="568">
        <f>'AXA CREDIT'!E43+'ASSALAF AL AKHDAR'!E43+'DAR SALAF'!E43+EQDOM!E43+FNAC!E43+'RCI '!E43+SALAFIN!E43+SOFAC!E43+SOGEFINANCEMENT!E43+SONAC!E43+SOREC!E43+VIVALIS!E43+WAFASALAF!E43+DIAC!E43+FINACRED!E43+'SALAF AL MOUSTAQBAL'!E43</f>
        <v>170123</v>
      </c>
      <c r="F43" s="569">
        <f t="shared" si="4"/>
        <v>6684039.0938667506</v>
      </c>
      <c r="G43" s="570">
        <f t="shared" si="5"/>
        <v>22.923006952793802</v>
      </c>
      <c r="H43" s="569">
        <f t="shared" si="6"/>
        <v>17407</v>
      </c>
      <c r="I43" s="570">
        <f t="shared" si="7"/>
        <v>10.232008605538345</v>
      </c>
      <c r="J43" s="219"/>
      <c r="K43" s="220"/>
      <c r="M43" s="219"/>
      <c r="O43" s="220"/>
    </row>
    <row r="44" spans="1:15" x14ac:dyDescent="0.35">
      <c r="A44" s="102" t="s">
        <v>137</v>
      </c>
      <c r="B44" s="568">
        <f>'AXA CREDIT'!B44+'ASSALAF AL AKHDAR'!B44+'DAR SALAF'!B44+EQDOM!B44+FNAC!B44+'RCI '!B44+SALAFIN!B44+SOFAC!B44+SOGEFINANCEMENT!B44+SONAC!B44+SOREC!B44+VIVALIS!B44+WAFASALAF!B44+DIAC!B44+FINACRED!B44+'SALAF AL MOUSTAQBAL'!B44</f>
        <v>13350448.421809774</v>
      </c>
      <c r="C44" s="568">
        <f>'AXA CREDIT'!C44+'ASSALAF AL AKHDAR'!C44+'DAR SALAF'!C44+EQDOM!C44+FNAC!C44+'RCI '!C44+SALAFIN!C44+SOFAC!C44+SOGEFINANCEMENT!C44+SONAC!C44+SOREC!C44+VIVALIS!C44+WAFASALAF!C44+DIAC!C44+FINACRED!C44+'SALAF AL MOUSTAQBAL'!C44</f>
        <v>11163326.268830016</v>
      </c>
      <c r="D44" s="568">
        <f>'AXA CREDIT'!D44+'ASSALAF AL AKHDAR'!D44+'DAR SALAF'!D44+EQDOM!D44+FNAC!D44+'RCI '!D44+SALAFIN!D44+SOFAC!D44+SOGEFINANCEMENT!D44+SONAC!D44+SOREC!D44+VIVALIS!D44+WAFASALAF!D44+DIAC!D44+FINACRED!D44+'SALAF AL MOUSTAQBAL'!D44</f>
        <v>0</v>
      </c>
      <c r="E44" s="568">
        <f>'AXA CREDIT'!E44+'ASSALAF AL AKHDAR'!E44+'DAR SALAF'!E44+EQDOM!E44+FNAC!E44+'RCI '!E44+SALAFIN!E44+SOFAC!E44+SOGEFINANCEMENT!E44+SONAC!E44+SOREC!E44+VIVALIS!E44+WAFASALAF!E44+DIAC!E44+FINACRED!E44+'SALAF AL MOUSTAQBAL'!E44</f>
        <v>0</v>
      </c>
      <c r="F44" s="569">
        <f>B44-C44</f>
        <v>2187122.1529797576</v>
      </c>
      <c r="G44" s="570">
        <f>IF(C44&lt;&gt;0,(B44-C44)/C44)*100</f>
        <v>19.592029295843393</v>
      </c>
      <c r="H44" s="569">
        <f>D44-E44</f>
        <v>0</v>
      </c>
      <c r="I44" s="570">
        <f>IF(E44&lt;&gt;0,(D44-E44)/E44)*100</f>
        <v>0</v>
      </c>
      <c r="J44" s="219"/>
      <c r="K44" s="220"/>
      <c r="M44" s="219"/>
      <c r="O44" s="220"/>
    </row>
    <row r="45" spans="1:15" x14ac:dyDescent="0.35">
      <c r="A45" s="180" t="s">
        <v>138</v>
      </c>
      <c r="B45" s="568">
        <f>'AXA CREDIT'!B45+'ASSALAF AL AKHDAR'!B45+'DAR SALAF'!B45+EQDOM!B45+FNAC!B45+'RCI '!B45+SALAFIN!B45+SOFAC!B45+SOGEFINANCEMENT!B45+SONAC!B45+SOREC!B45+VIVALIS!B45+WAFASALAF!B45+DIAC!B45+FINACRED!B45+'SALAF AL MOUSTAQBAL'!B45</f>
        <v>-787.38499999999999</v>
      </c>
      <c r="C45" s="568">
        <f>'AXA CREDIT'!C45+'ASSALAF AL AKHDAR'!C45+'DAR SALAF'!C45+EQDOM!C45+FNAC!C45+'RCI '!C45+SALAFIN!C45+SOFAC!C45+SOGEFINANCEMENT!C45+SONAC!C45+SOREC!C45+VIVALIS!C45+WAFASALAF!C45+DIAC!C45+FINACRED!C45+'SALAF AL MOUSTAQBAL'!C45</f>
        <v>-1586.8389999999999</v>
      </c>
      <c r="D45" s="568">
        <f>'AXA CREDIT'!D45+'ASSALAF AL AKHDAR'!D45+'DAR SALAF'!D45+EQDOM!D45+FNAC!D45+'RCI '!D45+SALAFIN!D45+SOFAC!D45+SOGEFINANCEMENT!D45+SONAC!D45+SOREC!D45+VIVALIS!D45+WAFASALAF!D45+DIAC!D45+FINACRED!D45+'SALAF AL MOUSTAQBAL'!D45</f>
        <v>-44</v>
      </c>
      <c r="E45" s="568">
        <f>'AXA CREDIT'!E45+'ASSALAF AL AKHDAR'!E45+'DAR SALAF'!E45+EQDOM!E45+FNAC!E45+'RCI '!E45+SALAFIN!E45+SOFAC!E45+SOGEFINANCEMENT!E45+SONAC!E45+SOREC!E45+VIVALIS!E45+WAFASALAF!E45+DIAC!E45+FINACRED!E45+'SALAF AL MOUSTAQBAL'!E45</f>
        <v>5</v>
      </c>
      <c r="F45" s="569">
        <f t="shared" si="4"/>
        <v>799.45399999999995</v>
      </c>
      <c r="G45" s="570">
        <f t="shared" si="5"/>
        <v>-50.380284326261204</v>
      </c>
      <c r="H45" s="569">
        <f t="shared" si="6"/>
        <v>-49</v>
      </c>
      <c r="I45" s="570">
        <f t="shared" si="7"/>
        <v>-980.00000000000011</v>
      </c>
      <c r="J45" s="219"/>
      <c r="K45" s="220"/>
      <c r="O45" s="220"/>
    </row>
    <row r="46" spans="1:15" x14ac:dyDescent="0.35">
      <c r="A46" s="180" t="s">
        <v>139</v>
      </c>
      <c r="B46" s="568">
        <f>'AXA CREDIT'!B46+'ASSALAF AL AKHDAR'!B46+'DAR SALAF'!B46+EQDOM!B46+FNAC!B46+'RCI '!B46+SALAFIN!B46+SOFAC!B46+SOGEFINANCEMENT!B46+SONAC!B46+SOREC!B46+VIVALIS!B46+WAFASALAF!B46+DIAC!B46+FINACRED!B46+'SALAF AL MOUSTAQBAL'!B46</f>
        <v>611120.3528799999</v>
      </c>
      <c r="C46" s="568">
        <f>'AXA CREDIT'!C46+'ASSALAF AL AKHDAR'!C46+'DAR SALAF'!C46+EQDOM!C46+FNAC!C46+'RCI '!C46+SALAFIN!C46+SOFAC!C46+SOGEFINANCEMENT!C46+SONAC!C46+SOREC!C46+VIVALIS!C46+WAFASALAF!C46+DIAC!C46+FINACRED!C46+'SALAF AL MOUSTAQBAL'!C46</f>
        <v>448177.82883000001</v>
      </c>
      <c r="D46" s="568">
        <f>'AXA CREDIT'!D46+'ASSALAF AL AKHDAR'!D46+'DAR SALAF'!D46+EQDOM!D46+FNAC!D46+'RCI '!D46+SALAFIN!D46+SOFAC!D46+SOGEFINANCEMENT!D46+SONAC!D46+SOREC!D46+VIVALIS!D46+WAFASALAF!D46+DIAC!D46+FINACRED!D46+'SALAF AL MOUSTAQBAL'!D46</f>
        <v>16785</v>
      </c>
      <c r="E46" s="568">
        <f>'AXA CREDIT'!E46+'ASSALAF AL AKHDAR'!E46+'DAR SALAF'!E46+EQDOM!E46+FNAC!E46+'RCI '!E46+SALAFIN!E46+SOFAC!E46+SOGEFINANCEMENT!E46+SONAC!E46+SOREC!E46+VIVALIS!E46+WAFASALAF!E46+DIAC!E46+FINACRED!E46+'SALAF AL MOUSTAQBAL'!E46</f>
        <v>76958</v>
      </c>
      <c r="F46" s="569">
        <f t="shared" si="4"/>
        <v>162942.52404999989</v>
      </c>
      <c r="G46" s="570">
        <f t="shared" si="5"/>
        <v>36.356667726150775</v>
      </c>
      <c r="H46" s="569">
        <f t="shared" si="6"/>
        <v>-60173</v>
      </c>
      <c r="I46" s="570">
        <f t="shared" si="7"/>
        <v>-78.189402011486791</v>
      </c>
      <c r="J46" s="219"/>
      <c r="K46" s="220"/>
      <c r="M46" s="219"/>
      <c r="O46" s="220"/>
    </row>
    <row r="47" spans="1:15" ht="15" thickBot="1" x14ac:dyDescent="0.4">
      <c r="A47" s="180" t="s">
        <v>140</v>
      </c>
      <c r="B47" s="568">
        <f>'AXA CREDIT'!B47+'ASSALAF AL AKHDAR'!B47+'DAR SALAF'!B47+EQDOM!B47+FNAC!B47+'RCI '!B47+SALAFIN!B47+SOFAC!B47+SOGEFINANCEMENT!B47+SONAC!B47+SOREC!B47+VIVALIS!B47+WAFASALAF!B47+DIAC!B47+FINACRED!B47+'SALAF AL MOUSTAQBAL'!B47</f>
        <v>0</v>
      </c>
      <c r="C47" s="568">
        <f>'AXA CREDIT'!C47+'ASSALAF AL AKHDAR'!C47+'DAR SALAF'!C47+EQDOM!C47+FNAC!C47+'RCI '!C47+SALAFIN!C47+SOFAC!C47+SOGEFINANCEMENT!C47+SONAC!C47+SOREC!C47+VIVALIS!C47+WAFASALAF!C47+DIAC!C47+FINACRED!C47+'SALAF AL MOUSTAQBAL'!C47</f>
        <v>0</v>
      </c>
      <c r="D47" s="568">
        <f>'AXA CREDIT'!D47+'ASSALAF AL AKHDAR'!D47+'DAR SALAF'!D47+EQDOM!D47+FNAC!D47+'RCI '!D47+SALAFIN!D47+SOFAC!D47+SOGEFINANCEMENT!D47+SONAC!D47+SOREC!D47+VIVALIS!D47+WAFASALAF!D47+DIAC!D47+FINACRED!D47+'SALAF AL MOUSTAQBAL'!D47</f>
        <v>0</v>
      </c>
      <c r="E47" s="568">
        <f>'AXA CREDIT'!E47+'ASSALAF AL AKHDAR'!E47+'DAR SALAF'!E47+EQDOM!E47+FNAC!E47+'RCI '!E47+SALAFIN!E47+SOFAC!E47+SOGEFINANCEMENT!E47+SONAC!E47+SOREC!E47+VIVALIS!E47+WAFASALAF!E47+DIAC!E47+FINACRED!E47+'SALAF AL MOUSTAQBAL'!E47</f>
        <v>0</v>
      </c>
      <c r="F47" s="569">
        <f t="shared" si="4"/>
        <v>0</v>
      </c>
      <c r="G47" s="570">
        <f t="shared" si="5"/>
        <v>0</v>
      </c>
      <c r="H47" s="569">
        <f t="shared" si="6"/>
        <v>0</v>
      </c>
      <c r="I47" s="570">
        <f t="shared" si="7"/>
        <v>0</v>
      </c>
      <c r="J47" s="219"/>
      <c r="K47" s="220"/>
    </row>
    <row r="48" spans="1:15" ht="15" thickBot="1" x14ac:dyDescent="0.4">
      <c r="A48" s="183" t="s">
        <v>123</v>
      </c>
      <c r="B48" s="576">
        <f>'AXA CREDIT'!B48+'ASSALAF AL AKHDAR'!B48+'DAR SALAF'!B48+EQDOM!B48+FNAC!B48+'RCI '!B48+SALAFIN!B48+SOFAC!B48+SOGEFINANCEMENT!B48+SONAC!B48+SOREC!B48+VIVALIS!B48+WAFASALAF!B48+DIAC!B48+FINACRED!B48+'SALAF AL MOUSTAQBAL'!B48</f>
        <v>57011181.533996992</v>
      </c>
      <c r="C48" s="576">
        <f>'AXA CREDIT'!C48+'ASSALAF AL AKHDAR'!C48+'DAR SALAF'!C48+EQDOM!C48+FNAC!C48+'RCI '!C48+SALAFIN!C48+SOFAC!C48+SOGEFINANCEMENT!C48+SONAC!C48+SOREC!C48+VIVALIS!C48+WAFASALAF!C48+DIAC!C48+FINACRED!C48+'SALAF AL MOUSTAQBAL'!C48</f>
        <v>46562629.050630152</v>
      </c>
      <c r="D48" s="576">
        <f>'AXA CREDIT'!D48+'ASSALAF AL AKHDAR'!D48+'DAR SALAF'!D48+EQDOM!D48+FNAC!D48+'RCI '!D48+SALAFIN!D48+SOFAC!D48+SOGEFINANCEMENT!D48+SONAC!D48+SOREC!D48+VIVALIS!D48+WAFASALAF!D48+DIAC!D48+FINACRED!D48+'SALAF AL MOUSTAQBAL'!D48</f>
        <v>395686</v>
      </c>
      <c r="E48" s="576">
        <f>'AXA CREDIT'!E48+'ASSALAF AL AKHDAR'!E48+'DAR SALAF'!E48+EQDOM!E48+FNAC!E48+'RCI '!E48+SALAFIN!E48+SOFAC!E48+SOGEFINANCEMENT!E48+SONAC!E48+SOREC!E48+VIVALIS!E48+WAFASALAF!E48+DIAC!E48+FINACRED!E48+'SALAF AL MOUSTAQBAL'!E48</f>
        <v>403551</v>
      </c>
      <c r="F48" s="169">
        <f t="shared" si="4"/>
        <v>10448552.48336684</v>
      </c>
      <c r="G48" s="170">
        <f t="shared" si="5"/>
        <v>22.43978206644119</v>
      </c>
      <c r="H48" s="169">
        <f t="shared" si="6"/>
        <v>-7865</v>
      </c>
      <c r="I48" s="170">
        <f t="shared" si="7"/>
        <v>-1.948948212245788</v>
      </c>
      <c r="J48" s="219"/>
      <c r="K48" s="220"/>
    </row>
    <row r="49" spans="1:15" ht="15" thickBot="1" x14ac:dyDescent="0.4">
      <c r="A49" s="179" t="s">
        <v>124</v>
      </c>
      <c r="B49" s="191"/>
      <c r="C49" s="191"/>
      <c r="D49" s="192"/>
      <c r="E49" s="192"/>
      <c r="F49" s="193"/>
      <c r="G49" s="194"/>
      <c r="H49" s="193"/>
      <c r="I49" s="195"/>
      <c r="J49" s="219"/>
      <c r="K49" s="220"/>
    </row>
    <row r="50" spans="1:15" ht="15" thickBot="1" x14ac:dyDescent="0.4">
      <c r="A50" s="180" t="s">
        <v>125</v>
      </c>
      <c r="B50" s="568">
        <f>'AXA CREDIT'!B50+'ASSALAF AL AKHDAR'!B50+'DAR SALAF'!B50+EQDOM!B50+FNAC!B50+'RCI '!B50+SALAFIN!B50+SOFAC!B50+SOGEFINANCEMENT!B50+SONAC!B50+SOREC!B50+VIVALIS!B50+WAFASALAF!B50+DIAC!B50+FINACRED!B50+'SALAF AL MOUSTAQBAL'!B50</f>
        <v>25934507.730480004</v>
      </c>
      <c r="C50" s="568">
        <f>'AXA CREDIT'!C50+'ASSALAF AL AKHDAR'!C50+'DAR SALAF'!C50+EQDOM!C50+FNAC!C50+'RCI '!C50+SALAFIN!C50+SOFAC!C50+SOGEFINANCEMENT!C50+SONAC!C50+SOREC!C50+VIVALIS!C50+WAFASALAF!C50+DIAC!C50+FINACRED!C50+'SALAF AL MOUSTAQBAL'!C50</f>
        <v>24711012.007149994</v>
      </c>
      <c r="D50" s="568">
        <f>'AXA CREDIT'!D50+'ASSALAF AL AKHDAR'!D50+'DAR SALAF'!D50+EQDOM!D50+FNAC!D50+'RCI '!D50+SALAFIN!D50+SOFAC!D50+SOGEFINANCEMENT!D50+SONAC!D50+SOREC!D50+VIVALIS!D50+WAFASALAF!D50+DIAC!D50+FINACRED!D50+'SALAF AL MOUSTAQBAL'!D50</f>
        <v>419663</v>
      </c>
      <c r="E50" s="568">
        <f>'AXA CREDIT'!E50+'ASSALAF AL AKHDAR'!E50+'DAR SALAF'!E50+EQDOM!E50+FNAC!E50+'RCI '!E50+SALAFIN!E50+SOFAC!E50+SOGEFINANCEMENT!E50+SONAC!E50+SOREC!E50+VIVALIS!E50+WAFASALAF!E50+DIAC!E50+FINACRED!E50+'SALAF AL MOUSTAQBAL'!E50</f>
        <v>405018</v>
      </c>
      <c r="F50" s="181">
        <f t="shared" ref="F50:F55" si="8">B50-C50</f>
        <v>1223495.7233300097</v>
      </c>
      <c r="G50" s="182">
        <f t="shared" ref="G50:G55" si="9">IF(C50&lt;&gt;0,(B50-C50)/C50)*100</f>
        <v>4.9512165789729616</v>
      </c>
      <c r="H50" s="181">
        <f t="shared" ref="H50:H55" si="10">D50-E50</f>
        <v>14645</v>
      </c>
      <c r="I50" s="182">
        <f t="shared" ref="I50:I55" si="11">IF(E50&lt;&gt;0,(D50-E50)/E50)*100</f>
        <v>3.6158886765526468</v>
      </c>
      <c r="J50" s="219"/>
      <c r="K50" s="220"/>
    </row>
    <row r="51" spans="1:15" x14ac:dyDescent="0.35">
      <c r="A51" s="196" t="s">
        <v>126</v>
      </c>
      <c r="B51" s="568">
        <f>'AXA CREDIT'!B51+'ASSALAF AL AKHDAR'!B51+'DAR SALAF'!B51+EQDOM!B51+FNAC!B51+'RCI '!B51+SALAFIN!B51+SOFAC!B51+SOGEFINANCEMENT!B51+SONAC!B51+SOREC!B51+VIVALIS!B51+WAFASALAF!B51+DIAC!B51+FINACRED!B51+'SALAF AL MOUSTAQBAL'!B51</f>
        <v>14868366.585399995</v>
      </c>
      <c r="C51" s="568">
        <f>'AXA CREDIT'!C51+'ASSALAF AL AKHDAR'!C51+'DAR SALAF'!C51+EQDOM!C51+FNAC!C51+'RCI '!C51+SALAFIN!C51+SOFAC!C51+SOGEFINANCEMENT!C51+SONAC!C51+SOREC!C51+VIVALIS!C51+WAFASALAF!C51+DIAC!C51+FINACRED!C51+'SALAF AL MOUSTAQBAL'!C51</f>
        <v>14368406.706808995</v>
      </c>
      <c r="D51" s="568">
        <f>'AXA CREDIT'!D51+'ASSALAF AL AKHDAR'!D51+'DAR SALAF'!D51+EQDOM!D51+FNAC!D51+'RCI '!D51+SALAFIN!D51+SOFAC!D51+SOGEFINANCEMENT!D51+SONAC!D51+SOREC!D51+VIVALIS!D51+WAFASALAF!D51+DIAC!D51+FINACRED!D51+'SALAF AL MOUSTAQBAL'!D51</f>
        <v>204585</v>
      </c>
      <c r="E51" s="568">
        <f>'AXA CREDIT'!E51+'ASSALAF AL AKHDAR'!E51+'DAR SALAF'!E51+EQDOM!E51+FNAC!E51+'RCI '!E51+SALAFIN!E51+SOFAC!E51+SOGEFINANCEMENT!E51+SONAC!E51+SOREC!E51+VIVALIS!E51+WAFASALAF!E51+DIAC!E51+FINACRED!E51+'SALAF AL MOUSTAQBAL'!E51</f>
        <v>197801</v>
      </c>
      <c r="F51" s="569">
        <f t="shared" si="8"/>
        <v>499959.87859099917</v>
      </c>
      <c r="G51" s="570">
        <f t="shared" si="9"/>
        <v>3.4795777207091088</v>
      </c>
      <c r="H51" s="569">
        <f t="shared" si="10"/>
        <v>6784</v>
      </c>
      <c r="I51" s="570">
        <f t="shared" si="11"/>
        <v>3.4297096576862605</v>
      </c>
      <c r="J51" s="219"/>
      <c r="K51" s="220"/>
      <c r="M51" s="219"/>
      <c r="O51" s="220"/>
    </row>
    <row r="52" spans="1:15" x14ac:dyDescent="0.35">
      <c r="A52" s="196" t="s">
        <v>127</v>
      </c>
      <c r="B52" s="568">
        <f>'AXA CREDIT'!B52+'ASSALAF AL AKHDAR'!B52+'DAR SALAF'!B52+EQDOM!B52+FNAC!B52+'RCI '!B52+SALAFIN!B52+SOFAC!B52+SOGEFINANCEMENT!B52+SONAC!B52+SOREC!B52+VIVALIS!B52+WAFASALAF!B52+DIAC!B52+FINACRED!B52+'SALAF AL MOUSTAQBAL'!B52</f>
        <v>3485465.4854800021</v>
      </c>
      <c r="C52" s="568">
        <f>'AXA CREDIT'!C52+'ASSALAF AL AKHDAR'!C52+'DAR SALAF'!C52+EQDOM!C52+FNAC!C52+'RCI '!C52+SALAFIN!C52+SOFAC!C52+SOGEFINANCEMENT!C52+SONAC!C52+SOREC!C52+VIVALIS!C52+WAFASALAF!C52+DIAC!C52+FINACRED!C52+'SALAF AL MOUSTAQBAL'!C52</f>
        <v>3010060.932930002</v>
      </c>
      <c r="D52" s="568">
        <f>'AXA CREDIT'!D52+'ASSALAF AL AKHDAR'!D52+'DAR SALAF'!D52+EQDOM!D52+FNAC!D52+'RCI '!D52+SALAFIN!D52+SOFAC!D52+SOGEFINANCEMENT!D52+SONAC!D52+SOREC!D52+VIVALIS!D52+WAFASALAF!D52+DIAC!D52+FINACRED!D52+'SALAF AL MOUSTAQBAL'!D52</f>
        <v>90276</v>
      </c>
      <c r="E52" s="568">
        <f>'AXA CREDIT'!E52+'ASSALAF AL AKHDAR'!E52+'DAR SALAF'!E52+EQDOM!E52+FNAC!E52+'RCI '!E52+SALAFIN!E52+SOFAC!E52+SOGEFINANCEMENT!E52+SONAC!E52+SOREC!E52+VIVALIS!E52+WAFASALAF!E52+DIAC!E52+FINACRED!E52+'SALAF AL MOUSTAQBAL'!E52</f>
        <v>67220</v>
      </c>
      <c r="F52" s="569">
        <f t="shared" si="8"/>
        <v>475404.55255000014</v>
      </c>
      <c r="G52" s="570">
        <f t="shared" si="9"/>
        <v>15.793851458257357</v>
      </c>
      <c r="H52" s="569">
        <f t="shared" si="10"/>
        <v>23056</v>
      </c>
      <c r="I52" s="570">
        <f t="shared" si="11"/>
        <v>34.299315679857187</v>
      </c>
      <c r="J52" s="219"/>
      <c r="K52" s="220"/>
      <c r="M52" s="219"/>
      <c r="O52" s="220"/>
    </row>
    <row r="53" spans="1:15" x14ac:dyDescent="0.35">
      <c r="A53" s="197" t="s">
        <v>141</v>
      </c>
      <c r="B53" s="568">
        <f>'AXA CREDIT'!B53+'ASSALAF AL AKHDAR'!B53+'DAR SALAF'!B53+EQDOM!B53+FNAC!B53+'RCI '!B53+SALAFIN!B53+SOFAC!B53+SOGEFINANCEMENT!B53+SONAC!B53+SOREC!B53+VIVALIS!B53+WAFASALAF!B53+DIAC!B53+FINACRED!B53+'SALAF AL MOUSTAQBAL'!B53</f>
        <v>1151215.3583299995</v>
      </c>
      <c r="C53" s="568">
        <f>'AXA CREDIT'!C53+'ASSALAF AL AKHDAR'!C53+'DAR SALAF'!C53+EQDOM!C53+FNAC!C53+'RCI '!C53+SALAFIN!C53+SOFAC!C53+SOGEFINANCEMENT!C53+SONAC!C53+SOREC!C53+VIVALIS!C53+WAFASALAF!C53+DIAC!C53+FINACRED!C53+'SALAF AL MOUSTAQBAL'!C53</f>
        <v>1641143.070762601</v>
      </c>
      <c r="D53" s="568">
        <f>'AXA CREDIT'!D53+'ASSALAF AL AKHDAR'!D53+'DAR SALAF'!D53+EQDOM!D53+FNAC!D53+'RCI '!D53+SALAFIN!D53+SOFAC!D53+SOGEFINANCEMENT!D53+SONAC!D53+SOREC!D53+VIVALIS!D53+WAFASALAF!D53+DIAC!D53+FINACRED!D53+'SALAF AL MOUSTAQBAL'!D53</f>
        <v>32394</v>
      </c>
      <c r="E53" s="568">
        <f>'AXA CREDIT'!E53+'ASSALAF AL AKHDAR'!E53+'DAR SALAF'!E53+EQDOM!E53+FNAC!E53+'RCI '!E53+SALAFIN!E53+SOFAC!E53+SOGEFINANCEMENT!E53+SONAC!E53+SOREC!E53+VIVALIS!E53+WAFASALAF!E53+DIAC!E53+FINACRED!E53+'SALAF AL MOUSTAQBAL'!E53</f>
        <v>50584</v>
      </c>
      <c r="F53" s="569">
        <f t="shared" si="8"/>
        <v>-489927.71243260149</v>
      </c>
      <c r="G53" s="570">
        <f t="shared" si="9"/>
        <v>-29.852833745015506</v>
      </c>
      <c r="H53" s="569">
        <f t="shared" si="10"/>
        <v>-18190</v>
      </c>
      <c r="I53" s="570">
        <f t="shared" si="11"/>
        <v>-35.959987347777954</v>
      </c>
      <c r="J53" s="219"/>
      <c r="K53" s="220"/>
      <c r="M53" s="219"/>
      <c r="O53" s="220"/>
    </row>
    <row r="54" spans="1:15" x14ac:dyDescent="0.35">
      <c r="A54" s="196" t="s">
        <v>129</v>
      </c>
      <c r="B54" s="568">
        <f>'AXA CREDIT'!B54+'ASSALAF AL AKHDAR'!B54+'DAR SALAF'!B54+EQDOM!B54+FNAC!B54+'RCI '!B54+SALAFIN!B54+SOFAC!B54+SOGEFINANCEMENT!B54+SONAC!B54+SOREC!B54+VIVALIS!B54+WAFASALAF!B54+DIAC!B54+FINACRED!B54+'SALAF AL MOUSTAQBAL'!B54</f>
        <v>6429460.3012700062</v>
      </c>
      <c r="C54" s="568">
        <f>'AXA CREDIT'!C54+'ASSALAF AL AKHDAR'!C54+'DAR SALAF'!C54+EQDOM!C54+FNAC!C54+'RCI '!C54+SALAFIN!C54+SOFAC!C54+SOGEFINANCEMENT!C54+SONAC!C54+SOREC!C54+VIVALIS!C54+WAFASALAF!C54+DIAC!C54+FINACRED!C54+'SALAF AL MOUSTAQBAL'!C54</f>
        <v>5691401.2966483962</v>
      </c>
      <c r="D54" s="568">
        <f>'AXA CREDIT'!D54+'ASSALAF AL AKHDAR'!D54+'DAR SALAF'!D54+EQDOM!D54+FNAC!D54+'RCI '!D54+SALAFIN!D54+SOFAC!D54+SOGEFINANCEMENT!D54+SONAC!D54+SOREC!D54+VIVALIS!D54+WAFASALAF!D54+DIAC!D54+FINACRED!D54+'SALAF AL MOUSTAQBAL'!D54</f>
        <v>92408</v>
      </c>
      <c r="E54" s="568">
        <f>'AXA CREDIT'!E54+'ASSALAF AL AKHDAR'!E54+'DAR SALAF'!E54+EQDOM!E54+FNAC!E54+'RCI '!E54+SALAFIN!E54+SOFAC!E54+SOGEFINANCEMENT!E54+SONAC!E54+SOREC!E54+VIVALIS!E54+WAFASALAF!E54+DIAC!E54+FINACRED!E54+'SALAF AL MOUSTAQBAL'!E54</f>
        <v>89413</v>
      </c>
      <c r="F54" s="569">
        <f t="shared" si="8"/>
        <v>738059.00462161005</v>
      </c>
      <c r="G54" s="570">
        <f t="shared" si="9"/>
        <v>12.967966343477572</v>
      </c>
      <c r="H54" s="569">
        <f t="shared" si="10"/>
        <v>2995</v>
      </c>
      <c r="I54" s="570">
        <f t="shared" si="11"/>
        <v>3.3496247749208727</v>
      </c>
      <c r="J54" s="219"/>
      <c r="K54" s="220"/>
      <c r="M54" s="219"/>
      <c r="O54" s="220"/>
    </row>
    <row r="55" spans="1:15" x14ac:dyDescent="0.35">
      <c r="A55" s="180" t="s">
        <v>130</v>
      </c>
      <c r="B55" s="568">
        <f>'AXA CREDIT'!B55+'ASSALAF AL AKHDAR'!B55+'DAR SALAF'!B55+EQDOM!B55+FNAC!B55+'RCI '!B55+SALAFIN!B55+SOFAC!B55+SOGEFINANCEMENT!B55+SONAC!B55+SOREC!B55+VIVALIS!B55+WAFASALAF!B55+DIAC!B55+FINACRED!B55+'SALAF AL MOUSTAQBAL'!B55</f>
        <v>225759.84399999998</v>
      </c>
      <c r="C55" s="568">
        <f>'AXA CREDIT'!C55+'ASSALAF AL AKHDAR'!C55+'DAR SALAF'!C55+EQDOM!C55+FNAC!C55+'RCI '!C55+SALAFIN!C55+SOFAC!C55+SOGEFINANCEMENT!C55+SONAC!C55+SOREC!C55+VIVALIS!C55+WAFASALAF!C55+DIAC!C55+FINACRED!C55+'SALAF AL MOUSTAQBAL'!C55</f>
        <v>253015.71600000001</v>
      </c>
      <c r="D55" s="568">
        <f>'AXA CREDIT'!D55+'ASSALAF AL AKHDAR'!D55+'DAR SALAF'!D55+EQDOM!D55+FNAC!D55+'RCI '!D55+SALAFIN!D55+SOFAC!D55+SOGEFINANCEMENT!D55+SONAC!D55+SOREC!D55+VIVALIS!D55+WAFASALAF!D55+DIAC!D55+FINACRED!D55+'SALAF AL MOUSTAQBAL'!D55</f>
        <v>16103</v>
      </c>
      <c r="E55" s="568">
        <f>'AXA CREDIT'!E55+'ASSALAF AL AKHDAR'!E55+'DAR SALAF'!E55+EQDOM!E55+FNAC!E55+'RCI '!E55+SALAFIN!E55+SOFAC!E55+SOGEFINANCEMENT!E55+SONAC!E55+SOREC!E55+VIVALIS!E55+WAFASALAF!E55+DIAC!E55+FINACRED!E55+'SALAF AL MOUSTAQBAL'!E55</f>
        <v>16694</v>
      </c>
      <c r="F55" s="569">
        <f t="shared" si="8"/>
        <v>-27255.872000000032</v>
      </c>
      <c r="G55" s="570">
        <f t="shared" si="9"/>
        <v>-10.772402770427126</v>
      </c>
      <c r="H55" s="569">
        <f t="shared" si="10"/>
        <v>-591</v>
      </c>
      <c r="I55" s="570">
        <f t="shared" si="11"/>
        <v>-3.5401940817060025</v>
      </c>
      <c r="J55" s="219"/>
      <c r="K55" s="220"/>
      <c r="M55" s="219"/>
      <c r="O55" s="220"/>
    </row>
    <row r="56" spans="1:15" x14ac:dyDescent="0.35">
      <c r="A56" s="180"/>
      <c r="B56" s="592"/>
      <c r="C56" s="592"/>
      <c r="D56" s="592"/>
      <c r="E56" s="592"/>
      <c r="F56" s="593"/>
      <c r="G56" s="594"/>
      <c r="H56" s="593"/>
      <c r="I56" s="594"/>
      <c r="J56" s="219"/>
      <c r="K56" s="220"/>
    </row>
    <row r="57" spans="1:15" x14ac:dyDescent="0.35">
      <c r="A57" s="180"/>
      <c r="B57" s="592"/>
      <c r="C57" s="592"/>
      <c r="D57" s="592"/>
      <c r="E57" s="592"/>
      <c r="F57" s="593"/>
      <c r="G57" s="594"/>
      <c r="H57" s="593"/>
      <c r="I57" s="594"/>
      <c r="J57" s="219"/>
      <c r="K57" s="220"/>
    </row>
    <row r="58" spans="1:15" ht="15" thickBot="1" x14ac:dyDescent="0.4">
      <c r="A58" s="180"/>
      <c r="B58" s="595"/>
      <c r="C58" s="595"/>
      <c r="D58" s="596"/>
      <c r="E58" s="596"/>
      <c r="F58" s="597"/>
      <c r="G58" s="598"/>
      <c r="H58" s="599"/>
      <c r="I58" s="600"/>
      <c r="J58" s="219"/>
      <c r="K58" s="220"/>
    </row>
    <row r="59" spans="1:15" ht="15" thickBot="1" x14ac:dyDescent="0.4">
      <c r="A59" s="183" t="s">
        <v>131</v>
      </c>
      <c r="B59" s="576">
        <f>'AXA CREDIT'!B59+'ASSALAF AL AKHDAR'!B59+'DAR SALAF'!B59+EQDOM!B59+FNAC!B59+'RCI '!B59+SALAFIN!B59+SOFAC!B59+SOGEFINANCEMENT!B59+SONAC!B59+SOREC!B59+VIVALIS!B59+WAFASALAF!B59+DIAC!B59+FINACRED!B59+'SALAF AL MOUSTAQBAL'!B59</f>
        <v>26160267.574480005</v>
      </c>
      <c r="C59" s="576">
        <f>'AXA CREDIT'!C59+'ASSALAF AL AKHDAR'!C59+'DAR SALAF'!C59+EQDOM!C59+FNAC!C59+'RCI '!C59+SALAFIN!C59+SOFAC!C59+SOGEFINANCEMENT!C59+SONAC!C59+SOREC!C59+VIVALIS!C59+WAFASALAF!C59+DIAC!C59+FINACRED!C59+'SALAF AL MOUSTAQBAL'!C59</f>
        <v>24964027.723149993</v>
      </c>
      <c r="D59" s="576">
        <f>'AXA CREDIT'!D59+'ASSALAF AL AKHDAR'!D59+'DAR SALAF'!D59+EQDOM!D59+FNAC!D59+'RCI '!D59+SALAFIN!D59+SOFAC!D59+SOGEFINANCEMENT!D59+SONAC!D59+SOREC!D59+VIVALIS!D59+WAFASALAF!D59+DIAC!D59+FINACRED!D59+'SALAF AL MOUSTAQBAL'!D59</f>
        <v>435766</v>
      </c>
      <c r="E59" s="576">
        <f>'AXA CREDIT'!E59+'ASSALAF AL AKHDAR'!E59+'DAR SALAF'!E59+EQDOM!E59+FNAC!E59+'RCI '!E59+SALAFIN!E59+SOFAC!E59+SOGEFINANCEMENT!E59+SONAC!E59+SOREC!E59+VIVALIS!E59+WAFASALAF!E59+DIAC!E59+FINACRED!E59+'SALAF AL MOUSTAQBAL'!E59</f>
        <v>421712</v>
      </c>
      <c r="F59" s="583">
        <f>B59-C59</f>
        <v>1196239.8513300121</v>
      </c>
      <c r="G59" s="584">
        <f>IF(C59&lt;&gt;0,(B59-C59)/C59)*100</f>
        <v>4.7918543617891363</v>
      </c>
      <c r="H59" s="583">
        <f>D59-E59</f>
        <v>14054</v>
      </c>
      <c r="I59" s="584">
        <f>IF(E59&lt;&gt;0,(D59-E59)/E59)*100</f>
        <v>3.3326061387866606</v>
      </c>
      <c r="J59" s="219"/>
      <c r="K59" s="220"/>
    </row>
    <row r="60" spans="1:15" ht="15" thickBot="1" x14ac:dyDescent="0.4">
      <c r="A60" s="180"/>
      <c r="B60" s="198"/>
      <c r="C60" s="198"/>
      <c r="D60" s="199"/>
      <c r="E60" s="199"/>
      <c r="F60" s="200"/>
      <c r="G60" s="201"/>
      <c r="H60" s="200"/>
      <c r="I60" s="202"/>
      <c r="J60" s="219"/>
      <c r="K60" s="220"/>
    </row>
    <row r="61" spans="1:15" ht="15" thickBot="1" x14ac:dyDescent="0.4">
      <c r="A61" s="183" t="s">
        <v>132</v>
      </c>
      <c r="B61" s="576">
        <f>'AXA CREDIT'!B61+'ASSALAF AL AKHDAR'!B61+'DAR SALAF'!B61+EQDOM!B61+FNAC!B61+'RCI '!B61+SALAFIN!B61+SOFAC!B61+SOGEFINANCEMENT!B61+SONAC!B61+SOREC!B61+VIVALIS!B61+WAFASALAF!B61+DIAC!B61+FINACRED!B61+'SALAF AL MOUSTAQBAL'!B61</f>
        <v>83171449.108476996</v>
      </c>
      <c r="C61" s="576">
        <f>'AXA CREDIT'!C61+'ASSALAF AL AKHDAR'!C61+'DAR SALAF'!C61+EQDOM!C61+FNAC!C61+'RCI '!C61+SALAFIN!C61+SOFAC!C61+SOGEFINANCEMENT!C61+SONAC!C61+SOREC!C61+VIVALIS!C61+WAFASALAF!C61+DIAC!C61+FINACRED!C61+'SALAF AL MOUSTAQBAL'!C61</f>
        <v>71526656.773780137</v>
      </c>
      <c r="D61" s="576">
        <f>'AXA CREDIT'!D61+'ASSALAF AL AKHDAR'!D61+'DAR SALAF'!D61+EQDOM!D61+FNAC!D61+'RCI '!D61+SALAFIN!D61+SOFAC!D61+SOGEFINANCEMENT!D61+SONAC!D61+SOREC!D61+VIVALIS!D61+WAFASALAF!D61+DIAC!D61+FINACRED!D61+'SALAF AL MOUSTAQBAL'!D61</f>
        <v>831452</v>
      </c>
      <c r="E61" s="576">
        <f>'AXA CREDIT'!E61+'ASSALAF AL AKHDAR'!E61+'DAR SALAF'!E61+EQDOM!E61+FNAC!E61+'RCI '!E61+SALAFIN!E61+SOFAC!E61+SOGEFINANCEMENT!E61+SONAC!E61+SOREC!E61+VIVALIS!E61+WAFASALAF!E61+DIAC!E61+FINACRED!E61+'SALAF AL MOUSTAQBAL'!E61</f>
        <v>825263</v>
      </c>
      <c r="F61" s="181">
        <f>B61-C61</f>
        <v>11644792.334696859</v>
      </c>
      <c r="G61" s="182">
        <f>IF(C61&lt;&gt;0,(B61-C61)/C61)*100</f>
        <v>16.280353171722052</v>
      </c>
      <c r="H61" s="181">
        <f>D61-E61</f>
        <v>6189</v>
      </c>
      <c r="I61" s="182">
        <f>IF(E61&lt;&gt;0,(D61-E61)/E61)*100</f>
        <v>0.74994274552475992</v>
      </c>
      <c r="J61" s="219"/>
      <c r="K61" s="220"/>
    </row>
    <row r="62" spans="1:15" x14ac:dyDescent="0.35">
      <c r="A62" s="172"/>
      <c r="B62" s="172"/>
      <c r="C62" s="172"/>
      <c r="D62" s="172"/>
      <c r="E62" s="172"/>
      <c r="F62" s="173"/>
      <c r="G62" s="173"/>
      <c r="H62" s="173"/>
      <c r="I62" s="173"/>
      <c r="J62" s="219"/>
    </row>
    <row r="63" spans="1:15" x14ac:dyDescent="0.35">
      <c r="A63" s="203"/>
      <c r="B63" s="204"/>
      <c r="C63" s="203"/>
      <c r="D63" s="203"/>
      <c r="E63" s="203"/>
      <c r="F63" s="145"/>
      <c r="G63" s="145"/>
      <c r="H63" s="145"/>
      <c r="I63" s="145"/>
      <c r="J63" s="219"/>
    </row>
    <row r="64" spans="1:15" ht="15" thickBot="1" x14ac:dyDescent="0.4">
      <c r="A64" s="205" t="s">
        <v>142</v>
      </c>
      <c r="B64" s="783"/>
      <c r="C64" s="783"/>
      <c r="D64" s="206"/>
      <c r="E64" s="206"/>
      <c r="F64" s="145"/>
      <c r="G64" s="145"/>
      <c r="H64" s="145"/>
      <c r="I64" s="145"/>
      <c r="J64" s="146"/>
    </row>
    <row r="65" spans="1:10" ht="15" thickBot="1" x14ac:dyDescent="0.4">
      <c r="A65" s="775" t="s">
        <v>134</v>
      </c>
      <c r="B65" s="777" t="s">
        <v>105</v>
      </c>
      <c r="C65" s="779"/>
      <c r="D65" s="777" t="s">
        <v>106</v>
      </c>
      <c r="E65" s="779"/>
      <c r="F65" s="780" t="s">
        <v>107</v>
      </c>
      <c r="G65" s="781"/>
      <c r="H65" s="781"/>
      <c r="I65" s="782"/>
      <c r="J65" s="146"/>
    </row>
    <row r="66" spans="1:10" ht="15" thickBot="1" x14ac:dyDescent="0.4">
      <c r="A66" s="776"/>
      <c r="B66" s="324">
        <v>2018</v>
      </c>
      <c r="C66" s="324">
        <v>2017</v>
      </c>
      <c r="D66" s="324">
        <v>2018</v>
      </c>
      <c r="E66" s="324">
        <v>2017</v>
      </c>
      <c r="F66" s="780" t="s">
        <v>105</v>
      </c>
      <c r="G66" s="782"/>
      <c r="H66" s="780" t="s">
        <v>106</v>
      </c>
      <c r="I66" s="782"/>
      <c r="J66" s="146"/>
    </row>
    <row r="67" spans="1:10" x14ac:dyDescent="0.35">
      <c r="A67" s="207"/>
      <c r="B67" s="765"/>
      <c r="C67" s="766"/>
      <c r="D67" s="766"/>
      <c r="E67" s="767"/>
      <c r="F67" s="771" t="s">
        <v>110</v>
      </c>
      <c r="G67" s="773" t="s">
        <v>111</v>
      </c>
      <c r="H67" s="773" t="s">
        <v>112</v>
      </c>
      <c r="I67" s="773" t="s">
        <v>111</v>
      </c>
      <c r="J67" s="146"/>
    </row>
    <row r="68" spans="1:10" ht="15" thickBot="1" x14ac:dyDescent="0.4">
      <c r="A68" s="208" t="s">
        <v>113</v>
      </c>
      <c r="B68" s="768"/>
      <c r="C68" s="769"/>
      <c r="D68" s="769"/>
      <c r="E68" s="770"/>
      <c r="F68" s="772"/>
      <c r="G68" s="774"/>
      <c r="H68" s="774"/>
      <c r="I68" s="774"/>
      <c r="J68" s="146"/>
    </row>
    <row r="69" spans="1:10" ht="15" thickBot="1" x14ac:dyDescent="0.4">
      <c r="A69" s="209" t="s">
        <v>135</v>
      </c>
      <c r="B69" s="568">
        <f>'AXA CREDIT'!B69+'ASSALAF AL AKHDAR'!B69+'DAR SALAF'!B69+EQDOM!B69+FNAC!B69+'RCI '!B69+SALAFIN!B69+SOFAC!B69+SOGEFINANCEMENT!B69+SONAC!B69+SOREC!B69+VIVALIS!B69+WAFASALAF!B69+DIAC!B69+FINACRED!B69+'SALAF AL MOUSTAQBAL'!B69</f>
        <v>64106157.941716991</v>
      </c>
      <c r="C69" s="568">
        <f>'AXA CREDIT'!C69+'ASSALAF AL AKHDAR'!C69+'DAR SALAF'!C69+EQDOM!C69+FNAC!C69+'RCI '!C69+SALAFIN!C69+SOFAC!C69+SOGEFINANCEMENT!C69+SONAC!C69+SOREC!C69+VIVALIS!C69+WAFASALAF!C69+DIAC!C69+FINACRED!C69+'SALAF AL MOUSTAQBAL'!C69</f>
        <v>51870750.239070162</v>
      </c>
      <c r="D69" s="568">
        <f>'AXA CREDIT'!D69+'ASSALAF AL AKHDAR'!D69+'DAR SALAF'!D69+EQDOM!D69+FNAC!D69+'RCI '!D69+SALAFIN!D69+SOFAC!D69+SOGEFINANCEMENT!D69+SONAC!D69+SOREC!D69+VIVALIS!D69+WAFASALAF!D69+DIAC!D69+FINACRED!D69+'SALAF AL MOUSTAQBAL'!D69</f>
        <v>456872</v>
      </c>
      <c r="E69" s="568">
        <f>'AXA CREDIT'!E69+'ASSALAF AL AKHDAR'!E69+'DAR SALAF'!E69+EQDOM!E69+FNAC!E69+'RCI '!E69+SALAFIN!E69+SOFAC!E69+SOGEFINANCEMENT!E69+SONAC!E69+SOREC!E69+VIVALIS!E69+WAFASALAF!E69+DIAC!E69+FINACRED!E69+'SALAF AL MOUSTAQBAL'!E69</f>
        <v>392451</v>
      </c>
      <c r="F69" s="169">
        <f t="shared" ref="F69:F75" si="12">B69-C69</f>
        <v>12235407.702646829</v>
      </c>
      <c r="G69" s="170">
        <f t="shared" ref="G69:G75" si="13">IF(C69&lt;&gt;0,(B69-C69)/C69)*100</f>
        <v>23.58826052496703</v>
      </c>
      <c r="H69" s="169">
        <f t="shared" ref="H69:H75" si="14">D69-E69</f>
        <v>64421</v>
      </c>
      <c r="I69" s="170">
        <f t="shared" ref="I69:I75" si="15">IF(E69&lt;&gt;0,(D69-E69)/E69)*100</f>
        <v>16.41504289707505</v>
      </c>
      <c r="J69" s="146"/>
    </row>
    <row r="70" spans="1:10" x14ac:dyDescent="0.35">
      <c r="A70" s="209" t="s">
        <v>136</v>
      </c>
      <c r="B70" s="568">
        <f>'AXA CREDIT'!B70+'ASSALAF AL AKHDAR'!B70+'DAR SALAF'!B70+EQDOM!B70+FNAC!B70+'RCI '!B70+SALAFIN!B70+SOFAC!B70+SOGEFINANCEMENT!B70+SONAC!B70+SOREC!B70+VIVALIS!B70+WAFASALAF!B70+DIAC!B70+FINACRED!B70+'SALAF AL MOUSTAQBAL'!B70</f>
        <v>26242768.894590307</v>
      </c>
      <c r="C70" s="568">
        <f>'AXA CREDIT'!C70+'ASSALAF AL AKHDAR'!C70+'DAR SALAF'!C70+EQDOM!C70+FNAC!C70+'RCI '!C70+SALAFIN!C70+SOFAC!C70+SOGEFINANCEMENT!C70+SONAC!C70+SOREC!C70+VIVALIS!C70+WAFASALAF!C70+DIAC!C70+FINACRED!C70+'SALAF AL MOUSTAQBAL'!C70</f>
        <v>21259015.468600221</v>
      </c>
      <c r="D70" s="568">
        <f>'AXA CREDIT'!D70+'ASSALAF AL AKHDAR'!D70+'DAR SALAF'!D70+EQDOM!D70+FNAC!D70+'RCI '!D70+SALAFIN!D70+SOFAC!D70+SOGEFINANCEMENT!D70+SONAC!D70+SOREC!D70+VIVALIS!D70+WAFASALAF!D70+DIAC!D70+FINACRED!D70+'SALAF AL MOUSTAQBAL'!D70</f>
        <v>240702</v>
      </c>
      <c r="E70" s="568">
        <f>'AXA CREDIT'!E70+'ASSALAF AL AKHDAR'!E70+'DAR SALAF'!E70+EQDOM!E70+FNAC!E70+'RCI '!E70+SALAFIN!E70+SOFAC!E70+SOGEFINANCEMENT!E70+SONAC!E70+SOREC!E70+VIVALIS!E70+WAFASALAF!E70+DIAC!E70+FINACRED!E70+'SALAF AL MOUSTAQBAL'!E70</f>
        <v>199377</v>
      </c>
      <c r="F70" s="569">
        <f t="shared" si="12"/>
        <v>4983753.425990086</v>
      </c>
      <c r="G70" s="570">
        <f t="shared" si="13"/>
        <v>23.443011428968287</v>
      </c>
      <c r="H70" s="569">
        <f t="shared" si="14"/>
        <v>41325</v>
      </c>
      <c r="I70" s="570">
        <f t="shared" si="15"/>
        <v>20.727064806873411</v>
      </c>
      <c r="J70" s="146"/>
    </row>
    <row r="71" spans="1:10" x14ac:dyDescent="0.35">
      <c r="A71" s="209" t="s">
        <v>116</v>
      </c>
      <c r="B71" s="568">
        <f>'AXA CREDIT'!B71+'ASSALAF AL AKHDAR'!B71+'DAR SALAF'!B71+EQDOM!B71+FNAC!B71+'RCI '!B71+SALAFIN!B71+SOFAC!B71+SOGEFINANCEMENT!B71+SONAC!B71+SOREC!B71+VIVALIS!B71+WAFASALAF!B71+DIAC!B71+FINACRED!B71+'SALAF AL MOUSTAQBAL'!B71</f>
        <v>37862932.106126681</v>
      </c>
      <c r="C71" s="568">
        <f>'AXA CREDIT'!C71+'ASSALAF AL AKHDAR'!C71+'DAR SALAF'!C71+EQDOM!C71+FNAC!C71+'RCI '!C71+SALAFIN!C71+SOFAC!C71+SOGEFINANCEMENT!C71+SONAC!C71+SOREC!C71+VIVALIS!C71+WAFASALAF!C71+DIAC!C71+FINACRED!C71+'SALAF AL MOUSTAQBAL'!C71</f>
        <v>30611180.671469934</v>
      </c>
      <c r="D71" s="568">
        <f>'AXA CREDIT'!D71+'ASSALAF AL AKHDAR'!D71+'DAR SALAF'!D71+EQDOM!D71+FNAC!D71+'RCI '!D71+SALAFIN!D71+SOFAC!D71+SOGEFINANCEMENT!D71+SONAC!D71+SOREC!D71+VIVALIS!D71+WAFASALAF!D71+DIAC!D71+FINACRED!D71+'SALAF AL MOUSTAQBAL'!D71</f>
        <v>216151</v>
      </c>
      <c r="E71" s="568">
        <f>'AXA CREDIT'!E71+'ASSALAF AL AKHDAR'!E71+'DAR SALAF'!E71+EQDOM!E71+FNAC!E71+'RCI '!E71+SALAFIN!E71+SOFAC!E71+SOGEFINANCEMENT!E71+SONAC!E71+SOREC!E71+VIVALIS!E71+WAFASALAF!E71+DIAC!E71+FINACRED!E71+'SALAF AL MOUSTAQBAL'!E71</f>
        <v>193054</v>
      </c>
      <c r="F71" s="569">
        <f t="shared" si="12"/>
        <v>7251751.4346567467</v>
      </c>
      <c r="G71" s="570">
        <f t="shared" si="13"/>
        <v>23.689878258813728</v>
      </c>
      <c r="H71" s="569">
        <f t="shared" si="14"/>
        <v>23097</v>
      </c>
      <c r="I71" s="570">
        <f t="shared" si="15"/>
        <v>11.964010069721425</v>
      </c>
      <c r="J71" s="146"/>
    </row>
    <row r="72" spans="1:10" x14ac:dyDescent="0.35">
      <c r="A72" s="209" t="s">
        <v>143</v>
      </c>
      <c r="B72" s="568">
        <f>'AXA CREDIT'!B72+'ASSALAF AL AKHDAR'!B72+'DAR SALAF'!B72+EQDOM!B72+FNAC!B72+'RCI '!B72+SALAFIN!B72+SOFAC!B72+SOGEFINANCEMENT!B72+SONAC!B72+SOREC!B72+VIVALIS!B72+WAFASALAF!B72+DIAC!B72+FINACRED!B72+'SALAF AL MOUSTAQBAL'!B72</f>
        <v>456.94100000000003</v>
      </c>
      <c r="C72" s="568">
        <f>'AXA CREDIT'!C72+'ASSALAF AL AKHDAR'!C72+'DAR SALAF'!C72+EQDOM!C72+FNAC!C72+'RCI '!C72+SALAFIN!C72+SOFAC!C72+SOGEFINANCEMENT!C72+SONAC!C72+SOREC!C72+VIVALIS!C72+WAFASALAF!C72+DIAC!C72+FINACRED!C72+'SALAF AL MOUSTAQBAL'!C72</f>
        <v>554.09899999999993</v>
      </c>
      <c r="D72" s="568">
        <f>'AXA CREDIT'!D72+'ASSALAF AL AKHDAR'!D72+'DAR SALAF'!D72+EQDOM!D72+FNAC!D72+'RCI '!D72+SALAFIN!D72+SOFAC!D72+SOGEFINANCEMENT!D72+SONAC!D72+SOREC!D72+VIVALIS!D72+WAFASALAF!D72+DIAC!D72+FINACRED!D72+'SALAF AL MOUSTAQBAL'!D72</f>
        <v>19</v>
      </c>
      <c r="E72" s="568">
        <f>'AXA CREDIT'!E72+'ASSALAF AL AKHDAR'!E72+'DAR SALAF'!E72+EQDOM!E72+FNAC!E72+'RCI '!E72+SALAFIN!E72+SOFAC!E72+SOGEFINANCEMENT!E72+SONAC!E72+SOREC!E72+VIVALIS!E72+WAFASALAF!E72+DIAC!E72+FINACRED!E72+'SALAF AL MOUSTAQBAL'!E72</f>
        <v>20</v>
      </c>
      <c r="F72" s="569">
        <f t="shared" si="12"/>
        <v>-97.157999999999902</v>
      </c>
      <c r="G72" s="570">
        <f t="shared" si="13"/>
        <v>-17.534411720649182</v>
      </c>
      <c r="H72" s="569">
        <f t="shared" si="14"/>
        <v>-1</v>
      </c>
      <c r="I72" s="570">
        <f t="shared" si="15"/>
        <v>-5</v>
      </c>
      <c r="J72" s="146"/>
    </row>
    <row r="73" spans="1:10" x14ac:dyDescent="0.35">
      <c r="A73" s="209" t="s">
        <v>139</v>
      </c>
      <c r="B73" s="568">
        <f>'AXA CREDIT'!B73+'ASSALAF AL AKHDAR'!B73+'DAR SALAF'!B73+EQDOM!B73+FNAC!B73+'RCI '!B73+SALAFIN!B73+SOFAC!B73+SOGEFINANCEMENT!B73+SONAC!B73+SOREC!B73+VIVALIS!B73+WAFASALAF!B73+DIAC!B73+FINACRED!B73+'SALAF AL MOUSTAQBAL'!B73</f>
        <v>684837.39499000006</v>
      </c>
      <c r="C73" s="568">
        <f>'AXA CREDIT'!C73+'ASSALAF AL AKHDAR'!C73+'DAR SALAF'!C73+EQDOM!C73+FNAC!C73+'RCI '!C73+SALAFIN!C73+SOFAC!C73+SOGEFINANCEMENT!C73+SONAC!C73+SOREC!C73+VIVALIS!C73+WAFASALAF!C73+DIAC!C73+FINACRED!C73+'SALAF AL MOUSTAQBAL'!C73</f>
        <v>507951.68900000001</v>
      </c>
      <c r="D73" s="568">
        <f>'AXA CREDIT'!D73+'ASSALAF AL AKHDAR'!D73+'DAR SALAF'!D73+EQDOM!D73+FNAC!D73+'RCI '!D73+SALAFIN!D73+SOFAC!D73+SOGEFINANCEMENT!D73+SONAC!D73+SOREC!D73+VIVALIS!D73+WAFASALAF!D73+DIAC!D73+FINACRED!D73+'SALAF AL MOUSTAQBAL'!D73</f>
        <v>110134</v>
      </c>
      <c r="E73" s="568">
        <f>'AXA CREDIT'!E73+'ASSALAF AL AKHDAR'!E73+'DAR SALAF'!E73+EQDOM!E73+FNAC!E73+'RCI '!E73+SALAFIN!E73+SOFAC!E73+SOGEFINANCEMENT!E73+SONAC!E73+SOREC!E73+VIVALIS!E73+WAFASALAF!E73+DIAC!E73+FINACRED!E73+'SALAF AL MOUSTAQBAL'!E73</f>
        <v>88979</v>
      </c>
      <c r="F73" s="569">
        <f t="shared" si="12"/>
        <v>176885.70599000005</v>
      </c>
      <c r="G73" s="570">
        <f t="shared" si="13"/>
        <v>34.823332576811268</v>
      </c>
      <c r="H73" s="569">
        <f t="shared" si="14"/>
        <v>21155</v>
      </c>
      <c r="I73" s="570">
        <f t="shared" si="15"/>
        <v>23.77527281718158</v>
      </c>
      <c r="J73" s="146"/>
    </row>
    <row r="74" spans="1:10" ht="15" thickBot="1" x14ac:dyDescent="0.4">
      <c r="A74" s="209" t="s">
        <v>140</v>
      </c>
      <c r="B74" s="568">
        <f>'AXA CREDIT'!B74+'ASSALAF AL AKHDAR'!B74+'DAR SALAF'!B74+EQDOM!B74+FNAC!B74+'RCI '!B74+SALAFIN!B74+SOFAC!B74+SOGEFINANCEMENT!B74+SONAC!B74+SOREC!B74+VIVALIS!B74+WAFASALAF!B74+DIAC!B74+FINACRED!B74+'SALAF AL MOUSTAQBAL'!B74</f>
        <v>0</v>
      </c>
      <c r="C74" s="568">
        <f>'AXA CREDIT'!C74+'ASSALAF AL AKHDAR'!C74+'DAR SALAF'!C74+EQDOM!C74+FNAC!C74+'RCI '!C74+SALAFIN!C74+SOFAC!C74+SOGEFINANCEMENT!C74+SONAC!C74+SOREC!C74+VIVALIS!C74+WAFASALAF!C74+DIAC!C74+FINACRED!C74+'SALAF AL MOUSTAQBAL'!C74</f>
        <v>0</v>
      </c>
      <c r="D74" s="568">
        <f>'AXA CREDIT'!D74+'ASSALAF AL AKHDAR'!D74+'DAR SALAF'!D74+EQDOM!D74+FNAC!D74+'RCI '!D74+SALAFIN!D74+SOFAC!D74+SOGEFINANCEMENT!D74+SONAC!D74+SOREC!D74+VIVALIS!D74+WAFASALAF!D74+DIAC!D74+FINACRED!D74+'SALAF AL MOUSTAQBAL'!D74</f>
        <v>0</v>
      </c>
      <c r="E74" s="568">
        <f>'AXA CREDIT'!E74+'ASSALAF AL AKHDAR'!E74+'DAR SALAF'!E74+EQDOM!E74+FNAC!E74+'RCI '!E74+SALAFIN!E74+SOFAC!E74+SOGEFINANCEMENT!E74+SONAC!E74+SOREC!E74+VIVALIS!E74+WAFASALAF!E74+DIAC!E74+FINACRED!E74+'SALAF AL MOUSTAQBAL'!E74</f>
        <v>0</v>
      </c>
      <c r="F74" s="569">
        <f t="shared" si="12"/>
        <v>0</v>
      </c>
      <c r="G74" s="570">
        <f t="shared" si="13"/>
        <v>0</v>
      </c>
      <c r="H74" s="569">
        <f t="shared" si="14"/>
        <v>0</v>
      </c>
      <c r="I74" s="570">
        <f t="shared" si="15"/>
        <v>0</v>
      </c>
      <c r="J74" s="146"/>
    </row>
    <row r="75" spans="1:10" ht="15" thickBot="1" x14ac:dyDescent="0.4">
      <c r="A75" s="210" t="s">
        <v>123</v>
      </c>
      <c r="B75" s="576">
        <f>'AXA CREDIT'!B75+'ASSALAF AL AKHDAR'!B75+'DAR SALAF'!B75+EQDOM!B75+FNAC!B75+'RCI '!B75+SALAFIN!B75+SOFAC!B75+SOGEFINANCEMENT!B75+SONAC!B75+SOREC!B75+VIVALIS!B75+WAFASALAF!B75+DIAC!B75+FINACRED!B75+'SALAF AL MOUSTAQBAL'!B75</f>
        <v>64790995.336706996</v>
      </c>
      <c r="C75" s="576">
        <f>'AXA CREDIT'!C75+'ASSALAF AL AKHDAR'!C75+'DAR SALAF'!C75+EQDOM!C75+FNAC!C75+'RCI '!C75+SALAFIN!C75+SOFAC!C75+SOGEFINANCEMENT!C75+SONAC!C75+SOREC!C75+VIVALIS!C75+WAFASALAF!C75+DIAC!C75+FINACRED!C75+'SALAF AL MOUSTAQBAL'!C75</f>
        <v>52378701.928070158</v>
      </c>
      <c r="D75" s="576">
        <f>'AXA CREDIT'!D75+'ASSALAF AL AKHDAR'!D75+'DAR SALAF'!D75+EQDOM!D75+FNAC!D75+'RCI '!D75+SALAFIN!D75+SOFAC!D75+SOGEFINANCEMENT!D75+SONAC!D75+SOREC!D75+VIVALIS!D75+WAFASALAF!D75+DIAC!D75+FINACRED!D75+'SALAF AL MOUSTAQBAL'!D75</f>
        <v>567006</v>
      </c>
      <c r="E75" s="576">
        <f>'AXA CREDIT'!E75+'ASSALAF AL AKHDAR'!E75+'DAR SALAF'!E75+EQDOM!E75+FNAC!E75+'RCI '!E75+SALAFIN!E75+SOFAC!E75+SOGEFINANCEMENT!E75+SONAC!E75+SOREC!E75+VIVALIS!E75+WAFASALAF!E75+DIAC!E75+FINACRED!E75+'SALAF AL MOUSTAQBAL'!E75</f>
        <v>481430</v>
      </c>
      <c r="F75" s="161">
        <f t="shared" si="12"/>
        <v>12412293.408636838</v>
      </c>
      <c r="G75" s="162">
        <f t="shared" si="13"/>
        <v>23.69721461536448</v>
      </c>
      <c r="H75" s="161">
        <f t="shared" si="14"/>
        <v>85576</v>
      </c>
      <c r="I75" s="162">
        <f t="shared" si="15"/>
        <v>17.775377521134953</v>
      </c>
      <c r="J75" s="146"/>
    </row>
    <row r="76" spans="1:10" x14ac:dyDescent="0.35">
      <c r="A76" s="211"/>
      <c r="B76" s="184"/>
      <c r="C76" s="184"/>
      <c r="D76" s="185"/>
      <c r="E76" s="185"/>
      <c r="F76" s="187"/>
      <c r="G76" s="187"/>
      <c r="H76" s="187"/>
      <c r="I76" s="212"/>
      <c r="J76" s="146"/>
    </row>
    <row r="77" spans="1:10" ht="15" thickBot="1" x14ac:dyDescent="0.4">
      <c r="A77" s="208" t="s">
        <v>124</v>
      </c>
      <c r="B77" s="191"/>
      <c r="C77" s="191"/>
      <c r="D77" s="192"/>
      <c r="E77" s="192"/>
      <c r="F77" s="193"/>
      <c r="G77" s="193"/>
      <c r="H77" s="193"/>
      <c r="I77" s="213"/>
      <c r="J77" s="146"/>
    </row>
    <row r="78" spans="1:10" ht="15" thickBot="1" x14ac:dyDescent="0.4">
      <c r="A78" s="209" t="s">
        <v>125</v>
      </c>
      <c r="B78" s="568">
        <f>'AXA CREDIT'!B78+'ASSALAF AL AKHDAR'!B78+'DAR SALAF'!B78+EQDOM!B78+FNAC!B78+'RCI '!B78+SALAFIN!B78+SOFAC!B78+SOGEFINANCEMENT!B78+SONAC!B78+SOREC!B78+VIVALIS!B78+WAFASALAF!B78+DIAC!B78+FINACRED!B78+'SALAF AL MOUSTAQBAL'!B78</f>
        <v>30704356.440070003</v>
      </c>
      <c r="C78" s="568">
        <f>'AXA CREDIT'!C78+'ASSALAF AL AKHDAR'!C78+'DAR SALAF'!C78+EQDOM!C78+FNAC!C78+'RCI '!C78+SALAFIN!C78+SOFAC!C78+SOGEFINANCEMENT!C78+SONAC!C78+SOREC!C78+VIVALIS!C78+WAFASALAF!C78+DIAC!C78+FINACRED!C78+'SALAF AL MOUSTAQBAL'!C78</f>
        <v>29319394.839769993</v>
      </c>
      <c r="D78" s="568">
        <f>'AXA CREDIT'!D78+'ASSALAF AL AKHDAR'!D78+'DAR SALAF'!D78+EQDOM!D78+FNAC!D78+'RCI '!D78+SALAFIN!D78+SOFAC!D78+SOGEFINANCEMENT!D78+SONAC!D78+SOREC!D78+VIVALIS!D78+WAFASALAF!D78+DIAC!D78+FINACRED!D78+'SALAF AL MOUSTAQBAL'!D78</f>
        <v>521385</v>
      </c>
      <c r="E78" s="568">
        <f>'AXA CREDIT'!E78+'ASSALAF AL AKHDAR'!E78+'DAR SALAF'!E78+EQDOM!E78+FNAC!E78+'RCI '!E78+SALAFIN!E78+SOFAC!E78+SOGEFINANCEMENT!E78+SONAC!E78+SOREC!E78+VIVALIS!E78+WAFASALAF!E78+DIAC!E78+FINACRED!E78+'SALAF AL MOUSTAQBAL'!E78</f>
        <v>512207</v>
      </c>
      <c r="F78" s="169">
        <f t="shared" ref="F78:F83" si="16">B78-C78</f>
        <v>1384961.6003000103</v>
      </c>
      <c r="G78" s="170">
        <f t="shared" ref="G78:G83" si="17">IF(C78&lt;&gt;0,(B78-C78)/C78)*100</f>
        <v>4.7237045916834317</v>
      </c>
      <c r="H78" s="169">
        <f t="shared" ref="H78:H83" si="18">D78-E78</f>
        <v>9178</v>
      </c>
      <c r="I78" s="170">
        <f t="shared" ref="I78:I83" si="19">IF(E78&lt;&gt;0,(D78-E78)/E78)*100</f>
        <v>1.7918536841550388</v>
      </c>
      <c r="J78" s="146"/>
    </row>
    <row r="79" spans="1:10" x14ac:dyDescent="0.35">
      <c r="A79" s="196" t="s">
        <v>126</v>
      </c>
      <c r="B79" s="568">
        <f>'AXA CREDIT'!B79+'ASSALAF AL AKHDAR'!B79+'DAR SALAF'!B79+EQDOM!B79+FNAC!B79+'RCI '!B79+SALAFIN!B79+SOFAC!B79+SOGEFINANCEMENT!B79+SONAC!B79+SOREC!B79+VIVALIS!B79+WAFASALAF!B79+DIAC!B79+FINACRED!B79+'SALAF AL MOUSTAQBAL'!B79</f>
        <v>16163425.475909997</v>
      </c>
      <c r="C79" s="568">
        <f>'AXA CREDIT'!C79+'ASSALAF AL AKHDAR'!C79+'DAR SALAF'!C79+EQDOM!C79+FNAC!C79+'RCI '!C79+SALAFIN!C79+SOFAC!C79+SOGEFINANCEMENT!C79+SONAC!C79+SOREC!C79+VIVALIS!C79+WAFASALAF!C79+DIAC!C79+FINACRED!C79+'SALAF AL MOUSTAQBAL'!C79</f>
        <v>15617109.279988993</v>
      </c>
      <c r="D79" s="568">
        <f>'AXA CREDIT'!D79+'ASSALAF AL AKHDAR'!D79+'DAR SALAF'!D79+EQDOM!D79+FNAC!D79+'RCI '!D79+SALAFIN!D79+SOFAC!D79+SOGEFINANCEMENT!D79+SONAC!D79+SOREC!D79+VIVALIS!D79+WAFASALAF!D79+DIAC!D79+FINACRED!D79+'SALAF AL MOUSTAQBAL'!D79</f>
        <v>228647</v>
      </c>
      <c r="E79" s="568">
        <f>'AXA CREDIT'!E79+'ASSALAF AL AKHDAR'!E79+'DAR SALAF'!E79+EQDOM!E79+FNAC!E79+'RCI '!E79+SALAFIN!E79+SOFAC!E79+SOGEFINANCEMENT!E79+SONAC!E79+SOREC!E79+VIVALIS!E79+WAFASALAF!E79+DIAC!E79+FINACRED!E79+'SALAF AL MOUSTAQBAL'!E79</f>
        <v>221979</v>
      </c>
      <c r="F79" s="569">
        <f t="shared" si="16"/>
        <v>546316.19592100382</v>
      </c>
      <c r="G79" s="570">
        <f t="shared" si="17"/>
        <v>3.4981902612478155</v>
      </c>
      <c r="H79" s="569">
        <f t="shared" si="18"/>
        <v>6668</v>
      </c>
      <c r="I79" s="570">
        <f t="shared" si="19"/>
        <v>3.0038877551480097</v>
      </c>
      <c r="J79" s="146"/>
    </row>
    <row r="80" spans="1:10" x14ac:dyDescent="0.35">
      <c r="A80" s="196" t="s">
        <v>144</v>
      </c>
      <c r="B80" s="568">
        <f>'AXA CREDIT'!B80+'ASSALAF AL AKHDAR'!B80+'DAR SALAF'!B80+EQDOM!B80+FNAC!B80+'RCI '!B80+SALAFIN!B80+SOFAC!B80+SOGEFINANCEMENT!B80+SONAC!B80+SOREC!B80+VIVALIS!B80+WAFASALAF!B80+DIAC!B80+FINACRED!B80+'SALAF AL MOUSTAQBAL'!B80</f>
        <v>3675440.3059100024</v>
      </c>
      <c r="C80" s="568">
        <f>'AXA CREDIT'!C80+'ASSALAF AL AKHDAR'!C80+'DAR SALAF'!C80+EQDOM!C80+FNAC!C80+'RCI '!C80+SALAFIN!C80+SOFAC!C80+SOGEFINANCEMENT!C80+SONAC!C80+SOREC!C80+VIVALIS!C80+WAFASALAF!C80+DIAC!C80+FINACRED!C80+'SALAF AL MOUSTAQBAL'!C80</f>
        <v>3164493.972370002</v>
      </c>
      <c r="D80" s="568">
        <f>'AXA CREDIT'!D80+'ASSALAF AL AKHDAR'!D80+'DAR SALAF'!D80+EQDOM!D80+FNAC!D80+'RCI '!D80+SALAFIN!D80+SOFAC!D80+SOGEFINANCEMENT!D80+SONAC!D80+SOREC!D80+VIVALIS!D80+WAFASALAF!D80+DIAC!D80+FINACRED!D80+'SALAF AL MOUSTAQBAL'!D80</f>
        <v>96304</v>
      </c>
      <c r="E80" s="568">
        <f>'AXA CREDIT'!E80+'ASSALAF AL AKHDAR'!E80+'DAR SALAF'!E80+EQDOM!E80+FNAC!E80+'RCI '!E80+SALAFIN!E80+SOFAC!E80+SOGEFINANCEMENT!E80+SONAC!E80+SOREC!E80+VIVALIS!E80+WAFASALAF!E80+DIAC!E80+FINACRED!E80+'SALAF AL MOUSTAQBAL'!E80</f>
        <v>77700</v>
      </c>
      <c r="F80" s="569">
        <f t="shared" si="16"/>
        <v>510946.33354000049</v>
      </c>
      <c r="G80" s="570">
        <f t="shared" si="17"/>
        <v>16.146225526141063</v>
      </c>
      <c r="H80" s="569">
        <f t="shared" si="18"/>
        <v>18604</v>
      </c>
      <c r="I80" s="570">
        <f t="shared" si="19"/>
        <v>23.943371943371943</v>
      </c>
      <c r="J80" s="146"/>
    </row>
    <row r="81" spans="1:11" x14ac:dyDescent="0.35">
      <c r="A81" s="197" t="s">
        <v>141</v>
      </c>
      <c r="B81" s="568">
        <f>'AXA CREDIT'!B81+'ASSALAF AL AKHDAR'!B81+'DAR SALAF'!B81+EQDOM!B81+FNAC!B81+'RCI '!B81+SALAFIN!B81+SOFAC!B81+SOGEFINANCEMENT!B81+SONAC!B81+SOREC!B81+VIVALIS!B81+WAFASALAF!B81+DIAC!B81+FINACRED!B81+'SALAF AL MOUSTAQBAL'!B81</f>
        <v>1627387.0751099996</v>
      </c>
      <c r="C81" s="568">
        <f>'AXA CREDIT'!C81+'ASSALAF AL AKHDAR'!C81+'DAR SALAF'!C81+EQDOM!C81+FNAC!C81+'RCI '!C81+SALAFIN!C81+SOFAC!C81+SOGEFINANCEMENT!C81+SONAC!C81+SOREC!C81+VIVALIS!C81+WAFASALAF!C81+DIAC!C81+FINACRED!C81+'SALAF AL MOUSTAQBAL'!C81</f>
        <v>2140055.0729226004</v>
      </c>
      <c r="D81" s="568">
        <f>'AXA CREDIT'!D81+'ASSALAF AL AKHDAR'!D81+'DAR SALAF'!D81+EQDOM!D81+FNAC!D81+'RCI '!D81+SALAFIN!D81+SOFAC!D81+SOGEFINANCEMENT!D81+SONAC!D81+SOREC!D81+VIVALIS!D81+WAFASALAF!D81+DIAC!D81+FINACRED!D81+'SALAF AL MOUSTAQBAL'!D81</f>
        <v>51704</v>
      </c>
      <c r="E81" s="568">
        <f>'AXA CREDIT'!E81+'ASSALAF AL AKHDAR'!E81+'DAR SALAF'!E81+EQDOM!E81+FNAC!E81+'RCI '!E81+SALAFIN!E81+SOFAC!E81+SOGEFINANCEMENT!E81+SONAC!E81+SOREC!E81+VIVALIS!E81+WAFASALAF!E81+DIAC!E81+FINACRED!E81+'SALAF AL MOUSTAQBAL'!E81</f>
        <v>69395</v>
      </c>
      <c r="F81" s="569">
        <f t="shared" si="16"/>
        <v>-512667.99781260081</v>
      </c>
      <c r="G81" s="570">
        <f t="shared" si="17"/>
        <v>-23.955831992326608</v>
      </c>
      <c r="H81" s="569">
        <f t="shared" si="18"/>
        <v>-17691</v>
      </c>
      <c r="I81" s="570">
        <f t="shared" si="19"/>
        <v>-25.493191152100298</v>
      </c>
      <c r="J81" s="146"/>
    </row>
    <row r="82" spans="1:11" x14ac:dyDescent="0.35">
      <c r="A82" s="196" t="s">
        <v>129</v>
      </c>
      <c r="B82" s="568">
        <f>'AXA CREDIT'!B82+'ASSALAF AL AKHDAR'!B82+'DAR SALAF'!B82+EQDOM!B82+FNAC!B82+'RCI '!B82+SALAFIN!B82+SOFAC!B82+SOGEFINANCEMENT!B82+SONAC!B82+SOREC!B82+VIVALIS!B82+WAFASALAF!B82+DIAC!B82+FINACRED!B82+'SALAF AL MOUSTAQBAL'!B82</f>
        <v>9238103.5831400044</v>
      </c>
      <c r="C82" s="568">
        <f>'AXA CREDIT'!C82+'ASSALAF AL AKHDAR'!C82+'DAR SALAF'!C82+EQDOM!C82+FNAC!C82+'RCI '!C82+SALAFIN!C82+SOFAC!C82+SOGEFINANCEMENT!C82+SONAC!C82+SOREC!C82+VIVALIS!C82+WAFASALAF!C82+DIAC!C82+FINACRED!C82+'SALAF AL MOUSTAQBAL'!C82</f>
        <v>8397736.5144883953</v>
      </c>
      <c r="D82" s="568">
        <f>'AXA CREDIT'!D82+'ASSALAF AL AKHDAR'!D82+'DAR SALAF'!D82+EQDOM!D82+FNAC!D82+'RCI '!D82+SALAFIN!D82+SOFAC!D82+SOGEFINANCEMENT!D82+SONAC!D82+SOREC!D82+VIVALIS!D82+WAFASALAF!D82+DIAC!D82+FINACRED!D82+'SALAF AL MOUSTAQBAL'!D82</f>
        <v>144730</v>
      </c>
      <c r="E82" s="568">
        <f>'AXA CREDIT'!E82+'ASSALAF AL AKHDAR'!E82+'DAR SALAF'!E82+EQDOM!E82+FNAC!E82+'RCI '!E82+SALAFIN!E82+SOFAC!E82+SOGEFINANCEMENT!E82+SONAC!E82+SOREC!E82+VIVALIS!E82+WAFASALAF!E82+DIAC!E82+FINACRED!E82+'SALAF AL MOUSTAQBAL'!E82</f>
        <v>143133</v>
      </c>
      <c r="F82" s="569">
        <f t="shared" si="16"/>
        <v>840367.06865160912</v>
      </c>
      <c r="G82" s="570">
        <f t="shared" si="17"/>
        <v>10.007066394637958</v>
      </c>
      <c r="H82" s="569">
        <f t="shared" si="18"/>
        <v>1597</v>
      </c>
      <c r="I82" s="570">
        <f t="shared" si="19"/>
        <v>1.1157454954482893</v>
      </c>
      <c r="J82" s="146"/>
    </row>
    <row r="83" spans="1:11" x14ac:dyDescent="0.35">
      <c r="A83" s="209" t="s">
        <v>130</v>
      </c>
      <c r="B83" s="568">
        <f>'AXA CREDIT'!B83+'ASSALAF AL AKHDAR'!B83+'DAR SALAF'!B83+EQDOM!B83+FNAC!B83+'RCI '!B83+SALAFIN!B83+SOFAC!B83+SOGEFINANCEMENT!B83+SONAC!B83+SOREC!B83+VIVALIS!B83+WAFASALAF!B83+DIAC!B83+FINACRED!B83+'SALAF AL MOUSTAQBAL'!B83</f>
        <v>308555.29300000001</v>
      </c>
      <c r="C83" s="568">
        <f>'AXA CREDIT'!C83+'ASSALAF AL AKHDAR'!C83+'DAR SALAF'!C83+EQDOM!C83+FNAC!C83+'RCI '!C83+SALAFIN!C83+SOFAC!C83+SOGEFINANCEMENT!C83+SONAC!C83+SOREC!C83+VIVALIS!C83+WAFASALAF!C83+DIAC!C83+FINACRED!C83+'SALAF AL MOUSTAQBAL'!C83</f>
        <v>311488.90500000003</v>
      </c>
      <c r="D83" s="568">
        <f>'AXA CREDIT'!D83+'ASSALAF AL AKHDAR'!D83+'DAR SALAF'!D83+EQDOM!D83+FNAC!D83+'RCI '!D83+SALAFIN!D83+SOFAC!D83+SOGEFINANCEMENT!D83+SONAC!D83+SOREC!D83+VIVALIS!D83+WAFASALAF!D83+DIAC!D83+FINACRED!D83+'SALAF AL MOUSTAQBAL'!D83</f>
        <v>19372</v>
      </c>
      <c r="E83" s="568">
        <f>'AXA CREDIT'!E83+'ASSALAF AL AKHDAR'!E83+'DAR SALAF'!E83+EQDOM!E83+FNAC!E83+'RCI '!E83+SALAFIN!E83+SOFAC!E83+SOGEFINANCEMENT!E83+SONAC!E83+SOREC!E83+VIVALIS!E83+WAFASALAF!E83+DIAC!E83+FINACRED!E83+'SALAF AL MOUSTAQBAL'!E83</f>
        <v>20747</v>
      </c>
      <c r="F83" s="569">
        <f t="shared" si="16"/>
        <v>-2933.6120000000228</v>
      </c>
      <c r="G83" s="570">
        <f t="shared" si="17"/>
        <v>-0.94180304752749466</v>
      </c>
      <c r="H83" s="569">
        <f t="shared" si="18"/>
        <v>-1375</v>
      </c>
      <c r="I83" s="570">
        <f t="shared" si="19"/>
        <v>-6.6274642116932565</v>
      </c>
      <c r="J83" s="146"/>
    </row>
    <row r="84" spans="1:11" x14ac:dyDescent="0.35">
      <c r="A84" s="209"/>
      <c r="B84" s="601"/>
      <c r="C84" s="601"/>
      <c r="D84" s="601"/>
      <c r="E84" s="601"/>
      <c r="F84" s="593"/>
      <c r="G84" s="594"/>
      <c r="H84" s="593"/>
      <c r="I84" s="594"/>
      <c r="J84" s="146"/>
    </row>
    <row r="85" spans="1:11" x14ac:dyDescent="0.35">
      <c r="A85" s="209"/>
      <c r="B85" s="601"/>
      <c r="C85" s="601"/>
      <c r="D85" s="601"/>
      <c r="E85" s="601"/>
      <c r="F85" s="593"/>
      <c r="G85" s="594"/>
      <c r="H85" s="593"/>
      <c r="I85" s="594"/>
      <c r="J85" s="146"/>
    </row>
    <row r="86" spans="1:11" ht="15" thickBot="1" x14ac:dyDescent="0.4">
      <c r="A86" s="209"/>
      <c r="B86" s="602"/>
      <c r="C86" s="602"/>
      <c r="D86" s="596"/>
      <c r="E86" s="596"/>
      <c r="F86" s="597"/>
      <c r="G86" s="598"/>
      <c r="H86" s="599"/>
      <c r="I86" s="600"/>
      <c r="J86" s="146"/>
    </row>
    <row r="87" spans="1:11" ht="15" thickBot="1" x14ac:dyDescent="0.4">
      <c r="A87" s="210" t="s">
        <v>131</v>
      </c>
      <c r="B87" s="576">
        <f>'AXA CREDIT'!B87+'ASSALAF AL AKHDAR'!B87+'DAR SALAF'!B87+EQDOM!B87+FNAC!B87+'RCI '!B87+SALAFIN!B87+SOFAC!B87+SOGEFINANCEMENT!B87+SONAC!B87+SOREC!B87+VIVALIS!B87+WAFASALAF!B87+DIAC!B87+FINACRED!B87+'SALAF AL MOUSTAQBAL'!B87</f>
        <v>31012911.733070001</v>
      </c>
      <c r="C87" s="576">
        <f>'AXA CREDIT'!C87+'ASSALAF AL AKHDAR'!C87+'DAR SALAF'!C87+EQDOM!C87+FNAC!C87+'RCI '!C87+SALAFIN!C87+SOFAC!C87+SOGEFINANCEMENT!C87+SONAC!C87+SOREC!C87+VIVALIS!C87+WAFASALAF!C87+DIAC!C87+FINACRED!C87+'SALAF AL MOUSTAQBAL'!C87</f>
        <v>29630883.744769998</v>
      </c>
      <c r="D87" s="576">
        <f>'AXA CREDIT'!D87+'ASSALAF AL AKHDAR'!D87+'DAR SALAF'!D87+EQDOM!D87+FNAC!D87+'RCI '!D87+SALAFIN!D87+SOFAC!D87+SOGEFINANCEMENT!D87+SONAC!D87+SOREC!D87+VIVALIS!D87+WAFASALAF!D87+DIAC!D87+FINACRED!D87+'SALAF AL MOUSTAQBAL'!D87</f>
        <v>540757</v>
      </c>
      <c r="E87" s="576">
        <f>'AXA CREDIT'!E87+'ASSALAF AL AKHDAR'!E87+'DAR SALAF'!E87+EQDOM!E87+FNAC!E87+'RCI '!E87+SALAFIN!E87+SOFAC!E87+SOGEFINANCEMENT!E87+SONAC!E87+SOREC!E87+VIVALIS!E87+WAFASALAF!E87+DIAC!E87+FINACRED!E87+'SALAF AL MOUSTAQBAL'!E87</f>
        <v>532954</v>
      </c>
      <c r="F87" s="583">
        <f>B87-C87</f>
        <v>1382027.9883000031</v>
      </c>
      <c r="G87" s="584">
        <f>IF(C87&lt;&gt;0,(B87-C87)/C87)*100</f>
        <v>4.664147044024423</v>
      </c>
      <c r="H87" s="583">
        <f>D87-E87</f>
        <v>7803</v>
      </c>
      <c r="I87" s="584">
        <f>IF(E87&lt;&gt;0,(D87-E87)/E87)*100</f>
        <v>1.4641038438589447</v>
      </c>
      <c r="J87" s="146"/>
    </row>
    <row r="88" spans="1:11" ht="15" thickBot="1" x14ac:dyDescent="0.4">
      <c r="A88" s="209"/>
      <c r="B88" s="198"/>
      <c r="C88" s="198"/>
      <c r="D88" s="199"/>
      <c r="E88" s="199"/>
      <c r="F88" s="200"/>
      <c r="G88" s="201"/>
      <c r="H88" s="200"/>
      <c r="I88" s="202"/>
      <c r="J88" s="146"/>
    </row>
    <row r="89" spans="1:11" ht="15" thickBot="1" x14ac:dyDescent="0.4">
      <c r="A89" s="210" t="s">
        <v>132</v>
      </c>
      <c r="B89" s="576">
        <f>'AXA CREDIT'!B89+'ASSALAF AL AKHDAR'!B89+'DAR SALAF'!B89+EQDOM!B89+FNAC!B89+'RCI '!B89+SALAFIN!B89+SOFAC!B89+SOGEFINANCEMENT!B89+SONAC!B89+SOREC!B89+VIVALIS!B89+WAFASALAF!B89+DIAC!B89+FINACRED!B89+'SALAF AL MOUSTAQBAL'!B89</f>
        <v>95803907.069776982</v>
      </c>
      <c r="C89" s="576">
        <f>'AXA CREDIT'!C89+'ASSALAF AL AKHDAR'!C89+'DAR SALAF'!C89+EQDOM!C89+FNAC!C89+'RCI '!C89+SALAFIN!C89+SOFAC!C89+SOGEFINANCEMENT!C89+SONAC!C89+SOREC!C89+VIVALIS!C89+WAFASALAF!C89+DIAC!C89+FINACRED!C89+'SALAF AL MOUSTAQBAL'!C89</f>
        <v>82009585.672840148</v>
      </c>
      <c r="D89" s="576">
        <f>'AXA CREDIT'!D89+'ASSALAF AL AKHDAR'!D89+'DAR SALAF'!D89+EQDOM!D89+FNAC!D89+'RCI '!D89+SALAFIN!D89+SOFAC!D89+SOGEFINANCEMENT!D89+SONAC!D89+SOREC!D89+VIVALIS!D89+WAFASALAF!D89+DIAC!D89+FINACRED!D89+'SALAF AL MOUSTAQBAL'!D89</f>
        <v>1107763</v>
      </c>
      <c r="E89" s="576">
        <f>'AXA CREDIT'!E89+'ASSALAF AL AKHDAR'!E89+'DAR SALAF'!E89+EQDOM!E89+FNAC!E89+'RCI '!E89+SALAFIN!E89+SOFAC!E89+SOGEFINANCEMENT!E89+SONAC!E89+SOREC!E89+VIVALIS!E89+WAFASALAF!E89+DIAC!E89+FINACRED!E89+'SALAF AL MOUSTAQBAL'!E89</f>
        <v>1014384</v>
      </c>
      <c r="F89" s="181">
        <f>B89-C89</f>
        <v>13794321.396936834</v>
      </c>
      <c r="G89" s="182">
        <f>IF(C89&lt;&gt;0,(B89-C89)/C89)*100</f>
        <v>16.820376891021439</v>
      </c>
      <c r="H89" s="181">
        <f>D89-E89</f>
        <v>93379</v>
      </c>
      <c r="I89" s="182">
        <f>IF(E89&lt;&gt;0,(D89-E89)/E89)*100</f>
        <v>9.2054882569125702</v>
      </c>
      <c r="J89" s="146"/>
    </row>
    <row r="90" spans="1:11" x14ac:dyDescent="0.35">
      <c r="A90" s="172"/>
      <c r="B90" s="172"/>
      <c r="C90" s="172"/>
      <c r="D90" s="172"/>
      <c r="E90" s="172"/>
      <c r="J90" s="146"/>
    </row>
    <row r="91" spans="1:11" x14ac:dyDescent="0.35">
      <c r="A91" s="203"/>
      <c r="B91" s="175"/>
      <c r="C91" s="175"/>
      <c r="D91" s="175"/>
      <c r="E91" s="175"/>
      <c r="J91" s="146"/>
    </row>
    <row r="92" spans="1:11" ht="15" thickBot="1" x14ac:dyDescent="0.4">
      <c r="A92" s="205" t="s">
        <v>145</v>
      </c>
      <c r="B92" s="783"/>
      <c r="C92" s="783"/>
      <c r="D92" s="206"/>
      <c r="E92" s="206"/>
      <c r="J92" s="146"/>
    </row>
    <row r="93" spans="1:11" ht="15" thickBot="1" x14ac:dyDescent="0.4">
      <c r="A93" s="775" t="s">
        <v>134</v>
      </c>
      <c r="B93" s="777" t="s">
        <v>105</v>
      </c>
      <c r="C93" s="778"/>
      <c r="D93" s="777" t="s">
        <v>106</v>
      </c>
      <c r="E93" s="779"/>
      <c r="F93" s="780" t="s">
        <v>107</v>
      </c>
      <c r="G93" s="781"/>
      <c r="H93" s="781"/>
      <c r="I93" s="782"/>
      <c r="J93" s="146"/>
    </row>
    <row r="94" spans="1:11" ht="15" thickBot="1" x14ac:dyDescent="0.4">
      <c r="A94" s="776"/>
      <c r="B94" s="324">
        <v>2018</v>
      </c>
      <c r="C94" s="324">
        <v>2017</v>
      </c>
      <c r="D94" s="324">
        <v>2018</v>
      </c>
      <c r="E94" s="324">
        <v>2017</v>
      </c>
      <c r="F94" s="780" t="s">
        <v>105</v>
      </c>
      <c r="G94" s="782"/>
      <c r="H94" s="780" t="s">
        <v>106</v>
      </c>
      <c r="I94" s="782"/>
      <c r="J94" s="146"/>
    </row>
    <row r="95" spans="1:11" x14ac:dyDescent="0.35">
      <c r="A95" s="207"/>
      <c r="B95" s="765"/>
      <c r="C95" s="766"/>
      <c r="D95" s="766"/>
      <c r="E95" s="767"/>
      <c r="F95" s="771" t="s">
        <v>110</v>
      </c>
      <c r="G95" s="773" t="s">
        <v>111</v>
      </c>
      <c r="H95" s="773" t="s">
        <v>112</v>
      </c>
      <c r="I95" s="773" t="s">
        <v>111</v>
      </c>
      <c r="J95" s="763"/>
      <c r="K95" s="764"/>
    </row>
    <row r="96" spans="1:11" ht="15" thickBot="1" x14ac:dyDescent="0.4">
      <c r="A96" s="208" t="s">
        <v>113</v>
      </c>
      <c r="B96" s="768"/>
      <c r="C96" s="769"/>
      <c r="D96" s="769"/>
      <c r="E96" s="770"/>
      <c r="F96" s="772"/>
      <c r="G96" s="774"/>
      <c r="H96" s="774"/>
      <c r="I96" s="774"/>
      <c r="J96" s="763"/>
      <c r="K96" s="764"/>
    </row>
    <row r="97" spans="1:15" ht="15" thickBot="1" x14ac:dyDescent="0.4">
      <c r="A97" s="209" t="s">
        <v>135</v>
      </c>
      <c r="B97" s="568">
        <f>'AXA CREDIT'!B97+'ASSALAF AL AKHDAR'!B97+'DAR SALAF'!B97+EQDOM!B97+FNAC!B97+'RCI '!B97+SALAFIN!B97+SOFAC!B97+SOGEFINANCEMENT!B97+SONAC!B97+SOREC!B97+VIVALIS!B97+WAFASALAF!B97+DIAC!B97+FINACRED!B97+'SALAF AL MOUSTAQBAL'!B97</f>
        <v>7706096.7606000006</v>
      </c>
      <c r="C97" s="568">
        <f>'AXA CREDIT'!C97+'ASSALAF AL AKHDAR'!C97+'DAR SALAF'!C97+EQDOM!C97+FNAC!C97+'RCI '!C97+SALAFIN!C97+SOFAC!C97+SOGEFINANCEMENT!C97+SONAC!C97+SOREC!C97+VIVALIS!C97+WAFASALAF!C97+DIAC!C97+FINACRED!C97+'SALAF AL MOUSTAQBAL'!C97</f>
        <v>5756299.0172700025</v>
      </c>
      <c r="D97" s="568">
        <f>'AXA CREDIT'!D97+'ASSALAF AL AKHDAR'!D97+'DAR SALAF'!D97+EQDOM!D97+FNAC!D97+'RCI '!D97+SALAFIN!D97+SOFAC!D97+SOGEFINANCEMENT!D97+SONAC!D97+SOREC!D97+VIVALIS!D97+WAFASALAF!D97+DIAC!D97+FINACRED!D97+'SALAF AL MOUSTAQBAL'!D97</f>
        <v>77971</v>
      </c>
      <c r="E97" s="568">
        <f>'AXA CREDIT'!E97+'ASSALAF AL AKHDAR'!E97+'DAR SALAF'!E97+EQDOM!E97+FNAC!E97+'RCI '!E97+SALAFIN!E97+SOFAC!E97+SOGEFINANCEMENT!E97+SONAC!E97+SOREC!E97+VIVALIS!E97+WAFASALAF!E97+DIAC!E97+FINACRED!E97+'SALAF AL MOUSTAQBAL'!E97</f>
        <v>65858</v>
      </c>
      <c r="F97" s="169">
        <f t="shared" ref="F97:F103" si="20">B97-C97</f>
        <v>1949797.7433299981</v>
      </c>
      <c r="G97" s="170">
        <f t="shared" ref="G97:G103" si="21">IF(C97&lt;&gt;0,(B97-C97)/C97)*100</f>
        <v>33.872419370158333</v>
      </c>
      <c r="H97" s="169">
        <f t="shared" ref="H97:H103" si="22">D97-E97</f>
        <v>12113</v>
      </c>
      <c r="I97" s="170">
        <f t="shared" ref="I97:I103" si="23">IF(E97&lt;&gt;0,(D97-E97)/E97)*100</f>
        <v>18.392602265480278</v>
      </c>
      <c r="J97" s="219"/>
      <c r="K97" s="220"/>
    </row>
    <row r="98" spans="1:15" x14ac:dyDescent="0.35">
      <c r="A98" s="209" t="s">
        <v>136</v>
      </c>
      <c r="B98" s="568">
        <f>'AXA CREDIT'!B98+'ASSALAF AL AKHDAR'!B98+'DAR SALAF'!B98+EQDOM!B98+FNAC!B98+'RCI '!B98+SALAFIN!B98+SOFAC!B98+SOGEFINANCEMENT!B98+SONAC!B98+SOREC!B98+VIVALIS!B98+WAFASALAF!B98+DIAC!B98+FINACRED!B98+'SALAF AL MOUSTAQBAL'!B98</f>
        <v>5684608.2315100003</v>
      </c>
      <c r="C98" s="568">
        <f>'AXA CREDIT'!C98+'ASSALAF AL AKHDAR'!C98+'DAR SALAF'!C98+EQDOM!C98+FNAC!C98+'RCI '!C98+SALAFIN!C98+SOFAC!C98+SOGEFINANCEMENT!C98+SONAC!C98+SOREC!C98+VIVALIS!C98+WAFASALAF!C98+DIAC!C98+FINACRED!C98+'SALAF AL MOUSTAQBAL'!C98</f>
        <v>4301626.2169700032</v>
      </c>
      <c r="D98" s="568">
        <f>'AXA CREDIT'!D98+'ASSALAF AL AKHDAR'!D98+'DAR SALAF'!D98+EQDOM!D98+FNAC!D98+'RCI '!D98+SALAFIN!D98+SOFAC!D98+SOGEFINANCEMENT!D98+SONAC!D98+SOREC!D98+VIVALIS!D98+WAFASALAF!D98+DIAC!D98+FINACRED!D98+'SALAF AL MOUSTAQBAL'!D98</f>
        <v>49287</v>
      </c>
      <c r="E98" s="568">
        <f>'AXA CREDIT'!E98+'ASSALAF AL AKHDAR'!E98+'DAR SALAF'!E98+EQDOM!E98+FNAC!E98+'RCI '!E98+SALAFIN!E98+SOFAC!E98+SOGEFINANCEMENT!E98+SONAC!E98+SOREC!E98+VIVALIS!E98+WAFASALAF!E98+DIAC!E98+FINACRED!E98+'SALAF AL MOUSTAQBAL'!E98</f>
        <v>42912</v>
      </c>
      <c r="F98" s="569">
        <f t="shared" si="20"/>
        <v>1382982.0145399971</v>
      </c>
      <c r="G98" s="570">
        <f t="shared" si="21"/>
        <v>32.150213542127503</v>
      </c>
      <c r="H98" s="569">
        <f t="shared" si="22"/>
        <v>6375</v>
      </c>
      <c r="I98" s="570">
        <f t="shared" si="23"/>
        <v>14.855984340044742</v>
      </c>
      <c r="J98" s="219"/>
      <c r="K98" s="220"/>
      <c r="M98" s="219"/>
      <c r="N98" s="219"/>
      <c r="O98" s="220"/>
    </row>
    <row r="99" spans="1:15" x14ac:dyDescent="0.35">
      <c r="A99" s="209" t="s">
        <v>116</v>
      </c>
      <c r="B99" s="568">
        <f>'AXA CREDIT'!B99+'ASSALAF AL AKHDAR'!B99+'DAR SALAF'!B99+EQDOM!B99+FNAC!B99+'RCI '!B99+SALAFIN!B99+SOFAC!B99+SOGEFINANCEMENT!B99+SONAC!B99+SOREC!B99+VIVALIS!B99+WAFASALAF!B99+DIAC!B99+FINACRED!B99+'SALAF AL MOUSTAQBAL'!B99</f>
        <v>2020244.2030900004</v>
      </c>
      <c r="C99" s="568">
        <f>'AXA CREDIT'!C99+'ASSALAF AL AKHDAR'!C99+'DAR SALAF'!C99+EQDOM!C99+FNAC!C99+'RCI '!C99+SALAFIN!C99+SOFAC!C99+SOGEFINANCEMENT!C99+SONAC!C99+SOREC!C99+VIVALIS!C99+WAFASALAF!C99+DIAC!C99+FINACRED!C99+'SALAF AL MOUSTAQBAL'!C99</f>
        <v>1452531.8623000006</v>
      </c>
      <c r="D99" s="568">
        <f>'AXA CREDIT'!D99+'ASSALAF AL AKHDAR'!D99+'DAR SALAF'!D99+EQDOM!D99+FNAC!D99+'RCI '!D99+SALAFIN!D99+SOFAC!D99+SOGEFINANCEMENT!D99+SONAC!D99+SOREC!D99+VIVALIS!D99+WAFASALAF!D99+DIAC!D99+FINACRED!D99+'SALAF AL MOUSTAQBAL'!D99</f>
        <v>28621</v>
      </c>
      <c r="E99" s="568">
        <f>'AXA CREDIT'!E99+'ASSALAF AL AKHDAR'!E99+'DAR SALAF'!E99+EQDOM!E99+FNAC!E99+'RCI '!E99+SALAFIN!E99+SOFAC!E99+SOGEFINANCEMENT!E99+SONAC!E99+SOREC!E99+VIVALIS!E99+WAFASALAF!E99+DIAC!E99+FINACRED!E99+'SALAF AL MOUSTAQBAL'!E99</f>
        <v>22931</v>
      </c>
      <c r="F99" s="569">
        <f t="shared" si="20"/>
        <v>567712.34078999981</v>
      </c>
      <c r="G99" s="570">
        <f t="shared" si="21"/>
        <v>39.084329612643401</v>
      </c>
      <c r="H99" s="569">
        <f t="shared" si="22"/>
        <v>5690</v>
      </c>
      <c r="I99" s="570">
        <f t="shared" si="23"/>
        <v>24.81357114822729</v>
      </c>
      <c r="J99" s="219"/>
      <c r="K99" s="220"/>
      <c r="M99" s="219"/>
      <c r="N99" s="219"/>
      <c r="O99" s="220"/>
    </row>
    <row r="100" spans="1:15" x14ac:dyDescent="0.35">
      <c r="A100" s="209" t="s">
        <v>143</v>
      </c>
      <c r="B100" s="568">
        <f>'AXA CREDIT'!B100+'ASSALAF AL AKHDAR'!B100+'DAR SALAF'!B100+EQDOM!B100+FNAC!B100+'RCI '!B100+SALAFIN!B100+SOFAC!B100+SOGEFINANCEMENT!B100+SONAC!B100+SOREC!B100+VIVALIS!B100+WAFASALAF!B100+DIAC!B100+FINACRED!B100+'SALAF AL MOUSTAQBAL'!B100</f>
        <v>1244.326</v>
      </c>
      <c r="C100" s="568">
        <f>'AXA CREDIT'!C100+'ASSALAF AL AKHDAR'!C100+'DAR SALAF'!C100+EQDOM!C100+FNAC!C100+'RCI '!C100+SALAFIN!C100+SOFAC!C100+SOGEFINANCEMENT!C100+SONAC!C100+SOREC!C100+VIVALIS!C100+WAFASALAF!C100+DIAC!C100+FINACRED!C100+'SALAF AL MOUSTAQBAL'!C100</f>
        <v>2140.9380000000001</v>
      </c>
      <c r="D100" s="568">
        <f>'AXA CREDIT'!D100+'ASSALAF AL AKHDAR'!D100+'DAR SALAF'!D100+EQDOM!D100+FNAC!D100+'RCI '!D100+SALAFIN!D100+SOFAC!D100+SOGEFINANCEMENT!D100+SONAC!D100+SOREC!D100+VIVALIS!D100+WAFASALAF!D100+DIAC!D100+FINACRED!D100+'SALAF AL MOUSTAQBAL'!D100</f>
        <v>63</v>
      </c>
      <c r="E100" s="568">
        <f>'AXA CREDIT'!E100+'ASSALAF AL AKHDAR'!E100+'DAR SALAF'!E100+EQDOM!E100+FNAC!E100+'RCI '!E100+SALAFIN!E100+SOFAC!E100+SOGEFINANCEMENT!E100+SONAC!E100+SOREC!E100+VIVALIS!E100+WAFASALAF!E100+DIAC!E100+FINACRED!E100+'SALAF AL MOUSTAQBAL'!E100</f>
        <v>15</v>
      </c>
      <c r="F100" s="569">
        <f t="shared" si="20"/>
        <v>-896.61200000000008</v>
      </c>
      <c r="G100" s="570">
        <f t="shared" si="21"/>
        <v>-41.879400524443028</v>
      </c>
      <c r="H100" s="569">
        <f t="shared" si="22"/>
        <v>48</v>
      </c>
      <c r="I100" s="570">
        <f t="shared" si="23"/>
        <v>320</v>
      </c>
      <c r="J100" s="219"/>
      <c r="K100" s="220"/>
      <c r="N100" s="219"/>
      <c r="O100" s="220"/>
    </row>
    <row r="101" spans="1:15" x14ac:dyDescent="0.35">
      <c r="A101" s="209" t="s">
        <v>139</v>
      </c>
      <c r="B101" s="568">
        <f>'AXA CREDIT'!B101+'ASSALAF AL AKHDAR'!B101+'DAR SALAF'!B101+EQDOM!B101+FNAC!B101+'RCI '!B101+SALAFIN!B101+SOFAC!B101+SOGEFINANCEMENT!B101+SONAC!B101+SOREC!B101+VIVALIS!B101+WAFASALAF!B101+DIAC!B101+FINACRED!B101+'SALAF AL MOUSTAQBAL'!B101</f>
        <v>73717.042109999995</v>
      </c>
      <c r="C101" s="568">
        <f>'AXA CREDIT'!C101+'ASSALAF AL AKHDAR'!C101+'DAR SALAF'!C101+EQDOM!C101+FNAC!C101+'RCI '!C101+SALAFIN!C101+SOFAC!C101+SOGEFINANCEMENT!C101+SONAC!C101+SOREC!C101+VIVALIS!C101+WAFASALAF!C101+DIAC!C101+FINACRED!C101+'SALAF AL MOUSTAQBAL'!C101</f>
        <v>59773.86017</v>
      </c>
      <c r="D101" s="568">
        <f>'AXA CREDIT'!D101+'ASSALAF AL AKHDAR'!D101+'DAR SALAF'!D101+EQDOM!D101+FNAC!D101+'RCI '!D101+SALAFIN!D101+SOFAC!D101+SOGEFINANCEMENT!D101+SONAC!D101+SOREC!D101+VIVALIS!D101+WAFASALAF!D101+DIAC!D101+FINACRED!D101+'SALAF AL MOUSTAQBAL'!D101</f>
        <v>93349</v>
      </c>
      <c r="E101" s="568">
        <f>'AXA CREDIT'!E101+'ASSALAF AL AKHDAR'!E101+'DAR SALAF'!E101+EQDOM!E101+FNAC!E101+'RCI '!E101+SALAFIN!E101+SOFAC!E101+SOGEFINANCEMENT!E101+SONAC!E101+SOREC!E101+VIVALIS!E101+WAFASALAF!E101+DIAC!E101+FINACRED!E101+'SALAF AL MOUSTAQBAL'!E101</f>
        <v>12021</v>
      </c>
      <c r="F101" s="569">
        <f t="shared" si="20"/>
        <v>13943.181939999995</v>
      </c>
      <c r="G101" s="570">
        <f t="shared" si="21"/>
        <v>23.326554283669907</v>
      </c>
      <c r="H101" s="569">
        <f t="shared" si="22"/>
        <v>81328</v>
      </c>
      <c r="I101" s="570">
        <f t="shared" si="23"/>
        <v>676.54937193245155</v>
      </c>
      <c r="J101" s="219"/>
      <c r="K101" s="220"/>
      <c r="M101" s="219"/>
      <c r="N101" s="219"/>
      <c r="O101" s="220"/>
    </row>
    <row r="102" spans="1:15" ht="15" thickBot="1" x14ac:dyDescent="0.4">
      <c r="A102" s="209" t="s">
        <v>140</v>
      </c>
      <c r="B102" s="568">
        <f>'AXA CREDIT'!B102+'ASSALAF AL AKHDAR'!B102+'DAR SALAF'!B102+EQDOM!B102+FNAC!B102+'RCI '!B102+SALAFIN!B102+SOFAC!B102+SOGEFINANCEMENT!B102+SONAC!B102+SOREC!B102+VIVALIS!B102+WAFASALAF!B102+DIAC!B102+FINACRED!B102+'SALAF AL MOUSTAQBAL'!B102</f>
        <v>0</v>
      </c>
      <c r="C102" s="568">
        <f>'AXA CREDIT'!C102+'ASSALAF AL AKHDAR'!C102+'DAR SALAF'!C102+EQDOM!C102+FNAC!C102+'RCI '!C102+SALAFIN!C102+SOFAC!C102+SOGEFINANCEMENT!C102+SONAC!C102+SOREC!C102+VIVALIS!C102+WAFASALAF!C102+DIAC!C102+FINACRED!C102+'SALAF AL MOUSTAQBAL'!C102</f>
        <v>0</v>
      </c>
      <c r="D102" s="568">
        <f>'AXA CREDIT'!D102+'ASSALAF AL AKHDAR'!D102+'DAR SALAF'!D102+EQDOM!D102+FNAC!D102+'RCI '!D102+SALAFIN!D102+SOFAC!D102+SOGEFINANCEMENT!D102+SONAC!D102+SOREC!D102+VIVALIS!D102+WAFASALAF!D102+DIAC!D102+FINACRED!D102+'SALAF AL MOUSTAQBAL'!D102</f>
        <v>0</v>
      </c>
      <c r="E102" s="568">
        <f>'AXA CREDIT'!E102+'ASSALAF AL AKHDAR'!E102+'DAR SALAF'!E102+EQDOM!E102+FNAC!E102+'RCI '!E102+SALAFIN!E102+SOFAC!E102+SOGEFINANCEMENT!E102+SONAC!E102+SOREC!E102+VIVALIS!E102+WAFASALAF!E102+DIAC!E102+FINACRED!E102+'SALAF AL MOUSTAQBAL'!E102</f>
        <v>0</v>
      </c>
      <c r="F102" s="569">
        <f t="shared" si="20"/>
        <v>0</v>
      </c>
      <c r="G102" s="570">
        <f t="shared" si="21"/>
        <v>0</v>
      </c>
      <c r="H102" s="569">
        <f t="shared" si="22"/>
        <v>0</v>
      </c>
      <c r="I102" s="570">
        <f t="shared" si="23"/>
        <v>0</v>
      </c>
      <c r="J102" s="219"/>
      <c r="K102" s="220"/>
      <c r="N102" s="219"/>
      <c r="O102" s="220"/>
    </row>
    <row r="103" spans="1:15" ht="15" thickBot="1" x14ac:dyDescent="0.4">
      <c r="A103" s="210" t="s">
        <v>123</v>
      </c>
      <c r="B103" s="576">
        <f>'AXA CREDIT'!B103+'ASSALAF AL AKHDAR'!B103+'DAR SALAF'!B103+EQDOM!B103+FNAC!B103+'RCI '!B103+SALAFIN!B103+SOFAC!B103+SOGEFINANCEMENT!B103+SONAC!B103+SOREC!B103+VIVALIS!B103+WAFASALAF!B103+DIAC!B103+FINACRED!B103+'SALAF AL MOUSTAQBAL'!B103</f>
        <v>7779813.8027100004</v>
      </c>
      <c r="C103" s="576">
        <f>'AXA CREDIT'!C103+'ASSALAF AL AKHDAR'!C103+'DAR SALAF'!C103+EQDOM!C103+FNAC!C103+'RCI '!C103+SALAFIN!C103+SOFAC!C103+SOGEFINANCEMENT!C103+SONAC!C103+SOREC!C103+VIVALIS!C103+WAFASALAF!C103+DIAC!C103+FINACRED!C103+'SALAF AL MOUSTAQBAL'!C103</f>
        <v>5816072.8774400037</v>
      </c>
      <c r="D103" s="576">
        <f>'AXA CREDIT'!D103+'ASSALAF AL AKHDAR'!D103+'DAR SALAF'!D103+EQDOM!D103+FNAC!D103+'RCI '!D103+SALAFIN!D103+SOFAC!D103+SOGEFINANCEMENT!D103+SONAC!D103+SOREC!D103+VIVALIS!D103+WAFASALAF!D103+DIAC!D103+FINACRED!D103+'SALAF AL MOUSTAQBAL'!D103</f>
        <v>171320</v>
      </c>
      <c r="E103" s="576">
        <f>'AXA CREDIT'!E103+'ASSALAF AL AKHDAR'!E103+'DAR SALAF'!E103+EQDOM!E103+FNAC!E103+'RCI '!E103+SALAFIN!E103+SOFAC!E103+SOGEFINANCEMENT!E103+SONAC!E103+SOREC!E103+VIVALIS!E103+WAFASALAF!E103+DIAC!E103+FINACRED!E103+'SALAF AL MOUSTAQBAL'!E103</f>
        <v>77879</v>
      </c>
      <c r="F103" s="169">
        <f t="shared" si="20"/>
        <v>1963740.9252699967</v>
      </c>
      <c r="G103" s="170">
        <f t="shared" si="21"/>
        <v>33.764035744585698</v>
      </c>
      <c r="H103" s="169">
        <f t="shared" si="22"/>
        <v>93441</v>
      </c>
      <c r="I103" s="170">
        <f t="shared" si="23"/>
        <v>119.98228020390607</v>
      </c>
      <c r="J103" s="219"/>
      <c r="K103" s="220"/>
      <c r="N103" s="219"/>
      <c r="O103" s="220"/>
    </row>
    <row r="104" spans="1:15" x14ac:dyDescent="0.35">
      <c r="A104" s="215"/>
      <c r="B104" s="184"/>
      <c r="C104" s="184"/>
      <c r="D104" s="186"/>
      <c r="E104" s="185"/>
      <c r="F104" s="187"/>
      <c r="G104" s="188"/>
      <c r="H104" s="189"/>
      <c r="I104" s="190"/>
      <c r="J104" s="219"/>
      <c r="K104" s="220"/>
      <c r="N104" s="219"/>
      <c r="O104" s="220"/>
    </row>
    <row r="105" spans="1:15" ht="15" thickBot="1" x14ac:dyDescent="0.4">
      <c r="A105" s="216" t="s">
        <v>124</v>
      </c>
      <c r="B105" s="191"/>
      <c r="C105" s="191"/>
      <c r="D105" s="192"/>
      <c r="E105" s="192"/>
      <c r="F105" s="193"/>
      <c r="G105" s="194"/>
      <c r="H105" s="193"/>
      <c r="I105" s="195"/>
      <c r="J105" s="219"/>
      <c r="K105" s="220"/>
      <c r="N105" s="219"/>
      <c r="O105" s="220"/>
    </row>
    <row r="106" spans="1:15" ht="15" thickBot="1" x14ac:dyDescent="0.4">
      <c r="A106" s="209" t="s">
        <v>125</v>
      </c>
      <c r="B106" s="568">
        <f>'AXA CREDIT'!B106+'ASSALAF AL AKHDAR'!B106+'DAR SALAF'!B106+EQDOM!B106+FNAC!B106+'RCI '!B106+SALAFIN!B106+SOFAC!B106+SOGEFINANCEMENT!B106+SONAC!B106+SOREC!B106+VIVALIS!B106+WAFASALAF!B106+DIAC!B106+FINACRED!B106+'SALAF AL MOUSTAQBAL'!B106</f>
        <v>4769848.7095899992</v>
      </c>
      <c r="C106" s="568">
        <f>'AXA CREDIT'!C106+'ASSALAF AL AKHDAR'!C106+'DAR SALAF'!C106+EQDOM!C106+FNAC!C106+'RCI '!C106+SALAFIN!C106+SOFAC!C106+SOGEFINANCEMENT!C106+SONAC!C106+SOREC!C106+VIVALIS!C106+WAFASALAF!C106+DIAC!C106+FINACRED!C106+'SALAF AL MOUSTAQBAL'!C106</f>
        <v>4608382.8326199995</v>
      </c>
      <c r="D106" s="568">
        <f>'AXA CREDIT'!D106+'ASSALAF AL AKHDAR'!D106+'DAR SALAF'!D106+EQDOM!D106+FNAC!D106+'RCI '!D106+SALAFIN!D106+SOFAC!D106+SOGEFINANCEMENT!D106+SONAC!D106+SOREC!D106+VIVALIS!D106+WAFASALAF!D106+DIAC!D106+FINACRED!D106+'SALAF AL MOUSTAQBAL'!D106</f>
        <v>101722</v>
      </c>
      <c r="E106" s="568">
        <f>'AXA CREDIT'!E106+'ASSALAF AL AKHDAR'!E106+'DAR SALAF'!E106+EQDOM!E106+FNAC!E106+'RCI '!E106+SALAFIN!E106+SOFAC!E106+SOGEFINANCEMENT!E106+SONAC!E106+SOREC!E106+VIVALIS!E106+WAFASALAF!E106+DIAC!E106+FINACRED!E106+'SALAF AL MOUSTAQBAL'!E106</f>
        <v>107189</v>
      </c>
      <c r="F106" s="169">
        <f t="shared" ref="F106:F111" si="24">B106-C106</f>
        <v>161465.87696999963</v>
      </c>
      <c r="G106" s="170">
        <f t="shared" ref="G106:G111" si="25">IF(C106&lt;&gt;0,(B106-C106)/C106)*100</f>
        <v>3.503742697483351</v>
      </c>
      <c r="H106" s="169">
        <f t="shared" ref="H106:H111" si="26">D106-E106</f>
        <v>-5467</v>
      </c>
      <c r="I106" s="170">
        <f t="shared" ref="I106:I111" si="27">IF(E106&lt;&gt;0,(D106-E106)/E106)*100</f>
        <v>-5.1003367882898427</v>
      </c>
      <c r="J106" s="219"/>
      <c r="K106" s="220"/>
      <c r="N106" s="219"/>
      <c r="O106" s="220"/>
    </row>
    <row r="107" spans="1:15" x14ac:dyDescent="0.35">
      <c r="A107" s="196" t="s">
        <v>126</v>
      </c>
      <c r="B107" s="568">
        <f>'AXA CREDIT'!B107+'ASSALAF AL AKHDAR'!B107+'DAR SALAF'!B107+EQDOM!B107+FNAC!B107+'RCI '!B107+SALAFIN!B107+SOFAC!B107+SOGEFINANCEMENT!B107+SONAC!B107+SOREC!B107+VIVALIS!B107+WAFASALAF!B107+DIAC!B107+FINACRED!B107+'SALAF AL MOUSTAQBAL'!B107</f>
        <v>1295058.8905100001</v>
      </c>
      <c r="C107" s="568">
        <f>'AXA CREDIT'!C107+'ASSALAF AL AKHDAR'!C107+'DAR SALAF'!C107+EQDOM!C107+FNAC!C107+'RCI '!C107+SALAFIN!C107+SOFAC!C107+SOGEFINANCEMENT!C107+SONAC!C107+SOREC!C107+VIVALIS!C107+WAFASALAF!C107+DIAC!C107+FINACRED!C107+'SALAF AL MOUSTAQBAL'!C107</f>
        <v>1248702.5731800001</v>
      </c>
      <c r="D107" s="568">
        <f>'AXA CREDIT'!D107+'ASSALAF AL AKHDAR'!D107+'DAR SALAF'!D107+EQDOM!D107+FNAC!D107+'RCI '!D107+SALAFIN!D107+SOFAC!D107+SOGEFINANCEMENT!D107+SONAC!D107+SOREC!D107+VIVALIS!D107+WAFASALAF!D107+DIAC!D107+FINACRED!D107+'SALAF AL MOUSTAQBAL'!D107</f>
        <v>24062</v>
      </c>
      <c r="E107" s="568">
        <f>'AXA CREDIT'!E107+'ASSALAF AL AKHDAR'!E107+'DAR SALAF'!E107+EQDOM!E107+FNAC!E107+'RCI '!E107+SALAFIN!E107+SOFAC!E107+SOGEFINANCEMENT!E107+SONAC!E107+SOREC!E107+VIVALIS!E107+WAFASALAF!E107+DIAC!E107+FINACRED!E107+'SALAF AL MOUSTAQBAL'!E107</f>
        <v>24178</v>
      </c>
      <c r="F107" s="569">
        <f t="shared" si="24"/>
        <v>46356.317329999991</v>
      </c>
      <c r="G107" s="570">
        <f t="shared" si="25"/>
        <v>3.712358597287662</v>
      </c>
      <c r="H107" s="569">
        <f t="shared" si="26"/>
        <v>-116</v>
      </c>
      <c r="I107" s="570">
        <f t="shared" si="27"/>
        <v>-0.47977500206799567</v>
      </c>
      <c r="J107" s="219"/>
      <c r="K107" s="220"/>
      <c r="M107" s="219"/>
      <c r="N107" s="219"/>
      <c r="O107" s="220"/>
    </row>
    <row r="108" spans="1:15" x14ac:dyDescent="0.35">
      <c r="A108" s="196" t="s">
        <v>144</v>
      </c>
      <c r="B108" s="568">
        <f>'AXA CREDIT'!B108+'ASSALAF AL AKHDAR'!B108+'DAR SALAF'!B108+EQDOM!B108+FNAC!B108+'RCI '!B108+SALAFIN!B108+SOFAC!B108+SOGEFINANCEMENT!B108+SONAC!B108+SOREC!B108+VIVALIS!B108+WAFASALAF!B108+DIAC!B108+FINACRED!B108+'SALAF AL MOUSTAQBAL'!B108</f>
        <v>189974.82042999996</v>
      </c>
      <c r="C108" s="568">
        <f>'AXA CREDIT'!C108+'ASSALAF AL AKHDAR'!C108+'DAR SALAF'!C108+EQDOM!C108+FNAC!C108+'RCI '!C108+SALAFIN!C108+SOFAC!C108+SOGEFINANCEMENT!C108+SONAC!C108+SOREC!C108+VIVALIS!C108+WAFASALAF!C108+DIAC!C108+FINACRED!C108+'SALAF AL MOUSTAQBAL'!C108</f>
        <v>154433.03943999996</v>
      </c>
      <c r="D108" s="568">
        <f>'AXA CREDIT'!D108+'ASSALAF AL AKHDAR'!D108+'DAR SALAF'!D108+EQDOM!D108+FNAC!D108+'RCI '!D108+SALAFIN!D108+SOFAC!D108+SOGEFINANCEMENT!D108+SONAC!D108+SOREC!D108+VIVALIS!D108+WAFASALAF!D108+DIAC!D108+FINACRED!D108+'SALAF AL MOUSTAQBAL'!D108</f>
        <v>6028</v>
      </c>
      <c r="E108" s="568">
        <f>'AXA CREDIT'!E108+'ASSALAF AL AKHDAR'!E108+'DAR SALAF'!E108+EQDOM!E108+FNAC!E108+'RCI '!E108+SALAFIN!E108+SOFAC!E108+SOGEFINANCEMENT!E108+SONAC!E108+SOREC!E108+VIVALIS!E108+WAFASALAF!E108+DIAC!E108+FINACRED!E108+'SALAF AL MOUSTAQBAL'!E108</f>
        <v>10480</v>
      </c>
      <c r="F108" s="569">
        <f t="shared" si="24"/>
        <v>35541.780989999999</v>
      </c>
      <c r="G108" s="570">
        <f t="shared" si="25"/>
        <v>23.014363454141964</v>
      </c>
      <c r="H108" s="569">
        <f t="shared" si="26"/>
        <v>-4452</v>
      </c>
      <c r="I108" s="570">
        <f t="shared" si="27"/>
        <v>-42.480916030534353</v>
      </c>
      <c r="J108" s="219"/>
      <c r="K108" s="220"/>
      <c r="M108" s="219"/>
      <c r="N108" s="219"/>
      <c r="O108" s="220"/>
    </row>
    <row r="109" spans="1:15" x14ac:dyDescent="0.35">
      <c r="A109" s="197" t="s">
        <v>141</v>
      </c>
      <c r="B109" s="568">
        <f>'AXA CREDIT'!B109+'ASSALAF AL AKHDAR'!B109+'DAR SALAF'!B109+EQDOM!B109+FNAC!B109+'RCI '!B109+SALAFIN!B109+SOFAC!B109+SOGEFINANCEMENT!B109+SONAC!B109+SOREC!B109+VIVALIS!B109+WAFASALAF!B109+DIAC!B109+FINACRED!B109+'SALAF AL MOUSTAQBAL'!B109</f>
        <v>476171.71678000002</v>
      </c>
      <c r="C109" s="568">
        <f>'AXA CREDIT'!C109+'ASSALAF AL AKHDAR'!C109+'DAR SALAF'!C109+EQDOM!C109+FNAC!C109+'RCI '!C109+SALAFIN!C109+SOFAC!C109+SOGEFINANCEMENT!C109+SONAC!C109+SOREC!C109+VIVALIS!C109+WAFASALAF!C109+DIAC!C109+FINACRED!C109+'SALAF AL MOUSTAQBAL'!C109</f>
        <v>498912.00215999992</v>
      </c>
      <c r="D109" s="568">
        <f>'AXA CREDIT'!D109+'ASSALAF AL AKHDAR'!D109+'DAR SALAF'!D109+EQDOM!D109+FNAC!D109+'RCI '!D109+SALAFIN!D109+SOFAC!D109+SOGEFINANCEMENT!D109+SONAC!D109+SOREC!D109+VIVALIS!D109+WAFASALAF!D109+DIAC!D109+FINACRED!D109+'SALAF AL MOUSTAQBAL'!D109</f>
        <v>19310</v>
      </c>
      <c r="E109" s="568">
        <f>'AXA CREDIT'!E109+'ASSALAF AL AKHDAR'!E109+'DAR SALAF'!E109+EQDOM!E109+FNAC!E109+'RCI '!E109+SALAFIN!E109+SOFAC!E109+SOGEFINANCEMENT!E109+SONAC!E109+SOREC!E109+VIVALIS!E109+WAFASALAF!E109+DIAC!E109+FINACRED!E109+'SALAF AL MOUSTAQBAL'!E109</f>
        <v>18811</v>
      </c>
      <c r="F109" s="569">
        <f t="shared" si="24"/>
        <v>-22740.285379999899</v>
      </c>
      <c r="G109" s="570">
        <f t="shared" si="25"/>
        <v>-4.557975210367287</v>
      </c>
      <c r="H109" s="569">
        <f t="shared" si="26"/>
        <v>499</v>
      </c>
      <c r="I109" s="570">
        <f t="shared" si="27"/>
        <v>2.6527032055712083</v>
      </c>
      <c r="J109" s="219"/>
      <c r="K109" s="220"/>
      <c r="M109" s="219"/>
      <c r="N109" s="219"/>
      <c r="O109" s="220"/>
    </row>
    <row r="110" spans="1:15" x14ac:dyDescent="0.35">
      <c r="A110" s="196" t="s">
        <v>129</v>
      </c>
      <c r="B110" s="568">
        <f>'AXA CREDIT'!B110+'ASSALAF AL AKHDAR'!B110+'DAR SALAF'!B110+EQDOM!B110+FNAC!B110+'RCI '!B110+SALAFIN!B110+SOFAC!B110+SOGEFINANCEMENT!B110+SONAC!B110+SOREC!B110+VIVALIS!B110+WAFASALAF!B110+DIAC!B110+FINACRED!B110+'SALAF AL MOUSTAQBAL'!B110</f>
        <v>2808643.2818699987</v>
      </c>
      <c r="C110" s="568">
        <f>'AXA CREDIT'!C110+'ASSALAF AL AKHDAR'!C110+'DAR SALAF'!C110+EQDOM!C110+FNAC!C110+'RCI '!C110+SALAFIN!C110+SOFAC!C110+SOGEFINANCEMENT!C110+SONAC!C110+SOREC!C110+VIVALIS!C110+WAFASALAF!C110+DIAC!C110+FINACRED!C110+'SALAF AL MOUSTAQBAL'!C110</f>
        <v>2706335.2178399996</v>
      </c>
      <c r="D110" s="568">
        <f>'AXA CREDIT'!D110+'ASSALAF AL AKHDAR'!D110+'DAR SALAF'!D110+EQDOM!D110+FNAC!D110+'RCI '!D110+SALAFIN!D110+SOFAC!D110+SOGEFINANCEMENT!D110+SONAC!D110+SOREC!D110+VIVALIS!D110+WAFASALAF!D110+DIAC!D110+FINACRED!D110+'SALAF AL MOUSTAQBAL'!D110</f>
        <v>52322</v>
      </c>
      <c r="E110" s="568">
        <f>'AXA CREDIT'!E110+'ASSALAF AL AKHDAR'!E110+'DAR SALAF'!E110+EQDOM!E110+FNAC!E110+'RCI '!E110+SALAFIN!E110+SOFAC!E110+SOGEFINANCEMENT!E110+SONAC!E110+SOREC!E110+VIVALIS!E110+WAFASALAF!E110+DIAC!E110+FINACRED!E110+'SALAF AL MOUSTAQBAL'!E110</f>
        <v>53720</v>
      </c>
      <c r="F110" s="569">
        <f t="shared" si="24"/>
        <v>102308.06402999908</v>
      </c>
      <c r="G110" s="570">
        <f t="shared" si="25"/>
        <v>3.780317506700221</v>
      </c>
      <c r="H110" s="569">
        <f t="shared" si="26"/>
        <v>-1398</v>
      </c>
      <c r="I110" s="570">
        <f t="shared" si="27"/>
        <v>-2.6023827252419958</v>
      </c>
      <c r="J110" s="219"/>
      <c r="K110" s="220"/>
      <c r="M110" s="219"/>
      <c r="N110" s="219"/>
      <c r="O110" s="220"/>
    </row>
    <row r="111" spans="1:15" x14ac:dyDescent="0.35">
      <c r="A111" s="209" t="s">
        <v>130</v>
      </c>
      <c r="B111" s="568">
        <f>'AXA CREDIT'!B111+'ASSALAF AL AKHDAR'!B111+'DAR SALAF'!B111+EQDOM!B111+FNAC!B111+'RCI '!B111+SALAFIN!B111+SOFAC!B111+SOGEFINANCEMENT!B111+SONAC!B111+SOREC!B111+VIVALIS!B111+WAFASALAF!B111+DIAC!B111+FINACRED!B111+'SALAF AL MOUSTAQBAL'!B111</f>
        <v>82795.448999999993</v>
      </c>
      <c r="C111" s="568">
        <f>'AXA CREDIT'!C111+'ASSALAF AL AKHDAR'!C111+'DAR SALAF'!C111+EQDOM!C111+FNAC!C111+'RCI '!C111+SALAFIN!C111+SOFAC!C111+SOGEFINANCEMENT!C111+SONAC!C111+SOREC!C111+VIVALIS!C111+WAFASALAF!C111+DIAC!C111+FINACRED!C111+'SALAF AL MOUSTAQBAL'!C111</f>
        <v>58473.188999999998</v>
      </c>
      <c r="D111" s="568">
        <f>'AXA CREDIT'!D111+'ASSALAF AL AKHDAR'!D111+'DAR SALAF'!D111+EQDOM!D111+FNAC!D111+'RCI '!D111+SALAFIN!D111+SOFAC!D111+SOGEFINANCEMENT!D111+SONAC!D111+SOREC!D111+VIVALIS!D111+WAFASALAF!D111+DIAC!D111+FINACRED!D111+'SALAF AL MOUSTAQBAL'!D111</f>
        <v>3269</v>
      </c>
      <c r="E111" s="568">
        <f>'AXA CREDIT'!E111+'ASSALAF AL AKHDAR'!E111+'DAR SALAF'!E111+EQDOM!E111+FNAC!E111+'RCI '!E111+SALAFIN!E111+SOFAC!E111+SOGEFINANCEMENT!E111+SONAC!E111+SOREC!E111+VIVALIS!E111+WAFASALAF!E111+DIAC!E111+FINACRED!E111+'SALAF AL MOUSTAQBAL'!E111</f>
        <v>4053</v>
      </c>
      <c r="F111" s="569">
        <f t="shared" si="24"/>
        <v>24322.259999999995</v>
      </c>
      <c r="G111" s="570">
        <f t="shared" si="25"/>
        <v>41.595576393139758</v>
      </c>
      <c r="H111" s="569">
        <f t="shared" si="26"/>
        <v>-784</v>
      </c>
      <c r="I111" s="570">
        <f t="shared" si="27"/>
        <v>-19.343696027633854</v>
      </c>
      <c r="J111" s="219"/>
      <c r="K111" s="220"/>
      <c r="M111" s="219"/>
      <c r="N111" s="219"/>
      <c r="O111" s="220"/>
    </row>
    <row r="112" spans="1:15" x14ac:dyDescent="0.35">
      <c r="A112" s="209"/>
      <c r="B112" s="592"/>
      <c r="C112" s="592"/>
      <c r="D112" s="592"/>
      <c r="E112" s="592"/>
      <c r="F112" s="593"/>
      <c r="G112" s="594"/>
      <c r="H112" s="593"/>
      <c r="I112" s="594"/>
      <c r="J112" s="219"/>
      <c r="K112" s="220"/>
    </row>
    <row r="113" spans="1:11" x14ac:dyDescent="0.35">
      <c r="A113" s="209"/>
      <c r="B113" s="592"/>
      <c r="C113" s="592"/>
      <c r="D113" s="592"/>
      <c r="E113" s="592"/>
      <c r="F113" s="593"/>
      <c r="G113" s="594"/>
      <c r="H113" s="593"/>
      <c r="I113" s="594"/>
      <c r="J113" s="219"/>
      <c r="K113" s="220"/>
    </row>
    <row r="114" spans="1:11" ht="15" thickBot="1" x14ac:dyDescent="0.4">
      <c r="A114" s="209"/>
      <c r="B114" s="595"/>
      <c r="C114" s="595"/>
      <c r="D114" s="596"/>
      <c r="E114" s="596"/>
      <c r="F114" s="597"/>
      <c r="G114" s="598"/>
      <c r="H114" s="599"/>
      <c r="I114" s="600"/>
      <c r="J114" s="219"/>
      <c r="K114" s="220"/>
    </row>
    <row r="115" spans="1:11" ht="15" thickBot="1" x14ac:dyDescent="0.4">
      <c r="A115" s="210" t="s">
        <v>131</v>
      </c>
      <c r="B115" s="576">
        <f>'AXA CREDIT'!B115+'ASSALAF AL AKHDAR'!B115+'DAR SALAF'!B115+EQDOM!B115+FNAC!B115+'RCI '!B115+SALAFIN!B115+SOFAC!B115+SOGEFINANCEMENT!B115+SONAC!B115+SOREC!B115+VIVALIS!B115+WAFASALAF!B115+DIAC!B115+FINACRED!B115+'SALAF AL MOUSTAQBAL'!B115</f>
        <v>4852644.1585899992</v>
      </c>
      <c r="C115" s="576">
        <f>'AXA CREDIT'!C115+'ASSALAF AL AKHDAR'!C115+'DAR SALAF'!C115+EQDOM!C115+FNAC!C115+'RCI '!C115+SALAFIN!C115+SOFAC!C115+SOGEFINANCEMENT!C115+SONAC!C115+SOREC!C115+VIVALIS!C115+WAFASALAF!C115+DIAC!C115+FINACRED!C115+'SALAF AL MOUSTAQBAL'!C115</f>
        <v>4666856.0216199998</v>
      </c>
      <c r="D115" s="576">
        <f>'AXA CREDIT'!D115+'ASSALAF AL AKHDAR'!D115+'DAR SALAF'!D115+EQDOM!D115+FNAC!D115+'RCI '!D115+SALAFIN!D115+SOFAC!D115+SOGEFINANCEMENT!D115+SONAC!D115+SOREC!D115+VIVALIS!D115+WAFASALAF!D115+DIAC!D115+FINACRED!D115+'SALAF AL MOUSTAQBAL'!D115</f>
        <v>104991</v>
      </c>
      <c r="E115" s="576">
        <f>'AXA CREDIT'!E115+'ASSALAF AL AKHDAR'!E115+'DAR SALAF'!E115+EQDOM!E115+FNAC!E115+'RCI '!E115+SALAFIN!E115+SOFAC!E115+SOGEFINANCEMENT!E115+SONAC!E115+SOREC!E115+VIVALIS!E115+WAFASALAF!E115+DIAC!E115+FINACRED!E115+'SALAF AL MOUSTAQBAL'!E115</f>
        <v>111242</v>
      </c>
      <c r="F115" s="583">
        <f>B115-C115</f>
        <v>185788.13696999941</v>
      </c>
      <c r="G115" s="584">
        <f>IF(C115&lt;&gt;0,(B115-C115)/C115)*100</f>
        <v>3.9810128298217138</v>
      </c>
      <c r="H115" s="583">
        <f>D115-E115</f>
        <v>-6251</v>
      </c>
      <c r="I115" s="584">
        <f>IF(E115&lt;&gt;0,(D115-E115)/E115)*100</f>
        <v>-5.6192804875856242</v>
      </c>
      <c r="J115" s="219"/>
      <c r="K115" s="220"/>
    </row>
    <row r="116" spans="1:11" ht="15" thickBot="1" x14ac:dyDescent="0.4">
      <c r="A116" s="209"/>
      <c r="B116" s="198"/>
      <c r="C116" s="198"/>
      <c r="D116" s="199"/>
      <c r="E116" s="199"/>
      <c r="F116" s="200"/>
      <c r="G116" s="201"/>
      <c r="H116" s="200"/>
      <c r="I116" s="202"/>
      <c r="J116" s="219"/>
      <c r="K116" s="220"/>
    </row>
    <row r="117" spans="1:11" ht="15" thickBot="1" x14ac:dyDescent="0.4">
      <c r="A117" s="210" t="s">
        <v>132</v>
      </c>
      <c r="B117" s="576">
        <f>'AXA CREDIT'!B117+'ASSALAF AL AKHDAR'!B117+'DAR SALAF'!B117+EQDOM!B117+FNAC!B117+'RCI '!B117+SALAFIN!B117+SOFAC!B117+SOGEFINANCEMENT!B117+SONAC!B117+SOREC!B117+VIVALIS!B117+WAFASALAF!B117+DIAC!B117+FINACRED!B117+'SALAF AL MOUSTAQBAL'!B117</f>
        <v>12632457.961299999</v>
      </c>
      <c r="C117" s="576">
        <f>'AXA CREDIT'!C117+'ASSALAF AL AKHDAR'!C117+'DAR SALAF'!C117+EQDOM!C117+FNAC!C117+'RCI '!C117+SALAFIN!C117+SOFAC!C117+SOGEFINANCEMENT!C117+SONAC!C117+SOREC!C117+VIVALIS!C117+WAFASALAF!C117+DIAC!C117+FINACRED!C117+'SALAF AL MOUSTAQBAL'!C117</f>
        <v>10482928.899060003</v>
      </c>
      <c r="D117" s="576">
        <f>'AXA CREDIT'!D117+'ASSALAF AL AKHDAR'!D117+'DAR SALAF'!D117+EQDOM!D117+FNAC!D117+'RCI '!D117+SALAFIN!D117+SOFAC!D117+SOGEFINANCEMENT!D117+SONAC!D117+SOREC!D117+VIVALIS!D117+WAFASALAF!D117+DIAC!D117+FINACRED!D117+'SALAF AL MOUSTAQBAL'!D117</f>
        <v>276311</v>
      </c>
      <c r="E117" s="576">
        <f>'AXA CREDIT'!E117+'ASSALAF AL AKHDAR'!E117+'DAR SALAF'!E117+EQDOM!E117+FNAC!E117+'RCI '!E117+SALAFIN!E117+SOFAC!E117+SOGEFINANCEMENT!E117+SONAC!E117+SOREC!E117+VIVALIS!E117+WAFASALAF!E117+DIAC!E117+FINACRED!E117+'SALAF AL MOUSTAQBAL'!E117</f>
        <v>189121</v>
      </c>
      <c r="F117" s="181">
        <f>B117-C117</f>
        <v>2149529.0622399952</v>
      </c>
      <c r="G117" s="182">
        <f>IF(C117&lt;&gt;0,(B117-C117)/C117)*100</f>
        <v>20.505042845733144</v>
      </c>
      <c r="H117" s="181">
        <f>D117-E117</f>
        <v>87190</v>
      </c>
      <c r="I117" s="182">
        <f>IF(E117&lt;&gt;0,(D117-E117)/E117)*100</f>
        <v>46.10275960892762</v>
      </c>
      <c r="J117" s="219"/>
      <c r="K117" s="220"/>
    </row>
    <row r="120" spans="1:11" ht="15.5" x14ac:dyDescent="0.35">
      <c r="B120" s="217">
        <f t="shared" ref="B120:E122" si="28">B41-B69+B97</f>
        <v>-7.4505805969238281E-9</v>
      </c>
      <c r="C120" s="217">
        <f t="shared" si="28"/>
        <v>0</v>
      </c>
      <c r="D120" s="217">
        <f t="shared" si="28"/>
        <v>0</v>
      </c>
      <c r="E120" s="217">
        <f t="shared" si="28"/>
        <v>0</v>
      </c>
    </row>
    <row r="121" spans="1:11" ht="15.5" x14ac:dyDescent="0.35">
      <c r="B121" s="217">
        <f t="shared" si="28"/>
        <v>0</v>
      </c>
      <c r="C121" s="217">
        <f t="shared" si="28"/>
        <v>0</v>
      </c>
      <c r="D121" s="217">
        <f t="shared" si="28"/>
        <v>0</v>
      </c>
      <c r="E121" s="217">
        <f t="shared" si="28"/>
        <v>0</v>
      </c>
    </row>
    <row r="122" spans="1:11" ht="15.5" x14ac:dyDescent="0.35">
      <c r="B122" s="217">
        <f t="shared" si="28"/>
        <v>3.2596290111541748E-9</v>
      </c>
      <c r="C122" s="217">
        <f t="shared" si="28"/>
        <v>0</v>
      </c>
      <c r="D122" s="217">
        <f t="shared" si="28"/>
        <v>0</v>
      </c>
      <c r="E122" s="217">
        <f t="shared" si="28"/>
        <v>0</v>
      </c>
    </row>
    <row r="123" spans="1:11" ht="15.5" x14ac:dyDescent="0.35">
      <c r="B123" s="217">
        <f t="shared" ref="B123:E127" si="29">B45-B72+B100</f>
        <v>0</v>
      </c>
      <c r="C123" s="217">
        <f t="shared" si="29"/>
        <v>0</v>
      </c>
      <c r="D123" s="217">
        <f t="shared" si="29"/>
        <v>0</v>
      </c>
      <c r="E123" s="217">
        <f t="shared" si="29"/>
        <v>0</v>
      </c>
    </row>
    <row r="124" spans="1:11" ht="15.5" x14ac:dyDescent="0.35">
      <c r="B124" s="217">
        <f t="shared" si="29"/>
        <v>-1.6007106751203537E-10</v>
      </c>
      <c r="C124" s="217">
        <f t="shared" si="29"/>
        <v>0</v>
      </c>
      <c r="D124" s="217">
        <f t="shared" si="29"/>
        <v>0</v>
      </c>
      <c r="E124" s="217">
        <f t="shared" si="29"/>
        <v>0</v>
      </c>
    </row>
    <row r="125" spans="1:11" ht="15.5" x14ac:dyDescent="0.35">
      <c r="B125" s="217">
        <f t="shared" si="29"/>
        <v>0</v>
      </c>
      <c r="C125" s="217">
        <f t="shared" si="29"/>
        <v>0</v>
      </c>
      <c r="D125" s="217">
        <f t="shared" si="29"/>
        <v>0</v>
      </c>
      <c r="E125" s="217">
        <f t="shared" si="29"/>
        <v>0</v>
      </c>
    </row>
    <row r="126" spans="1:11" ht="15.5" x14ac:dyDescent="0.35">
      <c r="B126" s="217">
        <f t="shared" si="29"/>
        <v>0</v>
      </c>
      <c r="C126" s="217">
        <f t="shared" si="29"/>
        <v>0</v>
      </c>
      <c r="D126" s="217">
        <f t="shared" si="29"/>
        <v>0</v>
      </c>
      <c r="E126" s="217">
        <f t="shared" si="29"/>
        <v>0</v>
      </c>
    </row>
    <row r="127" spans="1:11" ht="15.5" x14ac:dyDescent="0.35">
      <c r="B127" s="217">
        <f t="shared" si="29"/>
        <v>0</v>
      </c>
      <c r="C127" s="217">
        <f t="shared" si="29"/>
        <v>0</v>
      </c>
      <c r="D127" s="217">
        <f t="shared" si="29"/>
        <v>0</v>
      </c>
      <c r="E127" s="217">
        <f t="shared" si="29"/>
        <v>0</v>
      </c>
    </row>
    <row r="128" spans="1:11" ht="15.5" x14ac:dyDescent="0.35">
      <c r="B128" s="217">
        <f t="shared" ref="B128:E140" si="30">B49-B77+B105</f>
        <v>0</v>
      </c>
      <c r="C128" s="217">
        <f t="shared" si="30"/>
        <v>0</v>
      </c>
      <c r="D128" s="217">
        <f t="shared" si="30"/>
        <v>0</v>
      </c>
      <c r="E128" s="217">
        <f t="shared" si="30"/>
        <v>0</v>
      </c>
    </row>
    <row r="129" spans="2:5" ht="15.5" x14ac:dyDescent="0.35">
      <c r="B129" s="217">
        <f t="shared" si="30"/>
        <v>0</v>
      </c>
      <c r="C129" s="217">
        <f>C50-C78+C106</f>
        <v>0</v>
      </c>
      <c r="D129" s="217">
        <f t="shared" si="30"/>
        <v>0</v>
      </c>
      <c r="E129" s="217">
        <f t="shared" si="30"/>
        <v>0</v>
      </c>
    </row>
    <row r="130" spans="2:5" ht="15.5" x14ac:dyDescent="0.35">
      <c r="B130" s="217">
        <f t="shared" si="30"/>
        <v>-2.0954757928848267E-9</v>
      </c>
      <c r="C130" s="217">
        <f t="shared" si="30"/>
        <v>2.5611370801925659E-9</v>
      </c>
      <c r="D130" s="217">
        <f t="shared" si="30"/>
        <v>0</v>
      </c>
      <c r="E130" s="217">
        <f t="shared" si="30"/>
        <v>0</v>
      </c>
    </row>
    <row r="131" spans="2:5" ht="15.5" x14ac:dyDescent="0.35">
      <c r="B131" s="217">
        <f t="shared" si="30"/>
        <v>-3.4924596548080444E-10</v>
      </c>
      <c r="C131" s="217">
        <f t="shared" si="30"/>
        <v>0</v>
      </c>
      <c r="D131" s="217">
        <f t="shared" si="30"/>
        <v>0</v>
      </c>
      <c r="E131" s="217">
        <f t="shared" si="30"/>
        <v>0</v>
      </c>
    </row>
    <row r="132" spans="2:5" ht="15.5" x14ac:dyDescent="0.35">
      <c r="B132" s="217">
        <f t="shared" si="30"/>
        <v>0</v>
      </c>
      <c r="C132" s="217">
        <f t="shared" si="30"/>
        <v>4.6566128730773926E-10</v>
      </c>
      <c r="D132" s="217">
        <f t="shared" si="30"/>
        <v>0</v>
      </c>
      <c r="E132" s="217">
        <f t="shared" si="30"/>
        <v>0</v>
      </c>
    </row>
    <row r="133" spans="2:5" ht="15.5" x14ac:dyDescent="0.35">
      <c r="B133" s="217">
        <f t="shared" si="30"/>
        <v>0</v>
      </c>
      <c r="C133" s="217">
        <f t="shared" si="30"/>
        <v>0</v>
      </c>
      <c r="D133" s="217">
        <f t="shared" si="30"/>
        <v>0</v>
      </c>
      <c r="E133" s="217">
        <f t="shared" si="30"/>
        <v>0</v>
      </c>
    </row>
    <row r="134" spans="2:5" ht="15.5" x14ac:dyDescent="0.35">
      <c r="B134" s="217">
        <f t="shared" si="30"/>
        <v>0</v>
      </c>
      <c r="C134" s="217">
        <f>C55-C83+C111</f>
        <v>0</v>
      </c>
      <c r="D134" s="217">
        <f t="shared" si="30"/>
        <v>0</v>
      </c>
      <c r="E134" s="217">
        <f t="shared" si="30"/>
        <v>0</v>
      </c>
    </row>
    <row r="135" spans="2:5" ht="15.5" x14ac:dyDescent="0.35">
      <c r="B135" s="217">
        <f t="shared" si="30"/>
        <v>0</v>
      </c>
      <c r="C135" s="217">
        <f t="shared" si="30"/>
        <v>0</v>
      </c>
      <c r="D135" s="217">
        <f t="shared" si="30"/>
        <v>0</v>
      </c>
      <c r="E135" s="217">
        <f t="shared" si="30"/>
        <v>0</v>
      </c>
    </row>
    <row r="136" spans="2:5" ht="15.5" x14ac:dyDescent="0.35">
      <c r="B136" s="217">
        <f t="shared" si="30"/>
        <v>0</v>
      </c>
      <c r="C136" s="217">
        <f t="shared" si="30"/>
        <v>0</v>
      </c>
      <c r="D136" s="217">
        <f t="shared" si="30"/>
        <v>0</v>
      </c>
      <c r="E136" s="217">
        <f t="shared" si="30"/>
        <v>0</v>
      </c>
    </row>
    <row r="137" spans="2:5" ht="15.5" x14ac:dyDescent="0.35">
      <c r="B137" s="217">
        <f t="shared" si="30"/>
        <v>0</v>
      </c>
      <c r="C137" s="217">
        <f t="shared" si="30"/>
        <v>0</v>
      </c>
      <c r="D137" s="217">
        <f t="shared" si="30"/>
        <v>0</v>
      </c>
      <c r="E137" s="217">
        <f t="shared" si="30"/>
        <v>0</v>
      </c>
    </row>
    <row r="138" spans="2:5" ht="15.5" x14ac:dyDescent="0.35">
      <c r="B138" s="217">
        <f t="shared" si="30"/>
        <v>0</v>
      </c>
      <c r="C138" s="217">
        <f t="shared" si="30"/>
        <v>0</v>
      </c>
      <c r="D138" s="217">
        <f t="shared" si="30"/>
        <v>0</v>
      </c>
      <c r="E138" s="217">
        <f t="shared" si="30"/>
        <v>0</v>
      </c>
    </row>
    <row r="139" spans="2:5" ht="15.5" x14ac:dyDescent="0.35">
      <c r="B139" s="217">
        <f t="shared" si="30"/>
        <v>0</v>
      </c>
      <c r="C139" s="217">
        <f t="shared" si="30"/>
        <v>0</v>
      </c>
      <c r="D139" s="217">
        <f t="shared" si="30"/>
        <v>0</v>
      </c>
      <c r="E139" s="217">
        <f t="shared" si="30"/>
        <v>0</v>
      </c>
    </row>
    <row r="140" spans="2:5" ht="15.5" x14ac:dyDescent="0.35">
      <c r="B140" s="217">
        <f>B61-B89+B117</f>
        <v>0</v>
      </c>
      <c r="C140" s="217">
        <f t="shared" si="30"/>
        <v>0</v>
      </c>
      <c r="D140" s="217">
        <f t="shared" si="30"/>
        <v>0</v>
      </c>
      <c r="E140" s="217">
        <f t="shared" si="30"/>
        <v>0</v>
      </c>
    </row>
  </sheetData>
  <mergeCells count="55">
    <mergeCell ref="F7:G7"/>
    <mergeCell ref="H7:I7"/>
    <mergeCell ref="A3:E3"/>
    <mergeCell ref="B5:C5"/>
    <mergeCell ref="B6:C6"/>
    <mergeCell ref="D6:E6"/>
    <mergeCell ref="F6:I6"/>
    <mergeCell ref="F37:I37"/>
    <mergeCell ref="F38:G38"/>
    <mergeCell ref="H38:I38"/>
    <mergeCell ref="A8:A9"/>
    <mergeCell ref="B8:E9"/>
    <mergeCell ref="F8:F9"/>
    <mergeCell ref="G8:G9"/>
    <mergeCell ref="H8:H9"/>
    <mergeCell ref="I8:I9"/>
    <mergeCell ref="B36:C36"/>
    <mergeCell ref="A37:A38"/>
    <mergeCell ref="B37:C37"/>
    <mergeCell ref="D37:E37"/>
    <mergeCell ref="B39:E40"/>
    <mergeCell ref="F39:F40"/>
    <mergeCell ref="G39:G40"/>
    <mergeCell ref="H39:H40"/>
    <mergeCell ref="I39:I40"/>
    <mergeCell ref="B92:C92"/>
    <mergeCell ref="B67:E68"/>
    <mergeCell ref="F67:F68"/>
    <mergeCell ref="G67:G68"/>
    <mergeCell ref="H67:H68"/>
    <mergeCell ref="I67:I68"/>
    <mergeCell ref="B64:C64"/>
    <mergeCell ref="A65:A66"/>
    <mergeCell ref="B65:C65"/>
    <mergeCell ref="D65:E65"/>
    <mergeCell ref="F65:I65"/>
    <mergeCell ref="F66:G66"/>
    <mergeCell ref="H66:I66"/>
    <mergeCell ref="A93:A94"/>
    <mergeCell ref="B93:C93"/>
    <mergeCell ref="D93:E93"/>
    <mergeCell ref="F93:I93"/>
    <mergeCell ref="F94:G94"/>
    <mergeCell ref="H94:I94"/>
    <mergeCell ref="B95:E96"/>
    <mergeCell ref="F95:F96"/>
    <mergeCell ref="G95:G96"/>
    <mergeCell ref="H95:H96"/>
    <mergeCell ref="I95:I96"/>
    <mergeCell ref="J8:J9"/>
    <mergeCell ref="K8:K9"/>
    <mergeCell ref="J39:J40"/>
    <mergeCell ref="K39:K40"/>
    <mergeCell ref="J95:J96"/>
    <mergeCell ref="K95:K96"/>
  </mergeCells>
  <dataValidations disablePrompts="1" count="1">
    <dataValidation type="list" allowBlank="1" showInputMessage="1" showErrorMessage="1" sqref="B36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B64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B65600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B131136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B196672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B262208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B327744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B393280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B458816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B524352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B589888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B655424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B720960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B786496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B852032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B917568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B983104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B92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B65628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B131164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B196700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B262236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B327772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B393308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B458844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B524380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B589916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B655452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B720988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B786524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B852060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B917596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B983132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xr:uid="{00000000-0002-0000-0C00-000000000000}">
      <formula1>#REF!</formula1>
    </dataValidation>
  </dataValidations>
  <pageMargins left="0.7" right="0.7" top="0.75" bottom="0.75" header="0.3" footer="0.3"/>
  <pageSetup paperSize="9" scale="41" orientation="portrait" horizontalDpi="1200" verticalDpi="1200" r:id="rId1"/>
  <rowBreaks count="1" manualBreakCount="1">
    <brk id="117"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dimension ref="A1:L140"/>
  <sheetViews>
    <sheetView showGridLines="0" view="pageBreakPreview" topLeftCell="A112" zoomScale="90" zoomScaleNormal="80" zoomScaleSheetLayoutView="90" workbookViewId="0">
      <selection activeCell="A117" sqref="A117:XFD117"/>
    </sheetView>
  </sheetViews>
  <sheetFormatPr baseColWidth="10" defaultColWidth="10.26953125" defaultRowHeight="13" x14ac:dyDescent="0.3"/>
  <cols>
    <col min="1" max="1" width="49.81640625" style="346" customWidth="1"/>
    <col min="2" max="9" width="16.1796875" style="141" customWidth="1"/>
    <col min="254" max="254" width="49.81640625" customWidth="1"/>
    <col min="255" max="262" width="16.1796875" customWidth="1"/>
    <col min="263" max="263" width="12.453125" customWidth="1"/>
    <col min="510" max="510" width="49.81640625" customWidth="1"/>
    <col min="511" max="518" width="16.1796875" customWidth="1"/>
    <col min="519" max="519" width="12.453125" customWidth="1"/>
    <col min="766" max="766" width="49.81640625" customWidth="1"/>
    <col min="767" max="774" width="16.1796875" customWidth="1"/>
    <col min="775" max="775" width="12.453125" customWidth="1"/>
    <col min="1022" max="1022" width="49.81640625" customWidth="1"/>
    <col min="1023" max="1030" width="16.1796875" customWidth="1"/>
    <col min="1031" max="1031" width="12.453125" customWidth="1"/>
    <col min="1278" max="1278" width="49.81640625" customWidth="1"/>
    <col min="1279" max="1286" width="16.1796875" customWidth="1"/>
    <col min="1287" max="1287" width="12.453125" customWidth="1"/>
    <col min="1534" max="1534" width="49.81640625" customWidth="1"/>
    <col min="1535" max="1542" width="16.1796875" customWidth="1"/>
    <col min="1543" max="1543" width="12.453125" customWidth="1"/>
    <col min="1790" max="1790" width="49.81640625" customWidth="1"/>
    <col min="1791" max="1798" width="16.1796875" customWidth="1"/>
    <col min="1799" max="1799" width="12.453125" customWidth="1"/>
    <col min="2046" max="2046" width="49.81640625" customWidth="1"/>
    <col min="2047" max="2054" width="16.1796875" customWidth="1"/>
    <col min="2055" max="2055" width="12.453125" customWidth="1"/>
    <col min="2302" max="2302" width="49.81640625" customWidth="1"/>
    <col min="2303" max="2310" width="16.1796875" customWidth="1"/>
    <col min="2311" max="2311" width="12.453125" customWidth="1"/>
    <col min="2558" max="2558" width="49.81640625" customWidth="1"/>
    <col min="2559" max="2566" width="16.1796875" customWidth="1"/>
    <col min="2567" max="2567" width="12.453125" customWidth="1"/>
    <col min="2814" max="2814" width="49.81640625" customWidth="1"/>
    <col min="2815" max="2822" width="16.1796875" customWidth="1"/>
    <col min="2823" max="2823" width="12.453125" customWidth="1"/>
    <col min="3070" max="3070" width="49.81640625" customWidth="1"/>
    <col min="3071" max="3078" width="16.1796875" customWidth="1"/>
    <col min="3079" max="3079" width="12.453125" customWidth="1"/>
    <col min="3326" max="3326" width="49.81640625" customWidth="1"/>
    <col min="3327" max="3334" width="16.1796875" customWidth="1"/>
    <col min="3335" max="3335" width="12.453125" customWidth="1"/>
    <col min="3582" max="3582" width="49.81640625" customWidth="1"/>
    <col min="3583" max="3590" width="16.1796875" customWidth="1"/>
    <col min="3591" max="3591" width="12.453125" customWidth="1"/>
    <col min="3838" max="3838" width="49.81640625" customWidth="1"/>
    <col min="3839" max="3846" width="16.1796875" customWidth="1"/>
    <col min="3847" max="3847" width="12.453125" customWidth="1"/>
    <col min="4094" max="4094" width="49.81640625" customWidth="1"/>
    <col min="4095" max="4102" width="16.1796875" customWidth="1"/>
    <col min="4103" max="4103" width="12.453125" customWidth="1"/>
    <col min="4350" max="4350" width="49.81640625" customWidth="1"/>
    <col min="4351" max="4358" width="16.1796875" customWidth="1"/>
    <col min="4359" max="4359" width="12.453125" customWidth="1"/>
    <col min="4606" max="4606" width="49.81640625" customWidth="1"/>
    <col min="4607" max="4614" width="16.1796875" customWidth="1"/>
    <col min="4615" max="4615" width="12.453125" customWidth="1"/>
    <col min="4862" max="4862" width="49.81640625" customWidth="1"/>
    <col min="4863" max="4870" width="16.1796875" customWidth="1"/>
    <col min="4871" max="4871" width="12.453125" customWidth="1"/>
    <col min="5118" max="5118" width="49.81640625" customWidth="1"/>
    <col min="5119" max="5126" width="16.1796875" customWidth="1"/>
    <col min="5127" max="5127" width="12.453125" customWidth="1"/>
    <col min="5374" max="5374" width="49.81640625" customWidth="1"/>
    <col min="5375" max="5382" width="16.1796875" customWidth="1"/>
    <col min="5383" max="5383" width="12.453125" customWidth="1"/>
    <col min="5630" max="5630" width="49.81640625" customWidth="1"/>
    <col min="5631" max="5638" width="16.1796875" customWidth="1"/>
    <col min="5639" max="5639" width="12.453125" customWidth="1"/>
    <col min="5886" max="5886" width="49.81640625" customWidth="1"/>
    <col min="5887" max="5894" width="16.1796875" customWidth="1"/>
    <col min="5895" max="5895" width="12.453125" customWidth="1"/>
    <col min="6142" max="6142" width="49.81640625" customWidth="1"/>
    <col min="6143" max="6150" width="16.1796875" customWidth="1"/>
    <col min="6151" max="6151" width="12.453125" customWidth="1"/>
    <col min="6398" max="6398" width="49.81640625" customWidth="1"/>
    <col min="6399" max="6406" width="16.1796875" customWidth="1"/>
    <col min="6407" max="6407" width="12.453125" customWidth="1"/>
    <col min="6654" max="6654" width="49.81640625" customWidth="1"/>
    <col min="6655" max="6662" width="16.1796875" customWidth="1"/>
    <col min="6663" max="6663" width="12.453125" customWidth="1"/>
    <col min="6910" max="6910" width="49.81640625" customWidth="1"/>
    <col min="6911" max="6918" width="16.1796875" customWidth="1"/>
    <col min="6919" max="6919" width="12.453125" customWidth="1"/>
    <col min="7166" max="7166" width="49.81640625" customWidth="1"/>
    <col min="7167" max="7174" width="16.1796875" customWidth="1"/>
    <col min="7175" max="7175" width="12.453125" customWidth="1"/>
    <col min="7422" max="7422" width="49.81640625" customWidth="1"/>
    <col min="7423" max="7430" width="16.1796875" customWidth="1"/>
    <col min="7431" max="7431" width="12.453125" customWidth="1"/>
    <col min="7678" max="7678" width="49.81640625" customWidth="1"/>
    <col min="7679" max="7686" width="16.1796875" customWidth="1"/>
    <col min="7687" max="7687" width="12.453125" customWidth="1"/>
    <col min="7934" max="7934" width="49.81640625" customWidth="1"/>
    <col min="7935" max="7942" width="16.1796875" customWidth="1"/>
    <col min="7943" max="7943" width="12.453125" customWidth="1"/>
    <col min="8190" max="8190" width="49.81640625" customWidth="1"/>
    <col min="8191" max="8198" width="16.1796875" customWidth="1"/>
    <col min="8199" max="8199" width="12.453125" customWidth="1"/>
    <col min="8446" max="8446" width="49.81640625" customWidth="1"/>
    <col min="8447" max="8454" width="16.1796875" customWidth="1"/>
    <col min="8455" max="8455" width="12.453125" customWidth="1"/>
    <col min="8702" max="8702" width="49.81640625" customWidth="1"/>
    <col min="8703" max="8710" width="16.1796875" customWidth="1"/>
    <col min="8711" max="8711" width="12.453125" customWidth="1"/>
    <col min="8958" max="8958" width="49.81640625" customWidth="1"/>
    <col min="8959" max="8966" width="16.1796875" customWidth="1"/>
    <col min="8967" max="8967" width="12.453125" customWidth="1"/>
    <col min="9214" max="9214" width="49.81640625" customWidth="1"/>
    <col min="9215" max="9222" width="16.1796875" customWidth="1"/>
    <col min="9223" max="9223" width="12.453125" customWidth="1"/>
    <col min="9470" max="9470" width="49.81640625" customWidth="1"/>
    <col min="9471" max="9478" width="16.1796875" customWidth="1"/>
    <col min="9479" max="9479" width="12.453125" customWidth="1"/>
    <col min="9726" max="9726" width="49.81640625" customWidth="1"/>
    <col min="9727" max="9734" width="16.1796875" customWidth="1"/>
    <col min="9735" max="9735" width="12.453125" customWidth="1"/>
    <col min="9982" max="9982" width="49.81640625" customWidth="1"/>
    <col min="9983" max="9990" width="16.1796875" customWidth="1"/>
    <col min="9991" max="9991" width="12.453125" customWidth="1"/>
    <col min="10238" max="10238" width="49.81640625" customWidth="1"/>
    <col min="10239" max="10246" width="16.1796875" customWidth="1"/>
    <col min="10247" max="10247" width="12.453125" customWidth="1"/>
    <col min="10494" max="10494" width="49.81640625" customWidth="1"/>
    <col min="10495" max="10502" width="16.1796875" customWidth="1"/>
    <col min="10503" max="10503" width="12.453125" customWidth="1"/>
    <col min="10750" max="10750" width="49.81640625" customWidth="1"/>
    <col min="10751" max="10758" width="16.1796875" customWidth="1"/>
    <col min="10759" max="10759" width="12.453125" customWidth="1"/>
    <col min="11006" max="11006" width="49.81640625" customWidth="1"/>
    <col min="11007" max="11014" width="16.1796875" customWidth="1"/>
    <col min="11015" max="11015" width="12.453125" customWidth="1"/>
    <col min="11262" max="11262" width="49.81640625" customWidth="1"/>
    <col min="11263" max="11270" width="16.1796875" customWidth="1"/>
    <col min="11271" max="11271" width="12.453125" customWidth="1"/>
    <col min="11518" max="11518" width="49.81640625" customWidth="1"/>
    <col min="11519" max="11526" width="16.1796875" customWidth="1"/>
    <col min="11527" max="11527" width="12.453125" customWidth="1"/>
    <col min="11774" max="11774" width="49.81640625" customWidth="1"/>
    <col min="11775" max="11782" width="16.1796875" customWidth="1"/>
    <col min="11783" max="11783" width="12.453125" customWidth="1"/>
    <col min="12030" max="12030" width="49.81640625" customWidth="1"/>
    <col min="12031" max="12038" width="16.1796875" customWidth="1"/>
    <col min="12039" max="12039" width="12.453125" customWidth="1"/>
    <col min="12286" max="12286" width="49.81640625" customWidth="1"/>
    <col min="12287" max="12294" width="16.1796875" customWidth="1"/>
    <col min="12295" max="12295" width="12.453125" customWidth="1"/>
    <col min="12542" max="12542" width="49.81640625" customWidth="1"/>
    <col min="12543" max="12550" width="16.1796875" customWidth="1"/>
    <col min="12551" max="12551" width="12.453125" customWidth="1"/>
    <col min="12798" max="12798" width="49.81640625" customWidth="1"/>
    <col min="12799" max="12806" width="16.1796875" customWidth="1"/>
    <col min="12807" max="12807" width="12.453125" customWidth="1"/>
    <col min="13054" max="13054" width="49.81640625" customWidth="1"/>
    <col min="13055" max="13062" width="16.1796875" customWidth="1"/>
    <col min="13063" max="13063" width="12.453125" customWidth="1"/>
    <col min="13310" max="13310" width="49.81640625" customWidth="1"/>
    <col min="13311" max="13318" width="16.1796875" customWidth="1"/>
    <col min="13319" max="13319" width="12.453125" customWidth="1"/>
    <col min="13566" max="13566" width="49.81640625" customWidth="1"/>
    <col min="13567" max="13574" width="16.1796875" customWidth="1"/>
    <col min="13575" max="13575" width="12.453125" customWidth="1"/>
    <col min="13822" max="13822" width="49.81640625" customWidth="1"/>
    <col min="13823" max="13830" width="16.1796875" customWidth="1"/>
    <col min="13831" max="13831" width="12.453125" customWidth="1"/>
    <col min="14078" max="14078" width="49.81640625" customWidth="1"/>
    <col min="14079" max="14086" width="16.1796875" customWidth="1"/>
    <col min="14087" max="14087" width="12.453125" customWidth="1"/>
    <col min="14334" max="14334" width="49.81640625" customWidth="1"/>
    <col min="14335" max="14342" width="16.1796875" customWidth="1"/>
    <col min="14343" max="14343" width="12.453125" customWidth="1"/>
    <col min="14590" max="14590" width="49.81640625" customWidth="1"/>
    <col min="14591" max="14598" width="16.1796875" customWidth="1"/>
    <col min="14599" max="14599" width="12.453125" customWidth="1"/>
    <col min="14846" max="14846" width="49.81640625" customWidth="1"/>
    <col min="14847" max="14854" width="16.1796875" customWidth="1"/>
    <col min="14855" max="14855" width="12.453125" customWidth="1"/>
    <col min="15102" max="15102" width="49.81640625" customWidth="1"/>
    <col min="15103" max="15110" width="16.1796875" customWidth="1"/>
    <col min="15111" max="15111" width="12.453125" customWidth="1"/>
    <col min="15358" max="15358" width="49.81640625" customWidth="1"/>
    <col min="15359" max="15366" width="16.1796875" customWidth="1"/>
    <col min="15367" max="15367" width="12.453125" customWidth="1"/>
    <col min="15614" max="15614" width="49.81640625" customWidth="1"/>
    <col min="15615" max="15622" width="16.1796875" customWidth="1"/>
    <col min="15623" max="15623" width="12.453125" customWidth="1"/>
    <col min="15870" max="15870" width="49.81640625" customWidth="1"/>
    <col min="15871" max="15878" width="16.1796875" customWidth="1"/>
    <col min="15879" max="15879" width="12.453125" customWidth="1"/>
    <col min="16126" max="16126" width="49.81640625" customWidth="1"/>
    <col min="16127" max="16134" width="16.1796875" customWidth="1"/>
    <col min="16135" max="16135" width="12.453125" customWidth="1"/>
  </cols>
  <sheetData>
    <row r="1" spans="1:12" ht="17.149999999999999" customHeight="1" x14ac:dyDescent="0.3">
      <c r="A1" s="364" t="s">
        <v>101</v>
      </c>
      <c r="B1" s="66"/>
      <c r="C1" s="66"/>
      <c r="D1" s="66"/>
      <c r="E1" s="66"/>
      <c r="F1" s="66"/>
      <c r="G1" s="66"/>
      <c r="H1" s="66"/>
      <c r="I1" s="66"/>
    </row>
    <row r="2" spans="1:12" ht="17.149999999999999" customHeight="1" x14ac:dyDescent="0.25">
      <c r="A2" s="365"/>
      <c r="B2" s="66"/>
      <c r="C2" s="66"/>
      <c r="D2" s="66"/>
      <c r="E2" s="66"/>
      <c r="F2" s="66"/>
      <c r="G2" s="66"/>
      <c r="H2" s="66"/>
      <c r="I2" s="66"/>
    </row>
    <row r="3" spans="1:12" ht="17.149999999999999" customHeight="1" x14ac:dyDescent="0.25">
      <c r="A3" s="800" t="s">
        <v>146</v>
      </c>
      <c r="B3" s="800"/>
      <c r="C3" s="800"/>
      <c r="D3" s="800"/>
      <c r="E3" s="800"/>
      <c r="F3" s="66"/>
      <c r="G3" s="66"/>
      <c r="H3" s="66"/>
      <c r="I3" s="66"/>
    </row>
    <row r="4" spans="1:12" ht="17.149999999999999" customHeight="1" x14ac:dyDescent="0.25">
      <c r="A4" s="365"/>
      <c r="B4" s="66"/>
      <c r="C4" s="66"/>
      <c r="D4" s="66"/>
      <c r="E4" s="66"/>
      <c r="F4" s="66"/>
      <c r="G4" s="66"/>
      <c r="H4" s="66"/>
      <c r="I4" s="66"/>
    </row>
    <row r="5" spans="1:12" ht="17.149999999999999" customHeight="1" thickBot="1" x14ac:dyDescent="0.35">
      <c r="A5" s="404" t="s">
        <v>103</v>
      </c>
      <c r="B5" s="836"/>
      <c r="C5" s="836"/>
      <c r="D5" s="68"/>
      <c r="E5" s="68"/>
      <c r="F5" s="66"/>
      <c r="G5" s="66"/>
      <c r="H5" s="66"/>
      <c r="I5" s="66"/>
      <c r="J5" s="141"/>
    </row>
    <row r="6" spans="1:12" ht="17.149999999999999" customHeight="1" thickBot="1" x14ac:dyDescent="0.35">
      <c r="A6" s="69" t="s">
        <v>104</v>
      </c>
      <c r="B6" s="818" t="s">
        <v>105</v>
      </c>
      <c r="C6" s="819"/>
      <c r="D6" s="837" t="s">
        <v>106</v>
      </c>
      <c r="E6" s="838"/>
      <c r="F6" s="818" t="s">
        <v>107</v>
      </c>
      <c r="G6" s="832"/>
      <c r="H6" s="832"/>
      <c r="I6" s="819"/>
      <c r="J6" s="141"/>
    </row>
    <row r="7" spans="1:12" ht="17.149999999999999" customHeight="1" thickBot="1" x14ac:dyDescent="0.35">
      <c r="A7" s="70" t="s">
        <v>108</v>
      </c>
      <c r="B7" s="324" t="s">
        <v>147</v>
      </c>
      <c r="C7" s="324" t="s">
        <v>148</v>
      </c>
      <c r="D7" s="324" t="s">
        <v>147</v>
      </c>
      <c r="E7" s="324" t="s">
        <v>148</v>
      </c>
      <c r="F7" s="818" t="s">
        <v>105</v>
      </c>
      <c r="G7" s="819"/>
      <c r="H7" s="818" t="s">
        <v>106</v>
      </c>
      <c r="I7" s="819"/>
      <c r="J7" s="141"/>
    </row>
    <row r="8" spans="1:12" ht="17.149999999999999" customHeight="1" x14ac:dyDescent="0.3">
      <c r="A8" s="839" t="s">
        <v>109</v>
      </c>
      <c r="B8" s="826"/>
      <c r="C8" s="827"/>
      <c r="D8" s="827"/>
      <c r="E8" s="828"/>
      <c r="F8" s="828" t="s">
        <v>110</v>
      </c>
      <c r="G8" s="822" t="s">
        <v>111</v>
      </c>
      <c r="H8" s="822" t="s">
        <v>112</v>
      </c>
      <c r="I8" s="822" t="s">
        <v>111</v>
      </c>
      <c r="J8" s="141"/>
    </row>
    <row r="9" spans="1:12" ht="17.149999999999999" customHeight="1" thickBot="1" x14ac:dyDescent="0.35">
      <c r="A9" s="840"/>
      <c r="B9" s="841"/>
      <c r="C9" s="842"/>
      <c r="D9" s="842"/>
      <c r="E9" s="843"/>
      <c r="F9" s="833"/>
      <c r="G9" s="834"/>
      <c r="H9" s="834"/>
      <c r="I9" s="834"/>
      <c r="J9" s="141"/>
    </row>
    <row r="10" spans="1:12" ht="17.149999999999999" customHeight="1" thickBot="1" x14ac:dyDescent="0.35">
      <c r="A10" s="72" t="s">
        <v>113</v>
      </c>
      <c r="B10" s="405"/>
      <c r="C10" s="406"/>
      <c r="D10" s="406"/>
      <c r="E10" s="536"/>
      <c r="F10" s="76"/>
      <c r="G10" s="76"/>
      <c r="H10" s="76"/>
      <c r="I10" s="77"/>
      <c r="J10" s="141"/>
    </row>
    <row r="11" spans="1:12" ht="17.149999999999999" customHeight="1" x14ac:dyDescent="0.3">
      <c r="A11" s="603" t="s">
        <v>114</v>
      </c>
      <c r="B11" s="78">
        <f>B12+B13+B17</f>
        <v>935.29600000000005</v>
      </c>
      <c r="C11" s="604">
        <f>3021509/1000</f>
        <v>3021.509</v>
      </c>
      <c r="D11" s="78">
        <f>D12+D13+D17</f>
        <v>5</v>
      </c>
      <c r="E11" s="78">
        <f>E12+E13+E17</f>
        <v>5</v>
      </c>
      <c r="F11" s="78">
        <f>B11-C11</f>
        <v>-2086.2129999999997</v>
      </c>
      <c r="G11" s="78">
        <f>IF(C11&lt;&gt;0,(B11-C11)/C11)*100</f>
        <v>-69.045400824554875</v>
      </c>
      <c r="H11" s="78">
        <f>D11-E11</f>
        <v>0</v>
      </c>
      <c r="I11" s="79">
        <f>IF(E11&lt;&gt;0,(D11-E11)/E11)*100</f>
        <v>0</v>
      </c>
      <c r="J11" s="141"/>
    </row>
    <row r="12" spans="1:12" ht="17.149999999999999" customHeight="1" x14ac:dyDescent="0.3">
      <c r="A12" s="603" t="s">
        <v>115</v>
      </c>
      <c r="B12" s="604">
        <f>242441/1000</f>
        <v>242.441</v>
      </c>
      <c r="C12" s="604">
        <f>1251827/1000</f>
        <v>1251.827</v>
      </c>
      <c r="D12" s="604">
        <v>2</v>
      </c>
      <c r="E12" s="604">
        <v>1</v>
      </c>
      <c r="F12" s="605">
        <f t="shared" ref="F12:F19" si="0">B12-C12</f>
        <v>-1009.386</v>
      </c>
      <c r="G12" s="606">
        <f>IF(C12&lt;&gt;0,(B12-C12)/C12)*100</f>
        <v>-80.63302676807578</v>
      </c>
      <c r="H12" s="605">
        <f>D12-E12</f>
        <v>1</v>
      </c>
      <c r="I12" s="606">
        <f>IF(E12&lt;&gt;0,(D12-E12)/E12)*100</f>
        <v>100</v>
      </c>
      <c r="J12" s="141"/>
      <c r="L12">
        <v>1000</v>
      </c>
    </row>
    <row r="13" spans="1:12" ht="17.149999999999999" customHeight="1" x14ac:dyDescent="0.3">
      <c r="A13" s="603" t="s">
        <v>116</v>
      </c>
      <c r="B13" s="605">
        <f>B14-B15-B16</f>
        <v>692.85500000000002</v>
      </c>
      <c r="C13" s="605">
        <f>C14-C15-C16</f>
        <v>1281.5550000000001</v>
      </c>
      <c r="D13" s="607">
        <v>3</v>
      </c>
      <c r="E13" s="607">
        <v>4</v>
      </c>
      <c r="F13" s="605">
        <f t="shared" si="0"/>
        <v>-588.70000000000005</v>
      </c>
      <c r="G13" s="606">
        <f>IF(C13&lt;&gt;0,(B13-C13)/C13)*100</f>
        <v>-45.936381973461927</v>
      </c>
      <c r="H13" s="605">
        <f>D13-E13</f>
        <v>-1</v>
      </c>
      <c r="I13" s="606">
        <f>IF(E13&lt;&gt;0,(D13-E13)/E13)*100</f>
        <v>-25</v>
      </c>
      <c r="J13" s="141"/>
    </row>
    <row r="14" spans="1:12" ht="17.149999999999999" customHeight="1" x14ac:dyDescent="0.3">
      <c r="A14" s="608" t="s">
        <v>117</v>
      </c>
      <c r="B14" s="609">
        <f>851173/1000</f>
        <v>851.173</v>
      </c>
      <c r="C14" s="610">
        <f>1748472/1000</f>
        <v>1748.472</v>
      </c>
      <c r="D14" s="604"/>
      <c r="E14" s="610"/>
      <c r="F14" s="605"/>
      <c r="G14" s="611"/>
      <c r="H14" s="605"/>
      <c r="I14" s="611"/>
      <c r="J14" s="141"/>
    </row>
    <row r="15" spans="1:12" ht="17.149999999999999" customHeight="1" x14ac:dyDescent="0.3">
      <c r="A15" s="612" t="s">
        <v>118</v>
      </c>
      <c r="B15" s="613">
        <f>149891/1000</f>
        <v>149.89099999999999</v>
      </c>
      <c r="C15" s="614">
        <f>449605/1000</f>
        <v>449.60500000000002</v>
      </c>
      <c r="D15" s="604"/>
      <c r="E15" s="610"/>
      <c r="F15" s="605"/>
      <c r="G15" s="611"/>
      <c r="H15" s="605"/>
      <c r="I15" s="611"/>
      <c r="J15" s="141"/>
    </row>
    <row r="16" spans="1:12" ht="17.149999999999999" customHeight="1" x14ac:dyDescent="0.3">
      <c r="A16" s="612" t="s">
        <v>119</v>
      </c>
      <c r="B16" s="615">
        <f>8427/1000</f>
        <v>8.4269999999999996</v>
      </c>
      <c r="C16" s="537">
        <f>17312/1000</f>
        <v>17.312000000000001</v>
      </c>
      <c r="D16" s="616"/>
      <c r="E16" s="610"/>
      <c r="F16" s="605"/>
      <c r="G16" s="611"/>
      <c r="H16" s="605"/>
      <c r="I16" s="611"/>
      <c r="J16" s="141"/>
    </row>
    <row r="17" spans="1:10" ht="17.149999999999999" customHeight="1" x14ac:dyDescent="0.3">
      <c r="A17" s="617" t="s">
        <v>120</v>
      </c>
      <c r="B17" s="618">
        <v>0</v>
      </c>
      <c r="C17" s="542">
        <v>0</v>
      </c>
      <c r="D17" s="604">
        <v>0</v>
      </c>
      <c r="E17" s="604">
        <v>0</v>
      </c>
      <c r="F17" s="605">
        <f t="shared" si="0"/>
        <v>0</v>
      </c>
      <c r="G17" s="606">
        <f>IF(C17&lt;&gt;0,(B17-C17)/C17)*100</f>
        <v>0</v>
      </c>
      <c r="H17" s="605">
        <f>D17-E17</f>
        <v>0</v>
      </c>
      <c r="I17" s="606">
        <f>IF(E17&lt;&gt;0,(D17-E17)/E17)*100</f>
        <v>0</v>
      </c>
      <c r="J17" s="141"/>
    </row>
    <row r="18" spans="1:10" ht="17.149999999999999" customHeight="1" x14ac:dyDescent="0.3">
      <c r="A18" s="603" t="s">
        <v>121</v>
      </c>
      <c r="B18" s="546">
        <v>0</v>
      </c>
      <c r="C18" s="610">
        <v>0</v>
      </c>
      <c r="D18" s="604">
        <v>0</v>
      </c>
      <c r="E18" s="607">
        <v>0</v>
      </c>
      <c r="F18" s="605">
        <f t="shared" si="0"/>
        <v>0</v>
      </c>
      <c r="G18" s="606">
        <f>IF(C18&lt;&gt;0,(B18-C18)/C18)*100</f>
        <v>0</v>
      </c>
      <c r="H18" s="605">
        <f>D18-E18</f>
        <v>0</v>
      </c>
      <c r="I18" s="606">
        <f>IF(E18&lt;&gt;0,(D18-E18)/E18)*100</f>
        <v>0</v>
      </c>
      <c r="J18" s="141"/>
    </row>
    <row r="19" spans="1:10" ht="17.149999999999999" customHeight="1" thickBot="1" x14ac:dyDescent="0.35">
      <c r="A19" s="619" t="s">
        <v>122</v>
      </c>
      <c r="B19" s="620">
        <v>0</v>
      </c>
      <c r="C19" s="621">
        <v>0</v>
      </c>
      <c r="D19" s="620">
        <v>0</v>
      </c>
      <c r="E19" s="621">
        <v>0</v>
      </c>
      <c r="F19" s="605">
        <f t="shared" si="0"/>
        <v>0</v>
      </c>
      <c r="G19" s="622">
        <f>IF(C19&lt;&gt;0,(B19-C19)/C19)*100</f>
        <v>0</v>
      </c>
      <c r="H19" s="605">
        <f>D19-E19</f>
        <v>0</v>
      </c>
      <c r="I19" s="622">
        <f>IF(E19&lt;&gt;0,(D19-E19)/E19)*100</f>
        <v>0</v>
      </c>
      <c r="J19" s="141"/>
    </row>
    <row r="20" spans="1:10" ht="17.149999999999999" customHeight="1" thickBot="1" x14ac:dyDescent="0.35">
      <c r="A20" s="80" t="s">
        <v>123</v>
      </c>
      <c r="B20" s="81">
        <f>B11+B18+B19</f>
        <v>935.29600000000005</v>
      </c>
      <c r="C20" s="82">
        <f>C11+C18+C19</f>
        <v>3021.509</v>
      </c>
      <c r="D20" s="81">
        <f>D11+D18+D19</f>
        <v>5</v>
      </c>
      <c r="E20" s="82">
        <f>E11+E18+E19</f>
        <v>5</v>
      </c>
      <c r="F20" s="81">
        <f>F11+F18+F19</f>
        <v>-2086.2129999999997</v>
      </c>
      <c r="G20" s="83">
        <f>IF(C20&lt;&gt;0,(B20-C20)/C20)*100</f>
        <v>-69.045400824554875</v>
      </c>
      <c r="H20" s="81">
        <f>H11+H18+H19</f>
        <v>0</v>
      </c>
      <c r="I20" s="83">
        <f>IF(E20&lt;&gt;0,(D20-E20)/E20)*100</f>
        <v>0</v>
      </c>
      <c r="J20" s="141"/>
    </row>
    <row r="21" spans="1:10" ht="17.149999999999999" customHeight="1" thickBot="1" x14ac:dyDescent="0.35">
      <c r="A21" s="84" t="s">
        <v>109</v>
      </c>
      <c r="B21" s="85"/>
      <c r="C21" s="85"/>
      <c r="D21" s="85"/>
      <c r="E21" s="85"/>
      <c r="F21" s="86"/>
      <c r="G21" s="86"/>
      <c r="H21" s="86"/>
      <c r="I21" s="87"/>
      <c r="J21" s="141"/>
    </row>
    <row r="22" spans="1:10" ht="17.149999999999999" customHeight="1" x14ac:dyDescent="0.3">
      <c r="A22" s="547" t="s">
        <v>124</v>
      </c>
      <c r="B22" s="548"/>
      <c r="C22" s="549"/>
      <c r="D22" s="548"/>
      <c r="E22" s="549"/>
      <c r="F22" s="550"/>
      <c r="G22" s="551"/>
      <c r="H22" s="551"/>
      <c r="I22" s="552"/>
      <c r="J22" s="141"/>
    </row>
    <row r="23" spans="1:10" ht="17.149999999999999" customHeight="1" x14ac:dyDescent="0.3">
      <c r="A23" s="603" t="s">
        <v>125</v>
      </c>
      <c r="B23" s="623">
        <f>SUM(B24:B27)</f>
        <v>93308.448999999993</v>
      </c>
      <c r="C23" s="624">
        <f>SUM(C24:C27)</f>
        <v>151048.95299999998</v>
      </c>
      <c r="D23" s="623">
        <f>SUM(D24:D27)</f>
        <v>2167</v>
      </c>
      <c r="E23" s="624">
        <f>SUM(E24:E27)</f>
        <v>3772</v>
      </c>
      <c r="F23" s="623">
        <f t="shared" ref="F23:F28" si="1">B23-C23</f>
        <v>-57740.503999999986</v>
      </c>
      <c r="G23" s="625">
        <f t="shared" ref="G23:G28" si="2">IF(C23&lt;&gt;0,(B23-C23)/C23)*100</f>
        <v>-38.226351691428142</v>
      </c>
      <c r="H23" s="623">
        <f t="shared" ref="H23:H28" si="3">D23-E23</f>
        <v>-1605</v>
      </c>
      <c r="I23" s="625">
        <f t="shared" ref="I23:I28" si="4">IF(E23&lt;&gt;0,(D23-E23)/E23)*100</f>
        <v>-42.550371155885472</v>
      </c>
      <c r="J23" s="141"/>
    </row>
    <row r="24" spans="1:10" ht="17.149999999999999" customHeight="1" x14ac:dyDescent="0.3">
      <c r="A24" s="603" t="s">
        <v>126</v>
      </c>
      <c r="B24" s="604">
        <f>87976161/1000</f>
        <v>87976.160999999993</v>
      </c>
      <c r="C24" s="604">
        <f>142774457/1000</f>
        <v>142774.45699999999</v>
      </c>
      <c r="D24" s="604">
        <v>1872</v>
      </c>
      <c r="E24" s="604">
        <v>3387</v>
      </c>
      <c r="F24" s="605">
        <f t="shared" si="1"/>
        <v>-54798.296000000002</v>
      </c>
      <c r="G24" s="606">
        <f t="shared" si="2"/>
        <v>-38.381022174015342</v>
      </c>
      <c r="H24" s="605">
        <f t="shared" si="3"/>
        <v>-1515</v>
      </c>
      <c r="I24" s="606">
        <f t="shared" si="4"/>
        <v>-44.729849424269261</v>
      </c>
      <c r="J24" s="141"/>
    </row>
    <row r="25" spans="1:10" ht="17.149999999999999" customHeight="1" x14ac:dyDescent="0.3">
      <c r="A25" s="603" t="s">
        <v>127</v>
      </c>
      <c r="B25" s="604">
        <f>2459383/1000</f>
        <v>2459.3829999999998</v>
      </c>
      <c r="C25" s="604">
        <f>4331898/1000</f>
        <v>4331.8980000000001</v>
      </c>
      <c r="D25" s="604">
        <v>95</v>
      </c>
      <c r="E25" s="604">
        <v>136</v>
      </c>
      <c r="F25" s="605">
        <f t="shared" si="1"/>
        <v>-1872.5150000000003</v>
      </c>
      <c r="G25" s="606">
        <f t="shared" si="2"/>
        <v>-43.226202463677595</v>
      </c>
      <c r="H25" s="605">
        <f t="shared" si="3"/>
        <v>-41</v>
      </c>
      <c r="I25" s="606">
        <f t="shared" si="4"/>
        <v>-30.147058823529409</v>
      </c>
      <c r="J25" s="141"/>
    </row>
    <row r="26" spans="1:10" ht="17.149999999999999" customHeight="1" x14ac:dyDescent="0.3">
      <c r="A26" s="626" t="s">
        <v>128</v>
      </c>
      <c r="B26" s="604">
        <f>1324611/1000</f>
        <v>1324.6110000000001</v>
      </c>
      <c r="C26" s="604">
        <f>2462654/1000</f>
        <v>2462.654</v>
      </c>
      <c r="D26" s="604">
        <v>32</v>
      </c>
      <c r="E26" s="604">
        <v>71</v>
      </c>
      <c r="F26" s="605">
        <f t="shared" si="1"/>
        <v>-1138.0429999999999</v>
      </c>
      <c r="G26" s="606">
        <f t="shared" si="2"/>
        <v>-46.212054149710028</v>
      </c>
      <c r="H26" s="605">
        <f t="shared" si="3"/>
        <v>-39</v>
      </c>
      <c r="I26" s="606">
        <f t="shared" si="4"/>
        <v>-54.929577464788736</v>
      </c>
      <c r="J26" s="141"/>
    </row>
    <row r="27" spans="1:10" ht="17.149999999999999" customHeight="1" x14ac:dyDescent="0.3">
      <c r="A27" s="603" t="s">
        <v>129</v>
      </c>
      <c r="B27" s="604">
        <f>1548294/1000</f>
        <v>1548.2940000000001</v>
      </c>
      <c r="C27" s="604">
        <f>1479944/1000</f>
        <v>1479.944</v>
      </c>
      <c r="D27" s="604">
        <v>168</v>
      </c>
      <c r="E27" s="604">
        <v>178</v>
      </c>
      <c r="F27" s="605">
        <f t="shared" si="1"/>
        <v>68.350000000000136</v>
      </c>
      <c r="G27" s="606">
        <f t="shared" si="2"/>
        <v>4.6184179941943837</v>
      </c>
      <c r="H27" s="605">
        <f t="shared" si="3"/>
        <v>-10</v>
      </c>
      <c r="I27" s="606">
        <f t="shared" si="4"/>
        <v>-5.6179775280898872</v>
      </c>
      <c r="J27" s="141"/>
    </row>
    <row r="28" spans="1:10" ht="17.149999999999999" customHeight="1" x14ac:dyDescent="0.3">
      <c r="A28" s="603" t="s">
        <v>130</v>
      </c>
      <c r="B28" s="604">
        <v>0</v>
      </c>
      <c r="C28" s="604">
        <v>0</v>
      </c>
      <c r="D28" s="604">
        <v>0</v>
      </c>
      <c r="E28" s="604">
        <v>0</v>
      </c>
      <c r="F28" s="605">
        <f t="shared" si="1"/>
        <v>0</v>
      </c>
      <c r="G28" s="606">
        <f t="shared" si="2"/>
        <v>0</v>
      </c>
      <c r="H28" s="605">
        <f t="shared" si="3"/>
        <v>0</v>
      </c>
      <c r="I28" s="606">
        <f t="shared" si="4"/>
        <v>0</v>
      </c>
      <c r="J28" s="141"/>
    </row>
    <row r="29" spans="1:10" ht="17.149999999999999" customHeight="1" x14ac:dyDescent="0.3">
      <c r="A29" s="603"/>
      <c r="B29" s="627"/>
      <c r="C29" s="628"/>
      <c r="D29" s="627"/>
      <c r="E29" s="628"/>
      <c r="F29" s="623"/>
      <c r="G29" s="625"/>
      <c r="H29" s="624"/>
      <c r="I29" s="629"/>
      <c r="J29" s="141"/>
    </row>
    <row r="30" spans="1:10" ht="17.149999999999999" customHeight="1" x14ac:dyDescent="0.3">
      <c r="A30" s="603"/>
      <c r="B30" s="627"/>
      <c r="C30" s="628"/>
      <c r="D30" s="627"/>
      <c r="E30" s="628"/>
      <c r="F30" s="623"/>
      <c r="G30" s="625"/>
      <c r="H30" s="624"/>
      <c r="I30" s="629"/>
      <c r="J30" s="141"/>
    </row>
    <row r="31" spans="1:10" ht="17.149999999999999" customHeight="1" thickBot="1" x14ac:dyDescent="0.35">
      <c r="A31" s="88" t="s">
        <v>109</v>
      </c>
      <c r="B31" s="630"/>
      <c r="C31" s="631"/>
      <c r="D31" s="630"/>
      <c r="E31" s="631"/>
      <c r="F31" s="632"/>
      <c r="G31" s="633"/>
      <c r="H31" s="634"/>
      <c r="I31" s="635"/>
      <c r="J31" s="141"/>
    </row>
    <row r="32" spans="1:10" ht="17.149999999999999" customHeight="1" thickBot="1" x14ac:dyDescent="0.35">
      <c r="A32" s="89" t="s">
        <v>131</v>
      </c>
      <c r="B32" s="90">
        <f>B23+B28</f>
        <v>93308.448999999993</v>
      </c>
      <c r="C32" s="91">
        <f>C23+C28</f>
        <v>151048.95299999998</v>
      </c>
      <c r="D32" s="90">
        <f>D23+D28</f>
        <v>2167</v>
      </c>
      <c r="E32" s="91">
        <f>E23+E28</f>
        <v>3772</v>
      </c>
      <c r="F32" s="91">
        <f>B32-C32</f>
        <v>-57740.503999999986</v>
      </c>
      <c r="G32" s="92">
        <f>IF(C32&lt;&gt;0,(B32-C32)/C32)*100</f>
        <v>-38.226351691428142</v>
      </c>
      <c r="H32" s="91">
        <f>D32-E32</f>
        <v>-1605</v>
      </c>
      <c r="I32" s="92">
        <f>IF(E32&lt;&gt;0,(D32-E32)/E32)*100</f>
        <v>-42.550371155885472</v>
      </c>
      <c r="J32" s="141"/>
    </row>
    <row r="33" spans="1:10" ht="17.149999999999999" customHeight="1" thickBot="1" x14ac:dyDescent="0.35">
      <c r="A33" s="93" t="s">
        <v>132</v>
      </c>
      <c r="B33" s="90">
        <f>B20+B32</f>
        <v>94243.744999999995</v>
      </c>
      <c r="C33" s="91">
        <f>C20+C32</f>
        <v>154070.46199999997</v>
      </c>
      <c r="D33" s="90">
        <f>D20+D32</f>
        <v>2172</v>
      </c>
      <c r="E33" s="91">
        <f>E20+E32</f>
        <v>3777</v>
      </c>
      <c r="F33" s="91">
        <f>B33-C33</f>
        <v>-59826.716999999975</v>
      </c>
      <c r="G33" s="92">
        <f>IF(C33&lt;&gt;0,(B33-C33)/C33)*100</f>
        <v>-38.830750698988616</v>
      </c>
      <c r="H33" s="91">
        <f>D33-E33</f>
        <v>-1605</v>
      </c>
      <c r="I33" s="92">
        <f>IF(E33&lt;&gt;0,(D33-E33)/E33)*100</f>
        <v>-42.494042891183483</v>
      </c>
      <c r="J33" s="141"/>
    </row>
    <row r="34" spans="1:10" ht="17.149999999999999" customHeight="1" x14ac:dyDescent="0.3">
      <c r="A34" s="94"/>
      <c r="B34" s="94"/>
      <c r="C34" s="94"/>
      <c r="D34" s="94"/>
      <c r="E34" s="94"/>
      <c r="F34" s="95"/>
      <c r="G34" s="95"/>
      <c r="H34" s="95"/>
      <c r="I34" s="95"/>
      <c r="J34" s="141"/>
    </row>
    <row r="35" spans="1:10" ht="17.149999999999999" customHeight="1" x14ac:dyDescent="0.3">
      <c r="A35" s="68"/>
      <c r="B35" s="96"/>
      <c r="C35" s="97"/>
      <c r="D35" s="97"/>
      <c r="E35" s="97"/>
      <c r="F35" s="538"/>
      <c r="G35" s="538"/>
      <c r="H35" s="538"/>
      <c r="I35" s="538"/>
      <c r="J35" s="141"/>
    </row>
    <row r="36" spans="1:10" ht="17.149999999999999" customHeight="1" thickBot="1" x14ac:dyDescent="0.35">
      <c r="A36" s="404" t="s">
        <v>133</v>
      </c>
      <c r="B36" s="813"/>
      <c r="C36" s="813"/>
      <c r="D36" s="99"/>
      <c r="E36" s="99"/>
      <c r="F36" s="538"/>
      <c r="G36" s="538"/>
      <c r="H36" s="538"/>
      <c r="I36" s="538"/>
      <c r="J36" s="141"/>
    </row>
    <row r="37" spans="1:10" ht="17.149999999999999" customHeight="1" thickBot="1" x14ac:dyDescent="0.35">
      <c r="A37" s="822" t="s">
        <v>134</v>
      </c>
      <c r="B37" s="818" t="s">
        <v>105</v>
      </c>
      <c r="C37" s="819"/>
      <c r="D37" s="818" t="s">
        <v>106</v>
      </c>
      <c r="E37" s="819"/>
      <c r="F37" s="804" t="s">
        <v>107</v>
      </c>
      <c r="G37" s="805"/>
      <c r="H37" s="805"/>
      <c r="I37" s="806"/>
      <c r="J37" s="141"/>
    </row>
    <row r="38" spans="1:10" ht="17.149999999999999" customHeight="1" thickBot="1" x14ac:dyDescent="0.35">
      <c r="A38" s="823"/>
      <c r="B38" s="324" t="s">
        <v>148</v>
      </c>
      <c r="C38" s="324" t="s">
        <v>149</v>
      </c>
      <c r="D38" s="324" t="s">
        <v>148</v>
      </c>
      <c r="E38" s="324" t="s">
        <v>149</v>
      </c>
      <c r="F38" s="804" t="s">
        <v>105</v>
      </c>
      <c r="G38" s="806"/>
      <c r="H38" s="804" t="s">
        <v>106</v>
      </c>
      <c r="I38" s="806"/>
      <c r="J38" s="141"/>
    </row>
    <row r="39" spans="1:10" ht="17.149999999999999" customHeight="1" x14ac:dyDescent="0.3">
      <c r="A39" s="100"/>
      <c r="B39" s="826"/>
      <c r="C39" s="827"/>
      <c r="D39" s="827"/>
      <c r="E39" s="828"/>
      <c r="F39" s="814" t="s">
        <v>110</v>
      </c>
      <c r="G39" s="816" t="s">
        <v>111</v>
      </c>
      <c r="H39" s="816" t="s">
        <v>112</v>
      </c>
      <c r="I39" s="816" t="s">
        <v>111</v>
      </c>
      <c r="J39" s="141"/>
    </row>
    <row r="40" spans="1:10" ht="17.149999999999999" customHeight="1" thickBot="1" x14ac:dyDescent="0.35">
      <c r="A40" s="101" t="s">
        <v>113</v>
      </c>
      <c r="B40" s="829"/>
      <c r="C40" s="830"/>
      <c r="D40" s="830"/>
      <c r="E40" s="831"/>
      <c r="F40" s="815"/>
      <c r="G40" s="817"/>
      <c r="H40" s="817"/>
      <c r="I40" s="817"/>
      <c r="J40" s="141"/>
    </row>
    <row r="41" spans="1:10" ht="17.149999999999999" customHeight="1" thickBot="1" x14ac:dyDescent="0.35">
      <c r="A41" s="539" t="s">
        <v>135</v>
      </c>
      <c r="B41" s="103">
        <f>B42+B43+B45</f>
        <v>13470.115</v>
      </c>
      <c r="C41" s="104">
        <f>C42+C43+C45</f>
        <v>15798.913</v>
      </c>
      <c r="D41" s="104">
        <f>D42+D43+D45</f>
        <v>113</v>
      </c>
      <c r="E41" s="104">
        <f>E42+E43+E45</f>
        <v>126</v>
      </c>
      <c r="F41" s="104">
        <f t="shared" ref="F41:F48" si="5">B41-C41</f>
        <v>-2328.7980000000007</v>
      </c>
      <c r="G41" s="105">
        <f t="shared" ref="G41:G48" si="6">IF(C41&lt;&gt;0,(B41-C41)/C41)*100</f>
        <v>-14.740241939429636</v>
      </c>
      <c r="H41" s="104">
        <f t="shared" ref="H41:H48" si="7">D41-E41</f>
        <v>-13</v>
      </c>
      <c r="I41" s="105">
        <f t="shared" ref="I41:I48" si="8">IF(E41&lt;&gt;0,(D41-E41)/E41)*100</f>
        <v>-10.317460317460316</v>
      </c>
      <c r="J41" s="141"/>
    </row>
    <row r="42" spans="1:10" ht="17.149999999999999" customHeight="1" x14ac:dyDescent="0.3">
      <c r="A42" s="539" t="s">
        <v>136</v>
      </c>
      <c r="B42" s="542">
        <f>5644075/1000</f>
        <v>5644.0749999999998</v>
      </c>
      <c r="C42" s="542">
        <f>8470958/1000</f>
        <v>8470.9580000000005</v>
      </c>
      <c r="D42" s="543">
        <v>77</v>
      </c>
      <c r="E42" s="543">
        <v>98</v>
      </c>
      <c r="F42" s="605">
        <f t="shared" si="5"/>
        <v>-2826.8830000000007</v>
      </c>
      <c r="G42" s="606">
        <f t="shared" si="6"/>
        <v>-33.371467548298554</v>
      </c>
      <c r="H42" s="605">
        <f t="shared" si="7"/>
        <v>-21</v>
      </c>
      <c r="I42" s="606">
        <f t="shared" si="8"/>
        <v>-21.428571428571427</v>
      </c>
      <c r="J42" s="141"/>
    </row>
    <row r="43" spans="1:10" ht="17.149999999999999" customHeight="1" x14ac:dyDescent="0.3">
      <c r="A43" s="539" t="s">
        <v>116</v>
      </c>
      <c r="B43" s="542">
        <f>7826040/1000</f>
        <v>7826.04</v>
      </c>
      <c r="C43" s="542">
        <f>7327955/1000</f>
        <v>7327.9549999999999</v>
      </c>
      <c r="D43" s="543">
        <v>36</v>
      </c>
      <c r="E43" s="543">
        <v>28</v>
      </c>
      <c r="F43" s="605">
        <f t="shared" si="5"/>
        <v>498.08500000000004</v>
      </c>
      <c r="G43" s="606">
        <f t="shared" si="6"/>
        <v>6.7970532024282351</v>
      </c>
      <c r="H43" s="605">
        <f t="shared" si="7"/>
        <v>8</v>
      </c>
      <c r="I43" s="606">
        <f t="shared" si="8"/>
        <v>28.571428571428569</v>
      </c>
      <c r="J43" s="141"/>
    </row>
    <row r="44" spans="1:10" ht="17.149999999999999" customHeight="1" x14ac:dyDescent="0.3">
      <c r="A44" s="539" t="s">
        <v>137</v>
      </c>
      <c r="B44" s="542">
        <v>0</v>
      </c>
      <c r="C44" s="542">
        <v>0</v>
      </c>
      <c r="D44" s="543">
        <v>0</v>
      </c>
      <c r="E44" s="543">
        <v>0</v>
      </c>
      <c r="F44" s="605">
        <f t="shared" si="5"/>
        <v>0</v>
      </c>
      <c r="G44" s="606">
        <f t="shared" si="6"/>
        <v>0</v>
      </c>
      <c r="H44" s="605">
        <f t="shared" si="7"/>
        <v>0</v>
      </c>
      <c r="I44" s="606">
        <f t="shared" si="8"/>
        <v>0</v>
      </c>
      <c r="J44" s="141"/>
    </row>
    <row r="45" spans="1:10" ht="17.149999999999999" customHeight="1" x14ac:dyDescent="0.3">
      <c r="A45" s="539" t="s">
        <v>143</v>
      </c>
      <c r="B45" s="542">
        <v>0</v>
      </c>
      <c r="C45" s="542">
        <v>0</v>
      </c>
      <c r="D45" s="543">
        <v>0</v>
      </c>
      <c r="E45" s="543">
        <v>0</v>
      </c>
      <c r="F45" s="605">
        <f t="shared" si="5"/>
        <v>0</v>
      </c>
      <c r="G45" s="606">
        <f t="shared" si="6"/>
        <v>0</v>
      </c>
      <c r="H45" s="605">
        <f t="shared" si="7"/>
        <v>0</v>
      </c>
      <c r="I45" s="606">
        <f t="shared" si="8"/>
        <v>0</v>
      </c>
      <c r="J45" s="141"/>
    </row>
    <row r="46" spans="1:10" ht="17.149999999999999" customHeight="1" x14ac:dyDescent="0.3">
      <c r="A46" s="539" t="s">
        <v>139</v>
      </c>
      <c r="B46" s="542">
        <v>0</v>
      </c>
      <c r="C46" s="542">
        <v>0</v>
      </c>
      <c r="D46" s="543">
        <v>0</v>
      </c>
      <c r="E46" s="543">
        <v>0</v>
      </c>
      <c r="F46" s="605">
        <f t="shared" si="5"/>
        <v>0</v>
      </c>
      <c r="G46" s="606">
        <f t="shared" si="6"/>
        <v>0</v>
      </c>
      <c r="H46" s="605">
        <f t="shared" si="7"/>
        <v>0</v>
      </c>
      <c r="I46" s="606">
        <f t="shared" si="8"/>
        <v>0</v>
      </c>
      <c r="J46" s="141"/>
    </row>
    <row r="47" spans="1:10" ht="17.149999999999999" customHeight="1" thickBot="1" x14ac:dyDescent="0.35">
      <c r="A47" s="539" t="s">
        <v>140</v>
      </c>
      <c r="B47" s="542">
        <v>0</v>
      </c>
      <c r="C47" s="542">
        <v>0</v>
      </c>
      <c r="D47" s="543">
        <v>0</v>
      </c>
      <c r="E47" s="543">
        <v>0</v>
      </c>
      <c r="F47" s="605">
        <f t="shared" si="5"/>
        <v>0</v>
      </c>
      <c r="G47" s="606">
        <f t="shared" si="6"/>
        <v>0</v>
      </c>
      <c r="H47" s="605">
        <f t="shared" si="7"/>
        <v>0</v>
      </c>
      <c r="I47" s="606">
        <f t="shared" si="8"/>
        <v>0</v>
      </c>
      <c r="J47" s="141"/>
    </row>
    <row r="48" spans="1:10" ht="17.149999999999999" customHeight="1" thickBot="1" x14ac:dyDescent="0.35">
      <c r="A48" s="106" t="s">
        <v>123</v>
      </c>
      <c r="B48" s="91">
        <f>B41+B46+B47</f>
        <v>13470.115</v>
      </c>
      <c r="C48" s="91">
        <f>C41+C46+C47</f>
        <v>15798.913</v>
      </c>
      <c r="D48" s="91">
        <f>D41+D46+D47</f>
        <v>113</v>
      </c>
      <c r="E48" s="91">
        <f>E41+E46+E47</f>
        <v>126</v>
      </c>
      <c r="F48" s="91">
        <f t="shared" si="5"/>
        <v>-2328.7980000000007</v>
      </c>
      <c r="G48" s="92">
        <f t="shared" si="6"/>
        <v>-14.740241939429636</v>
      </c>
      <c r="H48" s="91">
        <f t="shared" si="7"/>
        <v>-13</v>
      </c>
      <c r="I48" s="92">
        <f t="shared" si="8"/>
        <v>-10.317460317460316</v>
      </c>
      <c r="J48" s="141"/>
    </row>
    <row r="49" spans="1:10" ht="17.149999999999999" customHeight="1" thickBot="1" x14ac:dyDescent="0.35">
      <c r="A49" s="101" t="s">
        <v>124</v>
      </c>
      <c r="B49" s="114"/>
      <c r="C49" s="115"/>
      <c r="D49" s="115"/>
      <c r="E49" s="115"/>
      <c r="F49" s="116"/>
      <c r="G49" s="117"/>
      <c r="H49" s="116"/>
      <c r="I49" s="124"/>
      <c r="J49" s="141"/>
    </row>
    <row r="50" spans="1:10" ht="17.149999999999999" customHeight="1" thickBot="1" x14ac:dyDescent="0.35">
      <c r="A50" s="539" t="s">
        <v>125</v>
      </c>
      <c r="B50" s="103">
        <f>SUM(B51:B54)</f>
        <v>2167039.2949999999</v>
      </c>
      <c r="C50" s="104">
        <f>SUM(C51:C54)</f>
        <v>1853541.7419999999</v>
      </c>
      <c r="D50" s="104">
        <f>SUM(D51:D54)</f>
        <v>35627</v>
      </c>
      <c r="E50" s="104">
        <f>SUM(E51:E54)</f>
        <v>33689</v>
      </c>
      <c r="F50" s="104">
        <f t="shared" ref="F50:F55" si="9">B50-C50</f>
        <v>313497.55300000007</v>
      </c>
      <c r="G50" s="105">
        <f t="shared" ref="G50:G55" si="10">IF(C50&lt;&gt;0,(B50-C50)/C50)*100</f>
        <v>16.913433665741533</v>
      </c>
      <c r="H50" s="104">
        <f t="shared" ref="H50:H55" si="11">D50-E50</f>
        <v>1938</v>
      </c>
      <c r="I50" s="105">
        <f t="shared" ref="I50:I55" si="12">IF(E50&lt;&gt;0,(D50-E50)/E50)*100</f>
        <v>5.7526195494078181</v>
      </c>
      <c r="J50" s="141"/>
    </row>
    <row r="51" spans="1:10" ht="17.149999999999999" customHeight="1" x14ac:dyDescent="0.3">
      <c r="A51" s="119" t="s">
        <v>126</v>
      </c>
      <c r="B51" s="542">
        <f>1803496678/1000</f>
        <v>1803496.6780000001</v>
      </c>
      <c r="C51" s="542">
        <f>1460531500/1000</f>
        <v>1460531.5</v>
      </c>
      <c r="D51" s="542">
        <v>26069</v>
      </c>
      <c r="E51" s="542">
        <v>22296</v>
      </c>
      <c r="F51" s="605">
        <f t="shared" si="9"/>
        <v>342965.17800000007</v>
      </c>
      <c r="G51" s="606">
        <f t="shared" si="10"/>
        <v>23.482217124382466</v>
      </c>
      <c r="H51" s="605">
        <f t="shared" si="11"/>
        <v>3773</v>
      </c>
      <c r="I51" s="606">
        <f t="shared" si="12"/>
        <v>16.92231790455687</v>
      </c>
      <c r="J51" s="141"/>
    </row>
    <row r="52" spans="1:10" ht="17.149999999999999" customHeight="1" x14ac:dyDescent="0.3">
      <c r="A52" s="119" t="s">
        <v>127</v>
      </c>
      <c r="B52" s="542">
        <f>64761531/1000</f>
        <v>64761.531000000003</v>
      </c>
      <c r="C52" s="542">
        <f>49488302/1000</f>
        <v>49488.302000000003</v>
      </c>
      <c r="D52" s="542">
        <v>1656</v>
      </c>
      <c r="E52" s="542">
        <v>1434</v>
      </c>
      <c r="F52" s="605">
        <f t="shared" si="9"/>
        <v>15273.228999999999</v>
      </c>
      <c r="G52" s="606">
        <f t="shared" si="10"/>
        <v>30.862301559669593</v>
      </c>
      <c r="H52" s="605">
        <f t="shared" si="11"/>
        <v>222</v>
      </c>
      <c r="I52" s="606">
        <f t="shared" si="12"/>
        <v>15.481171548117153</v>
      </c>
      <c r="J52" s="141"/>
    </row>
    <row r="53" spans="1:10" ht="17.149999999999999" customHeight="1" x14ac:dyDescent="0.3">
      <c r="A53" s="120" t="s">
        <v>141</v>
      </c>
      <c r="B53" s="542">
        <f>149469037/1000</f>
        <v>149469.03700000001</v>
      </c>
      <c r="C53" s="542">
        <f>198265920/1000</f>
        <v>198265.92</v>
      </c>
      <c r="D53" s="542">
        <v>5743</v>
      </c>
      <c r="E53" s="542">
        <v>7460</v>
      </c>
      <c r="F53" s="605">
        <f t="shared" si="9"/>
        <v>-48796.883000000002</v>
      </c>
      <c r="G53" s="606">
        <f t="shared" si="10"/>
        <v>-24.611835962529515</v>
      </c>
      <c r="H53" s="605">
        <f t="shared" si="11"/>
        <v>-1717</v>
      </c>
      <c r="I53" s="606">
        <f t="shared" si="12"/>
        <v>-23.01608579088472</v>
      </c>
      <c r="J53" s="141"/>
    </row>
    <row r="54" spans="1:10" ht="17.149999999999999" customHeight="1" x14ac:dyDescent="0.3">
      <c r="A54" s="119" t="s">
        <v>129</v>
      </c>
      <c r="B54" s="542">
        <f>149312049/1000</f>
        <v>149312.049</v>
      </c>
      <c r="C54" s="542">
        <f>145256020/1000</f>
        <v>145256.01999999999</v>
      </c>
      <c r="D54" s="542">
        <v>2159</v>
      </c>
      <c r="E54" s="542">
        <v>2499</v>
      </c>
      <c r="F54" s="605">
        <f t="shared" si="9"/>
        <v>4056.0290000000095</v>
      </c>
      <c r="G54" s="606">
        <f t="shared" si="10"/>
        <v>2.7923310854861714</v>
      </c>
      <c r="H54" s="605">
        <f t="shared" si="11"/>
        <v>-340</v>
      </c>
      <c r="I54" s="606">
        <f t="shared" si="12"/>
        <v>-13.605442176870749</v>
      </c>
      <c r="J54" s="141"/>
    </row>
    <row r="55" spans="1:10" ht="17.149999999999999" customHeight="1" x14ac:dyDescent="0.3">
      <c r="A55" s="539" t="s">
        <v>130</v>
      </c>
      <c r="B55" s="542">
        <v>0</v>
      </c>
      <c r="C55" s="542">
        <v>0</v>
      </c>
      <c r="D55" s="542">
        <v>0</v>
      </c>
      <c r="E55" s="542">
        <v>0</v>
      </c>
      <c r="F55" s="605">
        <f t="shared" si="9"/>
        <v>0</v>
      </c>
      <c r="G55" s="606">
        <f t="shared" si="10"/>
        <v>0</v>
      </c>
      <c r="H55" s="605">
        <f t="shared" si="11"/>
        <v>0</v>
      </c>
      <c r="I55" s="606">
        <f t="shared" si="12"/>
        <v>0</v>
      </c>
      <c r="J55" s="141"/>
    </row>
    <row r="56" spans="1:10" ht="17.149999999999999" customHeight="1" x14ac:dyDescent="0.3">
      <c r="A56" s="539"/>
      <c r="B56" s="610"/>
      <c r="C56" s="610"/>
      <c r="D56" s="610"/>
      <c r="E56" s="610"/>
      <c r="F56" s="544"/>
      <c r="G56" s="545"/>
      <c r="H56" s="544"/>
      <c r="I56" s="545"/>
      <c r="J56" s="141"/>
    </row>
    <row r="57" spans="1:10" ht="17.149999999999999" customHeight="1" x14ac:dyDescent="0.3">
      <c r="A57" s="539"/>
      <c r="B57" s="610"/>
      <c r="C57" s="610"/>
      <c r="D57" s="610"/>
      <c r="E57" s="610"/>
      <c r="F57" s="544"/>
      <c r="G57" s="545"/>
      <c r="H57" s="544"/>
      <c r="I57" s="545"/>
      <c r="J57" s="141"/>
    </row>
    <row r="58" spans="1:10" ht="17.149999999999999" customHeight="1" thickBot="1" x14ac:dyDescent="0.35">
      <c r="A58" s="539"/>
      <c r="B58" s="636"/>
      <c r="C58" s="636"/>
      <c r="D58" s="637"/>
      <c r="E58" s="637"/>
      <c r="F58" s="638"/>
      <c r="G58" s="639"/>
      <c r="H58" s="640"/>
      <c r="I58" s="641"/>
      <c r="J58" s="141"/>
    </row>
    <row r="59" spans="1:10" ht="17.149999999999999" customHeight="1" thickBot="1" x14ac:dyDescent="0.35">
      <c r="A59" s="106" t="s">
        <v>131</v>
      </c>
      <c r="B59" s="103">
        <f>B50+B55</f>
        <v>2167039.2949999999</v>
      </c>
      <c r="C59" s="104">
        <f>C50+C55</f>
        <v>1853541.7419999999</v>
      </c>
      <c r="D59" s="104">
        <f>D50+D55</f>
        <v>35627</v>
      </c>
      <c r="E59" s="104">
        <f>E50+E55</f>
        <v>33689</v>
      </c>
      <c r="F59" s="623">
        <f>B59-C59</f>
        <v>313497.55300000007</v>
      </c>
      <c r="G59" s="625">
        <f>IF(C59&lt;&gt;0,(B59-C59)/C59)*100</f>
        <v>16.913433665741533</v>
      </c>
      <c r="H59" s="623">
        <f>D59-E59</f>
        <v>1938</v>
      </c>
      <c r="I59" s="625">
        <f>IF(E59&lt;&gt;0,(D59-E59)/E59)*100</f>
        <v>5.7526195494078181</v>
      </c>
      <c r="J59" s="141"/>
    </row>
    <row r="60" spans="1:10" ht="17.149999999999999" customHeight="1" thickBot="1" x14ac:dyDescent="0.35">
      <c r="A60" s="539"/>
      <c r="B60" s="121"/>
      <c r="C60" s="122"/>
      <c r="D60" s="122"/>
      <c r="E60" s="122"/>
      <c r="F60" s="123"/>
      <c r="G60" s="124"/>
      <c r="H60" s="123"/>
      <c r="I60" s="125"/>
      <c r="J60" s="141"/>
    </row>
    <row r="61" spans="1:10" ht="17.149999999999999" customHeight="1" thickBot="1" x14ac:dyDescent="0.35">
      <c r="A61" s="106" t="s">
        <v>132</v>
      </c>
      <c r="B61" s="103">
        <f>B48+B59</f>
        <v>2180509.41</v>
      </c>
      <c r="C61" s="104">
        <f>C48+C59</f>
        <v>1869340.6549999998</v>
      </c>
      <c r="D61" s="104">
        <f>D48+D59</f>
        <v>35740</v>
      </c>
      <c r="E61" s="104">
        <f>E48+E59</f>
        <v>33815</v>
      </c>
      <c r="F61" s="104">
        <f>B61-C61</f>
        <v>311168.75500000035</v>
      </c>
      <c r="G61" s="105">
        <f>IF(C61&lt;&gt;0,(B61-C61)/C61)*100</f>
        <v>16.645909570719759</v>
      </c>
      <c r="H61" s="104">
        <f>D61-E61</f>
        <v>1925</v>
      </c>
      <c r="I61" s="105">
        <f>IF(E61&lt;&gt;0,(D61-E61)/E61)*100</f>
        <v>5.6927399083247083</v>
      </c>
      <c r="J61" s="141"/>
    </row>
    <row r="62" spans="1:10" ht="17.149999999999999" customHeight="1" x14ac:dyDescent="0.3">
      <c r="A62" s="94"/>
      <c r="B62" s="94"/>
      <c r="C62" s="94"/>
      <c r="D62" s="94"/>
      <c r="E62" s="94"/>
      <c r="F62" s="95"/>
      <c r="G62" s="95"/>
      <c r="H62" s="95"/>
      <c r="I62" s="95"/>
      <c r="J62" s="141"/>
    </row>
    <row r="63" spans="1:10" ht="17.149999999999999" customHeight="1" x14ac:dyDescent="0.3">
      <c r="A63" s="126"/>
      <c r="B63" s="127"/>
      <c r="C63" s="126"/>
      <c r="D63" s="126"/>
      <c r="E63" s="126"/>
      <c r="F63" s="538"/>
      <c r="G63" s="538"/>
      <c r="H63" s="538"/>
      <c r="I63" s="538"/>
      <c r="J63" s="141"/>
    </row>
    <row r="64" spans="1:10" ht="17.149999999999999" customHeight="1" thickBot="1" x14ac:dyDescent="0.35">
      <c r="A64" s="404" t="s">
        <v>142</v>
      </c>
      <c r="B64" s="813"/>
      <c r="C64" s="813"/>
      <c r="D64" s="129"/>
      <c r="E64" s="129"/>
      <c r="F64" s="538"/>
      <c r="G64" s="538"/>
      <c r="H64" s="538"/>
      <c r="I64" s="538"/>
      <c r="J64" s="141"/>
    </row>
    <row r="65" spans="1:10" ht="17.149999999999999" customHeight="1" thickBot="1" x14ac:dyDescent="0.35">
      <c r="A65" s="824" t="s">
        <v>134</v>
      </c>
      <c r="B65" s="820" t="s">
        <v>105</v>
      </c>
      <c r="C65" s="821"/>
      <c r="D65" s="820" t="s">
        <v>106</v>
      </c>
      <c r="E65" s="821"/>
      <c r="F65" s="804" t="s">
        <v>107</v>
      </c>
      <c r="G65" s="805"/>
      <c r="H65" s="805"/>
      <c r="I65" s="806"/>
      <c r="J65" s="141"/>
    </row>
    <row r="66" spans="1:10" ht="17.149999999999999" customHeight="1" thickBot="1" x14ac:dyDescent="0.35">
      <c r="A66" s="825"/>
      <c r="B66" s="324" t="s">
        <v>147</v>
      </c>
      <c r="C66" s="324" t="s">
        <v>148</v>
      </c>
      <c r="D66" s="324" t="s">
        <v>147</v>
      </c>
      <c r="E66" s="324" t="s">
        <v>148</v>
      </c>
      <c r="F66" s="804" t="s">
        <v>105</v>
      </c>
      <c r="G66" s="806"/>
      <c r="H66" s="804" t="s">
        <v>106</v>
      </c>
      <c r="I66" s="806"/>
      <c r="J66" s="141"/>
    </row>
    <row r="67" spans="1:10" ht="17.149999999999999" customHeight="1" x14ac:dyDescent="0.3">
      <c r="A67" s="130"/>
      <c r="B67" s="807"/>
      <c r="C67" s="808"/>
      <c r="D67" s="808"/>
      <c r="E67" s="809"/>
      <c r="F67" s="814" t="s">
        <v>110</v>
      </c>
      <c r="G67" s="816" t="s">
        <v>111</v>
      </c>
      <c r="H67" s="816" t="s">
        <v>112</v>
      </c>
      <c r="I67" s="816" t="s">
        <v>111</v>
      </c>
      <c r="J67" s="141"/>
    </row>
    <row r="68" spans="1:10" ht="17.149999999999999" customHeight="1" thickBot="1" x14ac:dyDescent="0.35">
      <c r="A68" s="131" t="s">
        <v>113</v>
      </c>
      <c r="B68" s="810"/>
      <c r="C68" s="811"/>
      <c r="D68" s="811"/>
      <c r="E68" s="812"/>
      <c r="F68" s="815"/>
      <c r="G68" s="817"/>
      <c r="H68" s="817"/>
      <c r="I68" s="817"/>
      <c r="J68" s="141"/>
    </row>
    <row r="69" spans="1:10" ht="17.149999999999999" customHeight="1" thickBot="1" x14ac:dyDescent="0.35">
      <c r="A69" s="540" t="s">
        <v>135</v>
      </c>
      <c r="B69" s="133">
        <f>B70+B71+B72</f>
        <v>20387.153999999999</v>
      </c>
      <c r="C69" s="91">
        <f>C70+C71+C72</f>
        <v>20341.756000000001</v>
      </c>
      <c r="D69" s="91">
        <f>D70+D71+D72</f>
        <v>269</v>
      </c>
      <c r="E69" s="91">
        <f>E70+E71+E72</f>
        <v>505</v>
      </c>
      <c r="F69" s="91">
        <f t="shared" ref="F69:F75" si="13">B69-C69</f>
        <v>45.39799999999741</v>
      </c>
      <c r="G69" s="92">
        <f t="shared" ref="G69:G75" si="14">IF(C69&lt;&gt;0,(B69-C69)/C69)*100</f>
        <v>0.22317640620601981</v>
      </c>
      <c r="H69" s="91">
        <f t="shared" ref="H69:H75" si="15">D69-E69</f>
        <v>-236</v>
      </c>
      <c r="I69" s="92">
        <f t="shared" ref="I69:I75" si="16">IF(E69&lt;&gt;0,(D69-E69)/E69)*100</f>
        <v>-46.732673267326739</v>
      </c>
      <c r="J69" s="141"/>
    </row>
    <row r="70" spans="1:10" ht="17.149999999999999" customHeight="1" x14ac:dyDescent="0.3">
      <c r="A70" s="540" t="s">
        <v>136</v>
      </c>
      <c r="B70" s="542">
        <f t="shared" ref="B70:E71" si="17">B42+B98</f>
        <v>12225.191999999999</v>
      </c>
      <c r="C70" s="542">
        <f t="shared" si="17"/>
        <v>13013.800999999999</v>
      </c>
      <c r="D70" s="542">
        <f t="shared" si="17"/>
        <v>232</v>
      </c>
      <c r="E70" s="542">
        <f t="shared" si="17"/>
        <v>477</v>
      </c>
      <c r="F70" s="605">
        <f t="shared" si="13"/>
        <v>-788.60900000000038</v>
      </c>
      <c r="G70" s="606">
        <f t="shared" si="14"/>
        <v>-6.059789910726316</v>
      </c>
      <c r="H70" s="605">
        <f t="shared" si="15"/>
        <v>-245</v>
      </c>
      <c r="I70" s="606">
        <f t="shared" si="16"/>
        <v>-51.36268343815513</v>
      </c>
      <c r="J70" s="141"/>
    </row>
    <row r="71" spans="1:10" ht="17.149999999999999" customHeight="1" x14ac:dyDescent="0.3">
      <c r="A71" s="540" t="s">
        <v>116</v>
      </c>
      <c r="B71" s="542">
        <f t="shared" si="17"/>
        <v>8161.9619999999995</v>
      </c>
      <c r="C71" s="542">
        <f t="shared" si="17"/>
        <v>7327.9549999999999</v>
      </c>
      <c r="D71" s="542">
        <f t="shared" si="17"/>
        <v>37</v>
      </c>
      <c r="E71" s="542">
        <f t="shared" si="17"/>
        <v>28</v>
      </c>
      <c r="F71" s="605">
        <f t="shared" si="13"/>
        <v>834.00699999999961</v>
      </c>
      <c r="G71" s="606">
        <f t="shared" si="14"/>
        <v>11.381169780655034</v>
      </c>
      <c r="H71" s="605">
        <f t="shared" si="15"/>
        <v>9</v>
      </c>
      <c r="I71" s="606">
        <f t="shared" si="16"/>
        <v>32.142857142857146</v>
      </c>
      <c r="J71" s="141"/>
    </row>
    <row r="72" spans="1:10" ht="17.149999999999999" customHeight="1" x14ac:dyDescent="0.3">
      <c r="A72" s="540" t="s">
        <v>143</v>
      </c>
      <c r="B72" s="542">
        <f>B45+B100</f>
        <v>0</v>
      </c>
      <c r="C72" s="542">
        <f t="shared" ref="C72:E74" si="18">C45+C100</f>
        <v>0</v>
      </c>
      <c r="D72" s="542">
        <f t="shared" si="18"/>
        <v>0</v>
      </c>
      <c r="E72" s="542">
        <f t="shared" si="18"/>
        <v>0</v>
      </c>
      <c r="F72" s="605">
        <f t="shared" si="13"/>
        <v>0</v>
      </c>
      <c r="G72" s="606">
        <f t="shared" si="14"/>
        <v>0</v>
      </c>
      <c r="H72" s="605">
        <f t="shared" si="15"/>
        <v>0</v>
      </c>
      <c r="I72" s="606">
        <f t="shared" si="16"/>
        <v>0</v>
      </c>
      <c r="J72" s="141"/>
    </row>
    <row r="73" spans="1:10" ht="17.149999999999999" customHeight="1" x14ac:dyDescent="0.3">
      <c r="A73" s="540" t="s">
        <v>139</v>
      </c>
      <c r="B73" s="542">
        <f>B46+B101</f>
        <v>0</v>
      </c>
      <c r="C73" s="542">
        <f t="shared" si="18"/>
        <v>0</v>
      </c>
      <c r="D73" s="542">
        <f t="shared" si="18"/>
        <v>0</v>
      </c>
      <c r="E73" s="542">
        <f t="shared" si="18"/>
        <v>0</v>
      </c>
      <c r="F73" s="605">
        <f t="shared" si="13"/>
        <v>0</v>
      </c>
      <c r="G73" s="606">
        <f t="shared" si="14"/>
        <v>0</v>
      </c>
      <c r="H73" s="605">
        <f t="shared" si="15"/>
        <v>0</v>
      </c>
      <c r="I73" s="606">
        <f t="shared" si="16"/>
        <v>0</v>
      </c>
      <c r="J73" s="141"/>
    </row>
    <row r="74" spans="1:10" ht="17.149999999999999" customHeight="1" thickBot="1" x14ac:dyDescent="0.35">
      <c r="A74" s="540" t="s">
        <v>140</v>
      </c>
      <c r="B74" s="542">
        <f>B47+B102</f>
        <v>0</v>
      </c>
      <c r="C74" s="542">
        <f t="shared" si="18"/>
        <v>0</v>
      </c>
      <c r="D74" s="542">
        <f t="shared" si="18"/>
        <v>0</v>
      </c>
      <c r="E74" s="542">
        <f t="shared" si="18"/>
        <v>0</v>
      </c>
      <c r="F74" s="605">
        <f t="shared" si="13"/>
        <v>0</v>
      </c>
      <c r="G74" s="606">
        <f t="shared" si="14"/>
        <v>0</v>
      </c>
      <c r="H74" s="605">
        <f t="shared" si="15"/>
        <v>0</v>
      </c>
      <c r="I74" s="606">
        <f t="shared" si="16"/>
        <v>0</v>
      </c>
      <c r="J74" s="141"/>
    </row>
    <row r="75" spans="1:10" ht="17.149999999999999" customHeight="1" thickBot="1" x14ac:dyDescent="0.35">
      <c r="A75" s="134" t="s">
        <v>123</v>
      </c>
      <c r="B75" s="135">
        <f>B69+B73+B74</f>
        <v>20387.153999999999</v>
      </c>
      <c r="C75" s="90">
        <f>C69+C73+C74</f>
        <v>20341.756000000001</v>
      </c>
      <c r="D75" s="90">
        <f>D69+D73+D74</f>
        <v>269</v>
      </c>
      <c r="E75" s="91">
        <f>E69+E73+E74</f>
        <v>505</v>
      </c>
      <c r="F75" s="82">
        <f t="shared" si="13"/>
        <v>45.39799999999741</v>
      </c>
      <c r="G75" s="83">
        <f t="shared" si="14"/>
        <v>0.22317640620601981</v>
      </c>
      <c r="H75" s="82">
        <f t="shared" si="15"/>
        <v>-236</v>
      </c>
      <c r="I75" s="83">
        <f t="shared" si="16"/>
        <v>-46.732673267326739</v>
      </c>
      <c r="J75" s="141"/>
    </row>
    <row r="76" spans="1:10" ht="17.149999999999999" customHeight="1" x14ac:dyDescent="0.3">
      <c r="A76" s="136"/>
      <c r="B76" s="107"/>
      <c r="C76" s="108"/>
      <c r="D76" s="108"/>
      <c r="E76" s="108"/>
      <c r="F76" s="110"/>
      <c r="G76" s="110"/>
      <c r="H76" s="110"/>
      <c r="I76" s="137"/>
      <c r="J76" s="141"/>
    </row>
    <row r="77" spans="1:10" ht="17.149999999999999" customHeight="1" thickBot="1" x14ac:dyDescent="0.35">
      <c r="A77" s="131" t="s">
        <v>124</v>
      </c>
      <c r="B77" s="114"/>
      <c r="C77" s="115"/>
      <c r="D77" s="115"/>
      <c r="E77" s="115"/>
      <c r="F77" s="116"/>
      <c r="G77" s="116"/>
      <c r="H77" s="116"/>
      <c r="I77" s="138"/>
      <c r="J77" s="141"/>
    </row>
    <row r="78" spans="1:10" ht="17.149999999999999" customHeight="1" thickBot="1" x14ac:dyDescent="0.35">
      <c r="A78" s="540" t="s">
        <v>125</v>
      </c>
      <c r="B78" s="133">
        <f>SUM(B79:B82)</f>
        <v>2606188.1220000004</v>
      </c>
      <c r="C78" s="91">
        <f>SUM(C79:C82)</f>
        <v>2269537.5160000003</v>
      </c>
      <c r="D78" s="91">
        <f>SUM(D79:D82)</f>
        <v>53911</v>
      </c>
      <c r="E78" s="91">
        <f>SUM(E79:E82)</f>
        <v>54174</v>
      </c>
      <c r="F78" s="91">
        <f t="shared" ref="F78:F83" si="19">B78-C78</f>
        <v>336650.60600000015</v>
      </c>
      <c r="G78" s="92">
        <f t="shared" ref="G78:G83" si="20">IF(C78&lt;&gt;0,(B78-C78)/C78)*100</f>
        <v>14.833445300051171</v>
      </c>
      <c r="H78" s="91">
        <f t="shared" ref="H78:H83" si="21">D78-E78</f>
        <v>-263</v>
      </c>
      <c r="I78" s="92">
        <f t="shared" ref="I78:I83" si="22">IF(E78&lt;&gt;0,(D78-E78)/E78)*100</f>
        <v>-0.48547273599881863</v>
      </c>
      <c r="J78" s="141"/>
    </row>
    <row r="79" spans="1:10" ht="17.149999999999999" customHeight="1" x14ac:dyDescent="0.3">
      <c r="A79" s="119" t="s">
        <v>126</v>
      </c>
      <c r="B79" s="542">
        <f t="shared" ref="B79:E83" si="23">B51+B107</f>
        <v>1882545.7590000001</v>
      </c>
      <c r="C79" s="542">
        <f t="shared" si="23"/>
        <v>1544585.6580000001</v>
      </c>
      <c r="D79" s="542">
        <f t="shared" si="23"/>
        <v>30454</v>
      </c>
      <c r="E79" s="542">
        <f t="shared" si="23"/>
        <v>27299</v>
      </c>
      <c r="F79" s="605">
        <f t="shared" si="19"/>
        <v>337960.10100000002</v>
      </c>
      <c r="G79" s="606">
        <f t="shared" si="20"/>
        <v>21.88030811043566</v>
      </c>
      <c r="H79" s="605">
        <f t="shared" si="21"/>
        <v>3155</v>
      </c>
      <c r="I79" s="606">
        <f t="shared" si="22"/>
        <v>11.557199897432142</v>
      </c>
      <c r="J79" s="141"/>
    </row>
    <row r="80" spans="1:10" ht="17.149999999999999" customHeight="1" x14ac:dyDescent="0.3">
      <c r="A80" s="119" t="s">
        <v>144</v>
      </c>
      <c r="B80" s="610">
        <f t="shared" si="23"/>
        <v>69667.558000000005</v>
      </c>
      <c r="C80" s="610">
        <f t="shared" si="23"/>
        <v>51632.614000000001</v>
      </c>
      <c r="D80" s="610">
        <f t="shared" si="23"/>
        <v>2233</v>
      </c>
      <c r="E80" s="610">
        <f t="shared" si="23"/>
        <v>1997</v>
      </c>
      <c r="F80" s="605">
        <f t="shared" si="19"/>
        <v>18034.944000000003</v>
      </c>
      <c r="G80" s="606">
        <f t="shared" si="20"/>
        <v>34.92936460664184</v>
      </c>
      <c r="H80" s="605">
        <f t="shared" si="21"/>
        <v>236</v>
      </c>
      <c r="I80" s="606">
        <f t="shared" si="22"/>
        <v>11.817726589884828</v>
      </c>
      <c r="J80" s="141"/>
    </row>
    <row r="81" spans="1:10" ht="17.149999999999999" customHeight="1" x14ac:dyDescent="0.3">
      <c r="A81" s="120" t="s">
        <v>141</v>
      </c>
      <c r="B81" s="542">
        <f t="shared" si="23"/>
        <v>220560.43700000001</v>
      </c>
      <c r="C81" s="542">
        <f t="shared" si="23"/>
        <v>273410.435</v>
      </c>
      <c r="D81" s="542">
        <f t="shared" si="23"/>
        <v>13370</v>
      </c>
      <c r="E81" s="542">
        <f t="shared" si="23"/>
        <v>16925</v>
      </c>
      <c r="F81" s="605">
        <f t="shared" si="19"/>
        <v>-52849.997999999992</v>
      </c>
      <c r="G81" s="606">
        <f t="shared" si="20"/>
        <v>-19.329912554361723</v>
      </c>
      <c r="H81" s="605">
        <f t="shared" si="21"/>
        <v>-3555</v>
      </c>
      <c r="I81" s="606">
        <f t="shared" si="22"/>
        <v>-21.004431314623336</v>
      </c>
      <c r="J81" s="141"/>
    </row>
    <row r="82" spans="1:10" ht="17.149999999999999" customHeight="1" x14ac:dyDescent="0.3">
      <c r="A82" s="119" t="s">
        <v>129</v>
      </c>
      <c r="B82" s="542">
        <f t="shared" si="23"/>
        <v>433414.36800000002</v>
      </c>
      <c r="C82" s="542">
        <f t="shared" si="23"/>
        <v>399908.80900000001</v>
      </c>
      <c r="D82" s="542">
        <f t="shared" si="23"/>
        <v>7854</v>
      </c>
      <c r="E82" s="542">
        <f t="shared" si="23"/>
        <v>7953</v>
      </c>
      <c r="F82" s="605">
        <f t="shared" si="19"/>
        <v>33505.559000000008</v>
      </c>
      <c r="G82" s="606">
        <f t="shared" si="20"/>
        <v>8.378299813845814</v>
      </c>
      <c r="H82" s="605">
        <f t="shared" si="21"/>
        <v>-99</v>
      </c>
      <c r="I82" s="606">
        <f t="shared" si="22"/>
        <v>-1.2448132780082988</v>
      </c>
      <c r="J82" s="141"/>
    </row>
    <row r="83" spans="1:10" ht="17.149999999999999" customHeight="1" x14ac:dyDescent="0.3">
      <c r="A83" s="540" t="s">
        <v>130</v>
      </c>
      <c r="B83" s="542">
        <f t="shared" si="23"/>
        <v>68.412999999999997</v>
      </c>
      <c r="C83" s="542">
        <f t="shared" si="23"/>
        <v>67.744</v>
      </c>
      <c r="D83" s="542">
        <f t="shared" si="23"/>
        <v>10</v>
      </c>
      <c r="E83" s="542">
        <f t="shared" si="23"/>
        <v>8</v>
      </c>
      <c r="F83" s="605">
        <f t="shared" si="19"/>
        <v>0.66899999999999693</v>
      </c>
      <c r="G83" s="606">
        <f t="shared" si="20"/>
        <v>0.98754133207368466</v>
      </c>
      <c r="H83" s="605">
        <f t="shared" si="21"/>
        <v>2</v>
      </c>
      <c r="I83" s="606">
        <f t="shared" si="22"/>
        <v>25</v>
      </c>
      <c r="J83" s="141"/>
    </row>
    <row r="84" spans="1:10" ht="17.149999999999999" customHeight="1" x14ac:dyDescent="0.3">
      <c r="A84" s="540"/>
      <c r="B84" s="542"/>
      <c r="C84" s="542"/>
      <c r="D84" s="542"/>
      <c r="E84" s="542"/>
      <c r="F84" s="544"/>
      <c r="G84" s="545"/>
      <c r="H84" s="544"/>
      <c r="I84" s="545"/>
      <c r="J84" s="141"/>
    </row>
    <row r="85" spans="1:10" ht="17.149999999999999" customHeight="1" x14ac:dyDescent="0.3">
      <c r="A85" s="540"/>
      <c r="B85" s="542"/>
      <c r="C85" s="542"/>
      <c r="D85" s="542"/>
      <c r="E85" s="542"/>
      <c r="F85" s="544"/>
      <c r="G85" s="545"/>
      <c r="H85" s="544"/>
      <c r="I85" s="545"/>
      <c r="J85" s="141"/>
    </row>
    <row r="86" spans="1:10" ht="17.149999999999999" customHeight="1" thickBot="1" x14ac:dyDescent="0.35">
      <c r="A86" s="540"/>
      <c r="B86" s="642"/>
      <c r="C86" s="636"/>
      <c r="D86" s="637"/>
      <c r="E86" s="637"/>
      <c r="F86" s="638"/>
      <c r="G86" s="639"/>
      <c r="H86" s="640"/>
      <c r="I86" s="641"/>
      <c r="J86" s="141"/>
    </row>
    <row r="87" spans="1:10" ht="17.149999999999999" customHeight="1" thickBot="1" x14ac:dyDescent="0.35">
      <c r="A87" s="134" t="s">
        <v>131</v>
      </c>
      <c r="B87" s="103">
        <f>B78+B83</f>
        <v>2606256.5350000006</v>
      </c>
      <c r="C87" s="104">
        <f>C78+C83</f>
        <v>2269605.2600000002</v>
      </c>
      <c r="D87" s="104">
        <f>D78+D83</f>
        <v>53921</v>
      </c>
      <c r="E87" s="104">
        <f>E78+E83</f>
        <v>54182</v>
      </c>
      <c r="F87" s="623">
        <f>B87-C87</f>
        <v>336651.27500000037</v>
      </c>
      <c r="G87" s="625">
        <f>IF(C87&lt;&gt;0,(B87-C87)/C87)*100</f>
        <v>14.833032022493652</v>
      </c>
      <c r="H87" s="623">
        <f>D87-E87</f>
        <v>-261</v>
      </c>
      <c r="I87" s="625">
        <f>IF(E87&lt;&gt;0,(D87-E87)/E87)*100</f>
        <v>-0.48170979292015798</v>
      </c>
      <c r="J87" s="141"/>
    </row>
    <row r="88" spans="1:10" ht="17.149999999999999" customHeight="1" thickBot="1" x14ac:dyDescent="0.35">
      <c r="A88" s="540"/>
      <c r="B88" s="121"/>
      <c r="C88" s="122"/>
      <c r="D88" s="122"/>
      <c r="E88" s="122"/>
      <c r="F88" s="123"/>
      <c r="G88" s="124"/>
      <c r="H88" s="123"/>
      <c r="I88" s="125"/>
      <c r="J88" s="141"/>
    </row>
    <row r="89" spans="1:10" ht="17.149999999999999" customHeight="1" thickBot="1" x14ac:dyDescent="0.35">
      <c r="A89" s="134" t="s">
        <v>132</v>
      </c>
      <c r="B89" s="139">
        <f>B75+B87</f>
        <v>2626643.6890000007</v>
      </c>
      <c r="C89" s="140">
        <f>C75+C87</f>
        <v>2289947.0160000003</v>
      </c>
      <c r="D89" s="140">
        <f>D75+D87</f>
        <v>54190</v>
      </c>
      <c r="E89" s="140">
        <f>E75+E87</f>
        <v>54687</v>
      </c>
      <c r="F89" s="104">
        <f>B89-C89</f>
        <v>336696.67300000042</v>
      </c>
      <c r="G89" s="105">
        <f>IF(C89&lt;&gt;0,(B89-C89)/C89)*100</f>
        <v>14.703251675583761</v>
      </c>
      <c r="H89" s="104">
        <f>D89-E89</f>
        <v>-497</v>
      </c>
      <c r="I89" s="105">
        <f>IF(E89&lt;&gt;0,(D89-E89)/E89)*100</f>
        <v>-0.90880830910454047</v>
      </c>
      <c r="J89" s="141"/>
    </row>
    <row r="90" spans="1:10" ht="17.149999999999999" customHeight="1" x14ac:dyDescent="0.3">
      <c r="A90" s="94"/>
      <c r="B90" s="94"/>
      <c r="C90" s="94"/>
      <c r="D90" s="94"/>
      <c r="E90" s="94"/>
      <c r="F90" s="541"/>
      <c r="G90" s="541"/>
      <c r="H90" s="541"/>
      <c r="I90" s="541"/>
      <c r="J90" s="141"/>
    </row>
    <row r="91" spans="1:10" ht="17.149999999999999" customHeight="1" x14ac:dyDescent="0.3">
      <c r="A91" s="126"/>
      <c r="B91" s="97"/>
      <c r="C91" s="97"/>
      <c r="D91" s="97"/>
      <c r="E91" s="97"/>
      <c r="F91" s="541"/>
      <c r="G91" s="541"/>
      <c r="H91" s="541"/>
      <c r="I91" s="541"/>
      <c r="J91" s="141"/>
    </row>
    <row r="92" spans="1:10" ht="17.149999999999999" customHeight="1" thickBot="1" x14ac:dyDescent="0.35">
      <c r="A92" s="404" t="s">
        <v>145</v>
      </c>
      <c r="B92" s="813"/>
      <c r="C92" s="813"/>
      <c r="D92" s="129"/>
      <c r="E92" s="129"/>
      <c r="F92" s="541"/>
      <c r="G92" s="541"/>
      <c r="H92" s="541"/>
      <c r="I92" s="541"/>
      <c r="J92" s="141"/>
    </row>
    <row r="93" spans="1:10" ht="17.149999999999999" customHeight="1" thickBot="1" x14ac:dyDescent="0.35">
      <c r="A93" s="824" t="s">
        <v>134</v>
      </c>
      <c r="B93" s="820" t="s">
        <v>105</v>
      </c>
      <c r="C93" s="835"/>
      <c r="D93" s="820" t="s">
        <v>106</v>
      </c>
      <c r="E93" s="821"/>
      <c r="F93" s="804" t="s">
        <v>107</v>
      </c>
      <c r="G93" s="805"/>
      <c r="H93" s="805"/>
      <c r="I93" s="806"/>
      <c r="J93" s="141"/>
    </row>
    <row r="94" spans="1:10" ht="17.149999999999999" customHeight="1" thickBot="1" x14ac:dyDescent="0.35">
      <c r="A94" s="825"/>
      <c r="B94" s="324" t="s">
        <v>148</v>
      </c>
      <c r="C94" s="324" t="s">
        <v>149</v>
      </c>
      <c r="D94" s="324" t="s">
        <v>148</v>
      </c>
      <c r="E94" s="324" t="s">
        <v>149</v>
      </c>
      <c r="F94" s="804" t="s">
        <v>105</v>
      </c>
      <c r="G94" s="806"/>
      <c r="H94" s="804" t="s">
        <v>106</v>
      </c>
      <c r="I94" s="806"/>
      <c r="J94" s="141"/>
    </row>
    <row r="95" spans="1:10" ht="17.149999999999999" customHeight="1" x14ac:dyDescent="0.3">
      <c r="A95" s="130"/>
      <c r="B95" s="807"/>
      <c r="C95" s="808"/>
      <c r="D95" s="808"/>
      <c r="E95" s="809"/>
      <c r="F95" s="814" t="s">
        <v>110</v>
      </c>
      <c r="G95" s="816" t="s">
        <v>111</v>
      </c>
      <c r="H95" s="816" t="s">
        <v>112</v>
      </c>
      <c r="I95" s="816" t="s">
        <v>111</v>
      </c>
      <c r="J95" s="141"/>
    </row>
    <row r="96" spans="1:10" ht="17.149999999999999" customHeight="1" thickBot="1" x14ac:dyDescent="0.35">
      <c r="A96" s="131" t="s">
        <v>113</v>
      </c>
      <c r="B96" s="810"/>
      <c r="C96" s="811"/>
      <c r="D96" s="811"/>
      <c r="E96" s="812"/>
      <c r="F96" s="815"/>
      <c r="G96" s="817"/>
      <c r="H96" s="817"/>
      <c r="I96" s="817"/>
      <c r="J96" s="141"/>
    </row>
    <row r="97" spans="1:10" ht="17.149999999999999" customHeight="1" thickBot="1" x14ac:dyDescent="0.35">
      <c r="A97" s="540" t="s">
        <v>135</v>
      </c>
      <c r="B97" s="91">
        <f>B98+B99+B100</f>
        <v>6917.0390000000007</v>
      </c>
      <c r="C97" s="91">
        <f>C98+C99+C100</f>
        <v>4542.8429999999998</v>
      </c>
      <c r="D97" s="91">
        <f>D98+D99+D100</f>
        <v>156</v>
      </c>
      <c r="E97" s="91">
        <f>E98+E99+E100</f>
        <v>379</v>
      </c>
      <c r="F97" s="91">
        <f t="shared" ref="F97:F103" si="24">B97-C97</f>
        <v>2374.1960000000008</v>
      </c>
      <c r="G97" s="92">
        <f t="shared" ref="G97:G103" si="25">IF(C97&lt;&gt;0,(B97-C97)/C97)*100</f>
        <v>52.26233880413654</v>
      </c>
      <c r="H97" s="91">
        <f t="shared" ref="H97:H103" si="26">D97-E97</f>
        <v>-223</v>
      </c>
      <c r="I97" s="92">
        <f t="shared" ref="I97:I103" si="27">IF(E97&lt;&gt;0,(D97-E97)/E97)*100</f>
        <v>-58.839050131926115</v>
      </c>
      <c r="J97" s="141"/>
    </row>
    <row r="98" spans="1:10" ht="17.149999999999999" customHeight="1" x14ac:dyDescent="0.3">
      <c r="A98" s="540" t="s">
        <v>136</v>
      </c>
      <c r="B98" s="543">
        <f>6581117/1000</f>
        <v>6581.1170000000002</v>
      </c>
      <c r="C98" s="543">
        <f>4542843/1000</f>
        <v>4542.8429999999998</v>
      </c>
      <c r="D98" s="543">
        <v>155</v>
      </c>
      <c r="E98" s="543">
        <v>379</v>
      </c>
      <c r="F98" s="605">
        <f t="shared" si="24"/>
        <v>2038.2740000000003</v>
      </c>
      <c r="G98" s="606">
        <f t="shared" si="25"/>
        <v>44.867806349460025</v>
      </c>
      <c r="H98" s="605">
        <f t="shared" si="26"/>
        <v>-224</v>
      </c>
      <c r="I98" s="606">
        <f t="shared" si="27"/>
        <v>-59.102902374670187</v>
      </c>
      <c r="J98" s="141"/>
    </row>
    <row r="99" spans="1:10" ht="17.149999999999999" customHeight="1" x14ac:dyDescent="0.3">
      <c r="A99" s="540" t="s">
        <v>116</v>
      </c>
      <c r="B99" s="543">
        <f>335922/1000</f>
        <v>335.92200000000003</v>
      </c>
      <c r="C99" s="543">
        <v>0</v>
      </c>
      <c r="D99" s="543">
        <v>1</v>
      </c>
      <c r="E99" s="543">
        <v>0</v>
      </c>
      <c r="F99" s="605">
        <f t="shared" si="24"/>
        <v>335.92200000000003</v>
      </c>
      <c r="G99" s="606">
        <f t="shared" si="25"/>
        <v>0</v>
      </c>
      <c r="H99" s="605">
        <f t="shared" si="26"/>
        <v>1</v>
      </c>
      <c r="I99" s="606">
        <f t="shared" si="27"/>
        <v>0</v>
      </c>
      <c r="J99" s="141"/>
    </row>
    <row r="100" spans="1:10" ht="17.149999999999999" customHeight="1" x14ac:dyDescent="0.3">
      <c r="A100" s="540" t="s">
        <v>143</v>
      </c>
      <c r="B100" s="543">
        <v>0</v>
      </c>
      <c r="C100" s="543">
        <v>0</v>
      </c>
      <c r="D100" s="543">
        <v>0</v>
      </c>
      <c r="E100" s="543">
        <v>0</v>
      </c>
      <c r="F100" s="605">
        <f t="shared" si="24"/>
        <v>0</v>
      </c>
      <c r="G100" s="606">
        <f t="shared" si="25"/>
        <v>0</v>
      </c>
      <c r="H100" s="605">
        <f t="shared" si="26"/>
        <v>0</v>
      </c>
      <c r="I100" s="606">
        <f t="shared" si="27"/>
        <v>0</v>
      </c>
      <c r="J100" s="141"/>
    </row>
    <row r="101" spans="1:10" ht="17.149999999999999" customHeight="1" x14ac:dyDescent="0.3">
      <c r="A101" s="540" t="s">
        <v>139</v>
      </c>
      <c r="B101" s="543">
        <v>0</v>
      </c>
      <c r="C101" s="543">
        <v>0</v>
      </c>
      <c r="D101" s="543">
        <v>0</v>
      </c>
      <c r="E101" s="543">
        <v>0</v>
      </c>
      <c r="F101" s="605">
        <f t="shared" si="24"/>
        <v>0</v>
      </c>
      <c r="G101" s="606">
        <f t="shared" si="25"/>
        <v>0</v>
      </c>
      <c r="H101" s="605">
        <f t="shared" si="26"/>
        <v>0</v>
      </c>
      <c r="I101" s="606">
        <f t="shared" si="27"/>
        <v>0</v>
      </c>
      <c r="J101" s="141"/>
    </row>
    <row r="102" spans="1:10" ht="17.149999999999999" customHeight="1" thickBot="1" x14ac:dyDescent="0.35">
      <c r="A102" s="540" t="s">
        <v>140</v>
      </c>
      <c r="B102" s="543">
        <v>0</v>
      </c>
      <c r="C102" s="543">
        <v>0</v>
      </c>
      <c r="D102" s="543">
        <v>0</v>
      </c>
      <c r="E102" s="543">
        <v>0</v>
      </c>
      <c r="F102" s="605">
        <f t="shared" si="24"/>
        <v>0</v>
      </c>
      <c r="G102" s="606">
        <f t="shared" si="25"/>
        <v>0</v>
      </c>
      <c r="H102" s="605">
        <f t="shared" si="26"/>
        <v>0</v>
      </c>
      <c r="I102" s="606">
        <f t="shared" si="27"/>
        <v>0</v>
      </c>
      <c r="J102" s="141"/>
    </row>
    <row r="103" spans="1:10" ht="17.149999999999999" customHeight="1" thickBot="1" x14ac:dyDescent="0.35">
      <c r="A103" s="134" t="s">
        <v>123</v>
      </c>
      <c r="B103" s="81">
        <f>B97+B101+B102</f>
        <v>6917.0390000000007</v>
      </c>
      <c r="C103" s="81">
        <f>C97+C101+C102</f>
        <v>4542.8429999999998</v>
      </c>
      <c r="D103" s="81">
        <f>D97+D101+D102</f>
        <v>156</v>
      </c>
      <c r="E103" s="82">
        <f>E97+E101+E102</f>
        <v>379</v>
      </c>
      <c r="F103" s="91">
        <f t="shared" si="24"/>
        <v>2374.1960000000008</v>
      </c>
      <c r="G103" s="92">
        <f t="shared" si="25"/>
        <v>52.26233880413654</v>
      </c>
      <c r="H103" s="91">
        <f t="shared" si="26"/>
        <v>-223</v>
      </c>
      <c r="I103" s="92">
        <f t="shared" si="27"/>
        <v>-58.839050131926115</v>
      </c>
      <c r="J103" s="141"/>
    </row>
    <row r="104" spans="1:10" ht="17.149999999999999" customHeight="1" x14ac:dyDescent="0.3">
      <c r="A104" s="142"/>
      <c r="B104" s="107"/>
      <c r="C104" s="108"/>
      <c r="D104" s="109"/>
      <c r="E104" s="108"/>
      <c r="F104" s="110"/>
      <c r="G104" s="111"/>
      <c r="H104" s="112"/>
      <c r="I104" s="113"/>
      <c r="J104" s="141"/>
    </row>
    <row r="105" spans="1:10" ht="17.149999999999999" customHeight="1" thickBot="1" x14ac:dyDescent="0.35">
      <c r="A105" s="143" t="s">
        <v>124</v>
      </c>
      <c r="B105" s="114"/>
      <c r="C105" s="115"/>
      <c r="D105" s="115"/>
      <c r="E105" s="115"/>
      <c r="F105" s="116"/>
      <c r="G105" s="117"/>
      <c r="H105" s="116"/>
      <c r="I105" s="118"/>
      <c r="J105" s="141"/>
    </row>
    <row r="106" spans="1:10" ht="17.149999999999999" customHeight="1" thickBot="1" x14ac:dyDescent="0.35">
      <c r="A106" s="540" t="s">
        <v>125</v>
      </c>
      <c r="B106" s="104">
        <f>SUM(B107:B110)</f>
        <v>439148.82700000005</v>
      </c>
      <c r="C106" s="104">
        <f>SUM(C107:C110)</f>
        <v>415995.77399999998</v>
      </c>
      <c r="D106" s="104">
        <f>SUM(D107:D110)</f>
        <v>18284</v>
      </c>
      <c r="E106" s="104">
        <f>SUM(E107:E110)</f>
        <v>20485</v>
      </c>
      <c r="F106" s="91">
        <f t="shared" ref="F106:F111" si="28">B106-C106</f>
        <v>23153.053000000073</v>
      </c>
      <c r="G106" s="92">
        <f t="shared" ref="G106:G111" si="29">IF(C106&lt;&gt;0,(B106-C106)/C106)*100</f>
        <v>5.565694280346241</v>
      </c>
      <c r="H106" s="91">
        <f t="shared" ref="H106:H111" si="30">D106-E106</f>
        <v>-2201</v>
      </c>
      <c r="I106" s="92">
        <f t="shared" ref="I106:I111" si="31">IF(E106&lt;&gt;0,(D106-E106)/E106)*100</f>
        <v>-10.744447156455944</v>
      </c>
      <c r="J106" s="141"/>
    </row>
    <row r="107" spans="1:10" ht="17.149999999999999" customHeight="1" x14ac:dyDescent="0.3">
      <c r="A107" s="119" t="s">
        <v>126</v>
      </c>
      <c r="B107" s="543">
        <f>79049081/1000</f>
        <v>79049.081000000006</v>
      </c>
      <c r="C107" s="543">
        <f>84054158/1000</f>
        <v>84054.157999999996</v>
      </c>
      <c r="D107" s="543">
        <v>4385</v>
      </c>
      <c r="E107" s="543">
        <v>5003</v>
      </c>
      <c r="F107" s="605">
        <f t="shared" si="28"/>
        <v>-5005.0769999999902</v>
      </c>
      <c r="G107" s="606">
        <f t="shared" si="29"/>
        <v>-5.9545858516600578</v>
      </c>
      <c r="H107" s="605">
        <f t="shared" si="30"/>
        <v>-618</v>
      </c>
      <c r="I107" s="606">
        <f t="shared" si="31"/>
        <v>-12.35258844693184</v>
      </c>
      <c r="J107" s="141"/>
    </row>
    <row r="108" spans="1:10" ht="17.149999999999999" customHeight="1" x14ac:dyDescent="0.3">
      <c r="A108" s="119" t="s">
        <v>144</v>
      </c>
      <c r="B108" s="543">
        <f>4906027/1000</f>
        <v>4906.027</v>
      </c>
      <c r="C108" s="543">
        <f>2144312/1000</f>
        <v>2144.3119999999999</v>
      </c>
      <c r="D108" s="543">
        <v>577</v>
      </c>
      <c r="E108" s="543">
        <v>563</v>
      </c>
      <c r="F108" s="605">
        <f t="shared" si="28"/>
        <v>2761.7150000000001</v>
      </c>
      <c r="G108" s="606">
        <f t="shared" si="29"/>
        <v>128.79259174970807</v>
      </c>
      <c r="H108" s="605">
        <f t="shared" si="30"/>
        <v>14</v>
      </c>
      <c r="I108" s="606">
        <f t="shared" si="31"/>
        <v>2.4866785079928952</v>
      </c>
      <c r="J108" s="141"/>
    </row>
    <row r="109" spans="1:10" ht="17.149999999999999" customHeight="1" x14ac:dyDescent="0.3">
      <c r="A109" s="120" t="s">
        <v>141</v>
      </c>
      <c r="B109" s="543">
        <f>71091400/1000</f>
        <v>71091.399999999994</v>
      </c>
      <c r="C109" s="543">
        <f>75144515/1000</f>
        <v>75144.514999999999</v>
      </c>
      <c r="D109" s="543">
        <v>7627</v>
      </c>
      <c r="E109" s="543">
        <v>9465</v>
      </c>
      <c r="F109" s="605">
        <f t="shared" si="28"/>
        <v>-4053.1150000000052</v>
      </c>
      <c r="G109" s="606">
        <f t="shared" si="29"/>
        <v>-5.3937602764486607</v>
      </c>
      <c r="H109" s="605">
        <f t="shared" si="30"/>
        <v>-1838</v>
      </c>
      <c r="I109" s="606">
        <f t="shared" si="31"/>
        <v>-19.418911780243</v>
      </c>
      <c r="J109" s="141"/>
    </row>
    <row r="110" spans="1:10" ht="17.149999999999999" customHeight="1" x14ac:dyDescent="0.3">
      <c r="A110" s="119" t="s">
        <v>129</v>
      </c>
      <c r="B110" s="543">
        <f>284102319/1000</f>
        <v>284102.31900000002</v>
      </c>
      <c r="C110" s="543">
        <f>254652789/1000</f>
        <v>254652.78899999999</v>
      </c>
      <c r="D110" s="543">
        <v>5695</v>
      </c>
      <c r="E110" s="543">
        <v>5454</v>
      </c>
      <c r="F110" s="605">
        <f t="shared" si="28"/>
        <v>29449.530000000028</v>
      </c>
      <c r="G110" s="606">
        <f t="shared" si="29"/>
        <v>11.56458176470238</v>
      </c>
      <c r="H110" s="605">
        <f t="shared" si="30"/>
        <v>241</v>
      </c>
      <c r="I110" s="606">
        <f t="shared" si="31"/>
        <v>4.4187752108544185</v>
      </c>
      <c r="J110" s="141"/>
    </row>
    <row r="111" spans="1:10" ht="17.149999999999999" customHeight="1" x14ac:dyDescent="0.3">
      <c r="A111" s="540" t="s">
        <v>130</v>
      </c>
      <c r="B111" s="543">
        <f>68413/1000</f>
        <v>68.412999999999997</v>
      </c>
      <c r="C111" s="543">
        <f>67744/1000</f>
        <v>67.744</v>
      </c>
      <c r="D111" s="543">
        <v>10</v>
      </c>
      <c r="E111" s="543">
        <v>8</v>
      </c>
      <c r="F111" s="605">
        <f t="shared" si="28"/>
        <v>0.66899999999999693</v>
      </c>
      <c r="G111" s="606">
        <f t="shared" si="29"/>
        <v>0.98754133207368466</v>
      </c>
      <c r="H111" s="605">
        <f t="shared" si="30"/>
        <v>2</v>
      </c>
      <c r="I111" s="606">
        <f t="shared" si="31"/>
        <v>25</v>
      </c>
      <c r="J111" s="141"/>
    </row>
    <row r="112" spans="1:10" ht="17.149999999999999" customHeight="1" x14ac:dyDescent="0.3">
      <c r="A112" s="540"/>
      <c r="B112" s="610"/>
      <c r="C112" s="610"/>
      <c r="D112" s="610"/>
      <c r="E112" s="610"/>
      <c r="F112" s="544"/>
      <c r="G112" s="545"/>
      <c r="H112" s="544"/>
      <c r="I112" s="545"/>
      <c r="J112" s="141"/>
    </row>
    <row r="113" spans="1:10" ht="17.149999999999999" customHeight="1" x14ac:dyDescent="0.3">
      <c r="A113" s="540"/>
      <c r="B113" s="610"/>
      <c r="C113" s="610"/>
      <c r="D113" s="610"/>
      <c r="E113" s="610"/>
      <c r="F113" s="544"/>
      <c r="G113" s="545"/>
      <c r="H113" s="544"/>
      <c r="I113" s="545"/>
      <c r="J113" s="141"/>
    </row>
    <row r="114" spans="1:10" ht="17.149999999999999" customHeight="1" thickBot="1" x14ac:dyDescent="0.35">
      <c r="A114" s="540"/>
      <c r="B114" s="636"/>
      <c r="C114" s="636"/>
      <c r="D114" s="637"/>
      <c r="E114" s="637"/>
      <c r="F114" s="638"/>
      <c r="G114" s="639"/>
      <c r="H114" s="640"/>
      <c r="I114" s="641"/>
      <c r="J114" s="141"/>
    </row>
    <row r="115" spans="1:10" ht="17.149999999999999" customHeight="1" thickBot="1" x14ac:dyDescent="0.35">
      <c r="A115" s="134" t="s">
        <v>131</v>
      </c>
      <c r="B115" s="104">
        <f>B106+B111</f>
        <v>439217.24000000005</v>
      </c>
      <c r="C115" s="104">
        <f>C106+C111</f>
        <v>416063.51799999998</v>
      </c>
      <c r="D115" s="104">
        <f>D106+D111</f>
        <v>18294</v>
      </c>
      <c r="E115" s="104">
        <f>E106+E111</f>
        <v>20493</v>
      </c>
      <c r="F115" s="623">
        <f>B115-C115</f>
        <v>23153.722000000067</v>
      </c>
      <c r="G115" s="625">
        <f>IF(C115&lt;&gt;0,(B115-C115)/C115)*100</f>
        <v>5.5649488595633301</v>
      </c>
      <c r="H115" s="623">
        <f>D115-E115</f>
        <v>-2199</v>
      </c>
      <c r="I115" s="625">
        <f>IF(E115&lt;&gt;0,(D115-E115)/E115)*100</f>
        <v>-10.730493339188991</v>
      </c>
      <c r="J115" s="141"/>
    </row>
    <row r="116" spans="1:10" ht="17.149999999999999" customHeight="1" thickBot="1" x14ac:dyDescent="0.35">
      <c r="A116" s="540"/>
      <c r="B116" s="121"/>
      <c r="C116" s="122"/>
      <c r="D116" s="122"/>
      <c r="E116" s="122"/>
      <c r="F116" s="123"/>
      <c r="G116" s="124"/>
      <c r="H116" s="123"/>
      <c r="I116" s="125"/>
      <c r="J116" s="141"/>
    </row>
    <row r="117" spans="1:10" ht="17.149999999999999" customHeight="1" thickBot="1" x14ac:dyDescent="0.35">
      <c r="A117" s="134" t="s">
        <v>132</v>
      </c>
      <c r="B117" s="104">
        <f>B103+B115</f>
        <v>446134.27900000004</v>
      </c>
      <c r="C117" s="104">
        <f>C103+C115</f>
        <v>420606.36099999998</v>
      </c>
      <c r="D117" s="104">
        <f>D103+D115</f>
        <v>18450</v>
      </c>
      <c r="E117" s="104">
        <f>E103+E115</f>
        <v>20872</v>
      </c>
      <c r="F117" s="104">
        <f>B117-C117</f>
        <v>25527.918000000063</v>
      </c>
      <c r="G117" s="105">
        <f>IF(C117&lt;&gt;0,(B117-C117)/C117)*100</f>
        <v>6.0693133454536756</v>
      </c>
      <c r="H117" s="104">
        <f>D117-E117</f>
        <v>-2422</v>
      </c>
      <c r="I117" s="105">
        <f>IF(E117&lt;&gt;0,(D117-E117)/E117)*100</f>
        <v>-11.604062859333078</v>
      </c>
      <c r="J117" s="141"/>
    </row>
    <row r="118" spans="1:10" ht="17.149999999999999" customHeight="1" x14ac:dyDescent="0.3"/>
    <row r="119" spans="1:10" ht="17.149999999999999" customHeight="1" x14ac:dyDescent="0.3"/>
    <row r="120" spans="1:10" ht="17.149999999999999" customHeight="1" x14ac:dyDescent="0.35">
      <c r="B120" s="217">
        <f t="shared" ref="B120:C122" si="32">B41-B69+B97</f>
        <v>0</v>
      </c>
      <c r="C120" s="217">
        <f t="shared" si="32"/>
        <v>0</v>
      </c>
      <c r="D120" s="217">
        <f t="shared" ref="D120:E122" si="33">D41-D69+D97</f>
        <v>0</v>
      </c>
      <c r="E120" s="217">
        <f t="shared" si="33"/>
        <v>0</v>
      </c>
    </row>
    <row r="121" spans="1:10" ht="17.149999999999999" customHeight="1" x14ac:dyDescent="0.35">
      <c r="B121" s="217">
        <f t="shared" si="32"/>
        <v>0</v>
      </c>
      <c r="C121" s="217">
        <f t="shared" si="32"/>
        <v>0</v>
      </c>
      <c r="D121" s="217">
        <f t="shared" si="33"/>
        <v>0</v>
      </c>
      <c r="E121" s="217">
        <f t="shared" si="33"/>
        <v>0</v>
      </c>
    </row>
    <row r="122" spans="1:10" ht="17.149999999999999" customHeight="1" x14ac:dyDescent="0.35">
      <c r="B122" s="217">
        <f t="shared" si="32"/>
        <v>4.5474735088646412E-13</v>
      </c>
      <c r="C122" s="217">
        <f t="shared" si="32"/>
        <v>0</v>
      </c>
      <c r="D122" s="217">
        <f t="shared" si="33"/>
        <v>0</v>
      </c>
      <c r="E122" s="217">
        <f t="shared" si="33"/>
        <v>0</v>
      </c>
    </row>
    <row r="123" spans="1:10" ht="17.149999999999999" customHeight="1" x14ac:dyDescent="0.35">
      <c r="B123" s="217">
        <f t="shared" ref="B123:C127" si="34">B45-B72+B100</f>
        <v>0</v>
      </c>
      <c r="C123" s="217">
        <f t="shared" si="34"/>
        <v>0</v>
      </c>
      <c r="D123" s="217">
        <f t="shared" ref="D123:E127" si="35">D45-D72+D100</f>
        <v>0</v>
      </c>
      <c r="E123" s="217">
        <f t="shared" si="35"/>
        <v>0</v>
      </c>
    </row>
    <row r="124" spans="1:10" ht="17.149999999999999" customHeight="1" x14ac:dyDescent="0.35">
      <c r="B124" s="217">
        <f t="shared" si="34"/>
        <v>0</v>
      </c>
      <c r="C124" s="217">
        <f t="shared" si="34"/>
        <v>0</v>
      </c>
      <c r="D124" s="217">
        <f t="shared" si="35"/>
        <v>0</v>
      </c>
      <c r="E124" s="217">
        <f t="shared" si="35"/>
        <v>0</v>
      </c>
    </row>
    <row r="125" spans="1:10" ht="17.149999999999999" customHeight="1" x14ac:dyDescent="0.35">
      <c r="B125" s="217">
        <f t="shared" si="34"/>
        <v>0</v>
      </c>
      <c r="C125" s="217">
        <f t="shared" si="34"/>
        <v>0</v>
      </c>
      <c r="D125" s="217">
        <f t="shared" si="35"/>
        <v>0</v>
      </c>
      <c r="E125" s="217">
        <f t="shared" si="35"/>
        <v>0</v>
      </c>
    </row>
    <row r="126" spans="1:10" ht="17.149999999999999" customHeight="1" x14ac:dyDescent="0.35">
      <c r="B126" s="217">
        <f t="shared" si="34"/>
        <v>0</v>
      </c>
      <c r="C126" s="217">
        <f t="shared" si="34"/>
        <v>0</v>
      </c>
      <c r="D126" s="217">
        <f t="shared" si="35"/>
        <v>0</v>
      </c>
      <c r="E126" s="217">
        <f t="shared" si="35"/>
        <v>0</v>
      </c>
    </row>
    <row r="127" spans="1:10" ht="17.149999999999999" customHeight="1" x14ac:dyDescent="0.35">
      <c r="B127" s="217">
        <f t="shared" si="34"/>
        <v>0</v>
      </c>
      <c r="C127" s="217">
        <f t="shared" si="34"/>
        <v>0</v>
      </c>
      <c r="D127" s="217">
        <f t="shared" si="35"/>
        <v>0</v>
      </c>
      <c r="E127" s="217">
        <f t="shared" si="35"/>
        <v>0</v>
      </c>
    </row>
    <row r="128" spans="1:10" ht="17.149999999999999" customHeight="1" x14ac:dyDescent="0.35">
      <c r="B128" s="217">
        <f t="shared" ref="B128:C140" si="36">B49-B77+B105</f>
        <v>0</v>
      </c>
      <c r="C128" s="217">
        <f t="shared" si="36"/>
        <v>0</v>
      </c>
      <c r="D128" s="217">
        <f t="shared" ref="D128:E135" si="37">D49-D77+D105</f>
        <v>0</v>
      </c>
      <c r="E128" s="217">
        <f t="shared" si="37"/>
        <v>0</v>
      </c>
    </row>
    <row r="129" spans="1:5" customFormat="1" ht="17.149999999999999" customHeight="1" x14ac:dyDescent="0.35">
      <c r="A129" s="347"/>
      <c r="B129" s="217">
        <f t="shared" si="36"/>
        <v>-4.6566128730773926E-10</v>
      </c>
      <c r="C129" s="217">
        <f t="shared" si="36"/>
        <v>-4.6566128730773926E-10</v>
      </c>
      <c r="D129" s="217">
        <f t="shared" si="37"/>
        <v>0</v>
      </c>
      <c r="E129" s="217">
        <f t="shared" si="37"/>
        <v>0</v>
      </c>
    </row>
    <row r="130" spans="1:5" customFormat="1" ht="17.149999999999999" customHeight="1" x14ac:dyDescent="0.35">
      <c r="A130" s="347"/>
      <c r="B130" s="217">
        <f t="shared" si="36"/>
        <v>0</v>
      </c>
      <c r="C130" s="217">
        <f t="shared" si="36"/>
        <v>0</v>
      </c>
      <c r="D130" s="217">
        <f t="shared" si="37"/>
        <v>0</v>
      </c>
      <c r="E130" s="217">
        <f t="shared" si="37"/>
        <v>0</v>
      </c>
    </row>
    <row r="131" spans="1:5" customFormat="1" ht="17.149999999999999" customHeight="1" x14ac:dyDescent="0.35">
      <c r="A131" s="347"/>
      <c r="B131" s="217">
        <f t="shared" si="36"/>
        <v>0</v>
      </c>
      <c r="C131" s="217">
        <f t="shared" si="36"/>
        <v>0</v>
      </c>
      <c r="D131" s="217">
        <f t="shared" si="37"/>
        <v>0</v>
      </c>
      <c r="E131" s="217">
        <f t="shared" si="37"/>
        <v>0</v>
      </c>
    </row>
    <row r="132" spans="1:5" customFormat="1" ht="17.149999999999999" customHeight="1" x14ac:dyDescent="0.35">
      <c r="A132" s="347"/>
      <c r="B132" s="217">
        <f t="shared" si="36"/>
        <v>0</v>
      </c>
      <c r="C132" s="217">
        <f t="shared" si="36"/>
        <v>0</v>
      </c>
      <c r="D132" s="217">
        <f t="shared" si="37"/>
        <v>0</v>
      </c>
      <c r="E132" s="217">
        <f t="shared" si="37"/>
        <v>0</v>
      </c>
    </row>
    <row r="133" spans="1:5" customFormat="1" ht="17.149999999999999" customHeight="1" x14ac:dyDescent="0.35">
      <c r="A133" s="347"/>
      <c r="B133" s="217">
        <f t="shared" si="36"/>
        <v>0</v>
      </c>
      <c r="C133" s="217">
        <f t="shared" si="36"/>
        <v>0</v>
      </c>
      <c r="D133" s="217">
        <f t="shared" si="37"/>
        <v>0</v>
      </c>
      <c r="E133" s="217">
        <f t="shared" si="37"/>
        <v>0</v>
      </c>
    </row>
    <row r="134" spans="1:5" customFormat="1" ht="17.149999999999999" customHeight="1" x14ac:dyDescent="0.35">
      <c r="A134" s="347"/>
      <c r="B134" s="217">
        <f t="shared" si="36"/>
        <v>0</v>
      </c>
      <c r="C134" s="217">
        <f t="shared" si="36"/>
        <v>0</v>
      </c>
      <c r="D134" s="217">
        <f t="shared" si="37"/>
        <v>0</v>
      </c>
      <c r="E134" s="217">
        <f t="shared" si="37"/>
        <v>0</v>
      </c>
    </row>
    <row r="135" spans="1:5" customFormat="1" ht="17.149999999999999" customHeight="1" x14ac:dyDescent="0.35">
      <c r="A135" s="347"/>
      <c r="B135" s="217">
        <f t="shared" si="36"/>
        <v>0</v>
      </c>
      <c r="C135" s="217">
        <f t="shared" si="36"/>
        <v>0</v>
      </c>
      <c r="D135" s="217">
        <f t="shared" si="37"/>
        <v>0</v>
      </c>
      <c r="E135" s="217">
        <f t="shared" si="37"/>
        <v>0</v>
      </c>
    </row>
    <row r="136" spans="1:5" customFormat="1" ht="17.149999999999999" customHeight="1" x14ac:dyDescent="0.35">
      <c r="A136" s="347"/>
      <c r="B136" s="217">
        <f t="shared" si="36"/>
        <v>0</v>
      </c>
      <c r="C136" s="217">
        <f t="shared" si="36"/>
        <v>0</v>
      </c>
      <c r="D136" s="217">
        <f t="shared" ref="D136:E140" si="38">D57-D85+D113</f>
        <v>0</v>
      </c>
      <c r="E136" s="217">
        <f t="shared" si="38"/>
        <v>0</v>
      </c>
    </row>
    <row r="137" spans="1:5" customFormat="1" ht="17.149999999999999" customHeight="1" x14ac:dyDescent="0.35">
      <c r="A137" s="347"/>
      <c r="B137" s="217">
        <f t="shared" si="36"/>
        <v>0</v>
      </c>
      <c r="C137" s="217">
        <f t="shared" si="36"/>
        <v>0</v>
      </c>
      <c r="D137" s="217">
        <f t="shared" si="38"/>
        <v>0</v>
      </c>
      <c r="E137" s="217">
        <f t="shared" si="38"/>
        <v>0</v>
      </c>
    </row>
    <row r="138" spans="1:5" customFormat="1" ht="17.149999999999999" customHeight="1" x14ac:dyDescent="0.35">
      <c r="A138" s="347"/>
      <c r="B138" s="217">
        <f t="shared" si="36"/>
        <v>-6.4028427004814148E-10</v>
      </c>
      <c r="C138" s="217">
        <f t="shared" si="36"/>
        <v>0</v>
      </c>
      <c r="D138" s="217">
        <f t="shared" si="38"/>
        <v>0</v>
      </c>
      <c r="E138" s="217">
        <f t="shared" si="38"/>
        <v>0</v>
      </c>
    </row>
    <row r="139" spans="1:5" customFormat="1" ht="17.149999999999999" customHeight="1" x14ac:dyDescent="0.35">
      <c r="A139" s="347"/>
      <c r="B139" s="217">
        <f t="shared" si="36"/>
        <v>0</v>
      </c>
      <c r="C139" s="217">
        <f t="shared" si="36"/>
        <v>0</v>
      </c>
      <c r="D139" s="217">
        <f t="shared" si="38"/>
        <v>0</v>
      </c>
      <c r="E139" s="217">
        <f t="shared" si="38"/>
        <v>0</v>
      </c>
    </row>
    <row r="140" spans="1:5" customFormat="1" ht="17.149999999999999" customHeight="1" x14ac:dyDescent="0.35">
      <c r="A140" s="347"/>
      <c r="B140" s="217">
        <f t="shared" si="36"/>
        <v>-5.2386894822120667E-10</v>
      </c>
      <c r="C140" s="217">
        <f t="shared" si="36"/>
        <v>-5.2386894822120667E-10</v>
      </c>
      <c r="D140" s="217">
        <f t="shared" si="38"/>
        <v>0</v>
      </c>
      <c r="E140" s="217">
        <f t="shared" si="38"/>
        <v>0</v>
      </c>
    </row>
  </sheetData>
  <mergeCells count="49">
    <mergeCell ref="F95:F96"/>
    <mergeCell ref="G95:G96"/>
    <mergeCell ref="H95:H96"/>
    <mergeCell ref="I95:I96"/>
    <mergeCell ref="B95:E96"/>
    <mergeCell ref="B92:C92"/>
    <mergeCell ref="B93:C93"/>
    <mergeCell ref="D93:E93"/>
    <mergeCell ref="A93:A94"/>
    <mergeCell ref="A3:E3"/>
    <mergeCell ref="B5:C5"/>
    <mergeCell ref="B6:C6"/>
    <mergeCell ref="D6:E6"/>
    <mergeCell ref="A8:A9"/>
    <mergeCell ref="B8:E9"/>
    <mergeCell ref="F6:I6"/>
    <mergeCell ref="F7:G7"/>
    <mergeCell ref="H7:I7"/>
    <mergeCell ref="F8:F9"/>
    <mergeCell ref="G8:G9"/>
    <mergeCell ref="H8:H9"/>
    <mergeCell ref="I8:I9"/>
    <mergeCell ref="F66:G66"/>
    <mergeCell ref="H66:I66"/>
    <mergeCell ref="I67:I68"/>
    <mergeCell ref="A37:A38"/>
    <mergeCell ref="A65:A66"/>
    <mergeCell ref="B39:E40"/>
    <mergeCell ref="H39:H40"/>
    <mergeCell ref="I39:I40"/>
    <mergeCell ref="F39:F40"/>
    <mergeCell ref="G39:G40"/>
    <mergeCell ref="H67:H68"/>
    <mergeCell ref="F93:I93"/>
    <mergeCell ref="F94:G94"/>
    <mergeCell ref="H94:I94"/>
    <mergeCell ref="B67:E68"/>
    <mergeCell ref="B36:C36"/>
    <mergeCell ref="B64:C64"/>
    <mergeCell ref="F67:F68"/>
    <mergeCell ref="G67:G68"/>
    <mergeCell ref="B37:C37"/>
    <mergeCell ref="D37:E37"/>
    <mergeCell ref="F37:I37"/>
    <mergeCell ref="F38:G38"/>
    <mergeCell ref="H38:I38"/>
    <mergeCell ref="B65:C65"/>
    <mergeCell ref="D65:E65"/>
    <mergeCell ref="F65:I65"/>
  </mergeCells>
  <dataValidations disablePrompts="1" count="1">
    <dataValidation type="list" allowBlank="1" showInputMessage="1" showErrorMessage="1" sqref="WBO983045 B786437 IU786437 SQ786437 ACM786437 AMI786437 AWE786437 BGA786437 BPW786437 BZS786437 CJO786437 CTK786437 DDG786437 DNC786437 DWY786437 EGU786437 EQQ786437 FAM786437 FKI786437 FUE786437 GEA786437 GNW786437 GXS786437 HHO786437 HRK786437 IBG786437 ILC786437 IUY786437 JEU786437 JOQ786437 JYM786437 KII786437 KSE786437 LCA786437 LLW786437 LVS786437 MFO786437 MPK786437 MZG786437 NJC786437 NSY786437 OCU786437 OMQ786437 OWM786437 PGI786437 PQE786437 QAA786437 QJW786437 QTS786437 RDO786437 RNK786437 RXG786437 SHC786437 SQY786437 TAU786437 TKQ786437 TUM786437 UEI786437 UOE786437 UYA786437 VHW786437 VRS786437 WBO786437 WLK786437 B65572 IU65572 SQ65572 ACM65572 AMI65572 AWE65572 BGA65572 BPW65572 BZS65572 CJO65572 CTK65572 DDG65572 DNC65572 DWY65572 EGU65572 EQQ65572 FAM65572 FKI65572 FUE65572 GEA65572 GNW65572 GXS65572 HHO65572 HRK65572 IBG65572 ILC65572 IUY65572 JEU65572 JOQ65572 JYM65572 KII65572 KSE65572 LCA65572 LLW65572 LVS65572 MFO65572 MPK65572 MZG65572 NJC65572 NSY65572 OCU65572 OMQ65572 OWM65572 PGI65572 PQE65572 QAA65572 QJW65572 QTS65572 RDO65572 RNK65572 RXG65572 SHC65572 SQY65572 TAU65572 TKQ65572 TUM65572 UEI65572 UOE65572 UYA65572 VHW65572 VRS65572 WBO65572 WLK65572 WVG65572 B131108 IU131108 SQ131108 ACM131108 AMI131108 AWE131108 BGA131108 BPW131108 BZS131108 CJO131108 CTK131108 DDG131108 DNC131108 DWY131108 EGU131108 EQQ131108 FAM131108 FKI131108 FUE131108 GEA131108 GNW131108 GXS131108 HHO131108 HRK131108 IBG131108 ILC131108 IUY131108 JEU131108 JOQ131108 JYM131108 KII131108 KSE131108 LCA131108 LLW131108 LVS131108 MFO131108 MPK131108 MZG131108 NJC131108 NSY131108 OCU131108 OMQ131108 OWM131108 PGI131108 PQE131108 QAA131108 QJW131108 QTS131108 RDO131108 RNK131108 RXG131108 SHC131108 SQY131108 TAU131108 TKQ131108 TUM131108 UEI131108 UOE131108 UYA131108 VHW131108 VRS131108 WBO131108 WLK131108 WVG131108 B196644 IU196644 SQ196644 ACM196644 AMI196644 AWE196644 BGA196644 BPW196644 BZS196644 CJO196644 CTK196644 DDG196644 DNC196644 DWY196644 EGU196644 EQQ196644 FAM196644 FKI196644 FUE196644 GEA196644 GNW196644 GXS196644 HHO196644 HRK196644 IBG196644 ILC196644 IUY196644 JEU196644 JOQ196644 JYM196644 KII196644 KSE196644 LCA196644 LLW196644 LVS196644 MFO196644 MPK196644 MZG196644 NJC196644 NSY196644 OCU196644 OMQ196644 OWM196644 PGI196644 PQE196644 QAA196644 QJW196644 QTS196644 RDO196644 RNK196644 RXG196644 SHC196644 SQY196644 TAU196644 TKQ196644 TUM196644 UEI196644 UOE196644 UYA196644 VHW196644 VRS196644 WBO196644 WLK196644 WVG196644 B262180 IU262180 SQ262180 ACM262180 AMI262180 AWE262180 BGA262180 BPW262180 BZS262180 CJO262180 CTK262180 DDG262180 DNC262180 DWY262180 EGU262180 EQQ262180 FAM262180 FKI262180 FUE262180 GEA262180 GNW262180 GXS262180 HHO262180 HRK262180 IBG262180 ILC262180 IUY262180 JEU262180 JOQ262180 JYM262180 KII262180 KSE262180 LCA262180 LLW262180 LVS262180 MFO262180 MPK262180 MZG262180 NJC262180 NSY262180 OCU262180 OMQ262180 OWM262180 PGI262180 PQE262180 QAA262180 QJW262180 QTS262180 RDO262180 RNK262180 RXG262180 SHC262180 SQY262180 TAU262180 TKQ262180 TUM262180 UEI262180 UOE262180 UYA262180 VHW262180 VRS262180 WBO262180 WLK262180 WVG262180 B327716 IU327716 SQ327716 ACM327716 AMI327716 AWE327716 BGA327716 BPW327716 BZS327716 CJO327716 CTK327716 DDG327716 DNC327716 DWY327716 EGU327716 EQQ327716 FAM327716 FKI327716 FUE327716 GEA327716 GNW327716 GXS327716 HHO327716 HRK327716 IBG327716 ILC327716 IUY327716 JEU327716 JOQ327716 JYM327716 KII327716 KSE327716 LCA327716 LLW327716 LVS327716 MFO327716 MPK327716 MZG327716 NJC327716 NSY327716 OCU327716 OMQ327716 OWM327716 PGI327716 PQE327716 QAA327716 QJW327716 QTS327716 RDO327716 RNK327716 RXG327716 SHC327716 SQY327716 TAU327716 TKQ327716 TUM327716 UEI327716 UOE327716 UYA327716 VHW327716 VRS327716 WBO327716 WLK327716 WVG327716 B393252 IU393252 SQ393252 ACM393252 AMI393252 AWE393252 BGA393252 BPW393252 BZS393252 CJO393252 CTK393252 DDG393252 DNC393252 DWY393252 EGU393252 EQQ393252 FAM393252 FKI393252 FUE393252 GEA393252 GNW393252 GXS393252 HHO393252 HRK393252 IBG393252 ILC393252 IUY393252 JEU393252 JOQ393252 JYM393252 KII393252 KSE393252 LCA393252 LLW393252 LVS393252 MFO393252 MPK393252 MZG393252 NJC393252 NSY393252 OCU393252 OMQ393252 OWM393252 PGI393252 PQE393252 QAA393252 QJW393252 QTS393252 RDO393252 RNK393252 RXG393252 SHC393252 SQY393252 TAU393252 TKQ393252 TUM393252 UEI393252 UOE393252 UYA393252 VHW393252 VRS393252 WBO393252 WLK393252 WVG393252 B458788 IU458788 SQ458788 ACM458788 AMI458788 AWE458788 BGA458788 BPW458788 BZS458788 CJO458788 CTK458788 DDG458788 DNC458788 DWY458788 EGU458788 EQQ458788 FAM458788 FKI458788 FUE458788 GEA458788 GNW458788 GXS458788 HHO458788 HRK458788 IBG458788 ILC458788 IUY458788 JEU458788 JOQ458788 JYM458788 KII458788 KSE458788 LCA458788 LLW458788 LVS458788 MFO458788 MPK458788 MZG458788 NJC458788 NSY458788 OCU458788 OMQ458788 OWM458788 PGI458788 PQE458788 QAA458788 QJW458788 QTS458788 RDO458788 RNK458788 RXG458788 SHC458788 SQY458788 TAU458788 TKQ458788 TUM458788 UEI458788 UOE458788 UYA458788 VHW458788 VRS458788 WBO458788 WLK458788 WVG458788 B524324 IU524324 SQ524324 ACM524324 AMI524324 AWE524324 BGA524324 BPW524324 BZS524324 CJO524324 CTK524324 DDG524324 DNC524324 DWY524324 EGU524324 EQQ524324 FAM524324 FKI524324 FUE524324 GEA524324 GNW524324 GXS524324 HHO524324 HRK524324 IBG524324 ILC524324 IUY524324 JEU524324 JOQ524324 JYM524324 KII524324 KSE524324 LCA524324 LLW524324 LVS524324 MFO524324 MPK524324 MZG524324 NJC524324 NSY524324 OCU524324 OMQ524324 OWM524324 PGI524324 PQE524324 QAA524324 QJW524324 QTS524324 RDO524324 RNK524324 RXG524324 SHC524324 SQY524324 TAU524324 TKQ524324 TUM524324 UEI524324 UOE524324 UYA524324 VHW524324 VRS524324 WBO524324 WLK524324 WVG524324 B589860 IU589860 SQ589860 ACM589860 AMI589860 AWE589860 BGA589860 BPW589860 BZS589860 CJO589860 CTK589860 DDG589860 DNC589860 DWY589860 EGU589860 EQQ589860 FAM589860 FKI589860 FUE589860 GEA589860 GNW589860 GXS589860 HHO589860 HRK589860 IBG589860 ILC589860 IUY589860 JEU589860 JOQ589860 JYM589860 KII589860 KSE589860 LCA589860 LLW589860 LVS589860 MFO589860 MPK589860 MZG589860 NJC589860 NSY589860 OCU589860 OMQ589860 OWM589860 PGI589860 PQE589860 QAA589860 QJW589860 QTS589860 RDO589860 RNK589860 RXG589860 SHC589860 SQY589860 TAU589860 TKQ589860 TUM589860 UEI589860 UOE589860 UYA589860 VHW589860 VRS589860 WBO589860 WLK589860 WVG589860 B655396 IU655396 SQ655396 ACM655396 AMI655396 AWE655396 BGA655396 BPW655396 BZS655396 CJO655396 CTK655396 DDG655396 DNC655396 DWY655396 EGU655396 EQQ655396 FAM655396 FKI655396 FUE655396 GEA655396 GNW655396 GXS655396 HHO655396 HRK655396 IBG655396 ILC655396 IUY655396 JEU655396 JOQ655396 JYM655396 KII655396 KSE655396 LCA655396 LLW655396 LVS655396 MFO655396 MPK655396 MZG655396 NJC655396 NSY655396 OCU655396 OMQ655396 OWM655396 PGI655396 PQE655396 QAA655396 QJW655396 QTS655396 RDO655396 RNK655396 RXG655396 SHC655396 SQY655396 TAU655396 TKQ655396 TUM655396 UEI655396 UOE655396 UYA655396 VHW655396 VRS655396 WBO655396 WLK655396 WVG655396 B720932 IU720932 SQ720932 ACM720932 AMI720932 AWE720932 BGA720932 BPW720932 BZS720932 CJO720932 CTK720932 DDG720932 DNC720932 DWY720932 EGU720932 EQQ720932 FAM720932 FKI720932 FUE720932 GEA720932 GNW720932 GXS720932 HHO720932 HRK720932 IBG720932 ILC720932 IUY720932 JEU720932 JOQ720932 JYM720932 KII720932 KSE720932 LCA720932 LLW720932 LVS720932 MFO720932 MPK720932 MZG720932 NJC720932 NSY720932 OCU720932 OMQ720932 OWM720932 PGI720932 PQE720932 QAA720932 QJW720932 QTS720932 RDO720932 RNK720932 RXG720932 SHC720932 SQY720932 TAU720932 TKQ720932 TUM720932 UEI720932 UOE720932 UYA720932 VHW720932 VRS720932 WBO720932 WLK720932 WVG720932 B786468 IU786468 SQ786468 ACM786468 AMI786468 AWE786468 BGA786468 BPW786468 BZS786468 CJO786468 CTK786468 DDG786468 DNC786468 DWY786468 EGU786468 EQQ786468 FAM786468 FKI786468 FUE786468 GEA786468 GNW786468 GXS786468 HHO786468 HRK786468 IBG786468 ILC786468 IUY786468 JEU786468 JOQ786468 JYM786468 KII786468 KSE786468 LCA786468 LLW786468 LVS786468 MFO786468 MPK786468 MZG786468 NJC786468 NSY786468 OCU786468 OMQ786468 OWM786468 PGI786468 PQE786468 QAA786468 QJW786468 QTS786468 RDO786468 RNK786468 RXG786468 SHC786468 SQY786468 TAU786468 TKQ786468 TUM786468 UEI786468 UOE786468 UYA786468 VHW786468 VRS786468 WBO786468 WLK786468 WVG786468 B852004 IU852004 SQ852004 ACM852004 AMI852004 AWE852004 BGA852004 BPW852004 BZS852004 CJO852004 CTK852004 DDG852004 DNC852004 DWY852004 EGU852004 EQQ852004 FAM852004 FKI852004 FUE852004 GEA852004 GNW852004 GXS852004 HHO852004 HRK852004 IBG852004 ILC852004 IUY852004 JEU852004 JOQ852004 JYM852004 KII852004 KSE852004 LCA852004 LLW852004 LVS852004 MFO852004 MPK852004 MZG852004 NJC852004 NSY852004 OCU852004 OMQ852004 OWM852004 PGI852004 PQE852004 QAA852004 QJW852004 QTS852004 RDO852004 RNK852004 RXG852004 SHC852004 SQY852004 TAU852004 TKQ852004 TUM852004 UEI852004 UOE852004 UYA852004 VHW852004 VRS852004 WBO852004 WLK852004 WVG852004 B917540 IU917540 SQ917540 ACM917540 AMI917540 AWE917540 BGA917540 BPW917540 BZS917540 CJO917540 CTK917540 DDG917540 DNC917540 DWY917540 EGU917540 EQQ917540 FAM917540 FKI917540 FUE917540 GEA917540 GNW917540 GXS917540 HHO917540 HRK917540 IBG917540 ILC917540 IUY917540 JEU917540 JOQ917540 JYM917540 KII917540 KSE917540 LCA917540 LLW917540 LVS917540 MFO917540 MPK917540 MZG917540 NJC917540 NSY917540 OCU917540 OMQ917540 OWM917540 PGI917540 PQE917540 QAA917540 QJW917540 QTS917540 RDO917540 RNK917540 RXG917540 SHC917540 SQY917540 TAU917540 TKQ917540 TUM917540 UEI917540 UOE917540 UYA917540 VHW917540 VRS917540 WBO917540 WLK917540 WVG917540 B983076 IU983076 SQ983076 ACM983076 AMI983076 AWE983076 BGA983076 BPW983076 BZS983076 CJO983076 CTK983076 DDG983076 DNC983076 DWY983076 EGU983076 EQQ983076 FAM983076 FKI983076 FUE983076 GEA983076 GNW983076 GXS983076 HHO983076 HRK983076 IBG983076 ILC983076 IUY983076 JEU983076 JOQ983076 JYM983076 KII983076 KSE983076 LCA983076 LLW983076 LVS983076 MFO983076 MPK983076 MZG983076 NJC983076 NSY983076 OCU983076 OMQ983076 OWM983076 PGI983076 PQE983076 QAA983076 QJW983076 QTS983076 RDO983076 RNK983076 RXG983076 SHC983076 SQY983076 TAU983076 TKQ983076 TUM983076 UEI983076 UOE983076 UYA983076 VHW983076 VRS983076 WBO983076 WLK983076 WVG983076 WLK983045 WVG786437 B851973 IU851973 SQ851973 ACM851973 AMI851973 AWE851973 BGA851973 BPW851973 BZS851973 CJO851973 CTK851973 DDG851973 DNC851973 DWY851973 EGU851973 EQQ851973 FAM851973 FKI851973 FUE851973 GEA851973 GNW851973 GXS851973 HHO851973 HRK851973 IBG851973 ILC851973 IUY851973 JEU851973 JOQ851973 JYM851973 KII851973 KSE851973 LCA851973 LLW851973 LVS851973 MFO851973 MPK851973 MZG851973 NJC851973 NSY851973 OCU851973 OMQ851973 OWM851973 PGI851973 PQE851973 QAA851973 QJW851973 QTS851973 RDO851973 RNK851973 RXG851973 SHC851973 SQY851973 TAU851973 TKQ851973 TUM851973 UEI851973 UOE851973 UYA851973 VHW851973 VRS851973 WBO851973 B65600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B131136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B196672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B262208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B327744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B393280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B458816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B524352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B589888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B655424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B720960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B786496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B852032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B917568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B983104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WVG983045 WLK851973 WVG851973 B917509 IU917509 SQ917509 ACM917509 AMI917509 AWE917509 BGA917509 BPW917509 BZS917509 CJO917509 CTK917509 DDG917509 DNC917509 DWY917509 EGU917509 EQQ917509 FAM917509 FKI917509 FUE917509 GEA917509 GNW917509 GXS917509 HHO917509 HRK917509 IBG917509 ILC917509 IUY917509 JEU917509 JOQ917509 JYM917509 KII917509 KSE917509 LCA917509 LLW917509 LVS917509 MFO917509 MPK917509 MZG917509 NJC917509 NSY917509 OCU917509 OMQ917509 OWM917509 PGI917509 PQE917509 QAA917509 QJW917509 QTS917509 RDO917509 RNK917509 RXG917509 SHC917509 SQY917509 TAU917509 TKQ917509 TUM917509 UEI917509 UOE917509 UYA917509 VHW917509 VRS917509 B65628 IU65628 SQ65628 ACM65628 AMI65628 AWE65628 BGA65628 BPW65628 BZS65628 CJO65628 CTK65628 DDG65628 DNC65628 DWY65628 EGU65628 EQQ65628 FAM65628 FKI65628 FUE65628 GEA65628 GNW65628 GXS65628 HHO65628 HRK65628 IBG65628 ILC65628 IUY65628 JEU65628 JOQ65628 JYM65628 KII65628 KSE65628 LCA65628 LLW65628 LVS65628 MFO65628 MPK65628 MZG65628 NJC65628 NSY65628 OCU65628 OMQ65628 OWM65628 PGI65628 PQE65628 QAA65628 QJW65628 QTS65628 RDO65628 RNK65628 RXG65628 SHC65628 SQY65628 TAU65628 TKQ65628 TUM65628 UEI65628 UOE65628 UYA65628 VHW65628 VRS65628 WBO65628 WLK65628 WVG65628 B131164 IU131164 SQ131164 ACM131164 AMI131164 AWE131164 BGA131164 BPW131164 BZS131164 CJO131164 CTK131164 DDG131164 DNC131164 DWY131164 EGU131164 EQQ131164 FAM131164 FKI131164 FUE131164 GEA131164 GNW131164 GXS131164 HHO131164 HRK131164 IBG131164 ILC131164 IUY131164 JEU131164 JOQ131164 JYM131164 KII131164 KSE131164 LCA131164 LLW131164 LVS131164 MFO131164 MPK131164 MZG131164 NJC131164 NSY131164 OCU131164 OMQ131164 OWM131164 PGI131164 PQE131164 QAA131164 QJW131164 QTS131164 RDO131164 RNK131164 RXG131164 SHC131164 SQY131164 TAU131164 TKQ131164 TUM131164 UEI131164 UOE131164 UYA131164 VHW131164 VRS131164 WBO131164 WLK131164 WVG131164 B196700 IU196700 SQ196700 ACM196700 AMI196700 AWE196700 BGA196700 BPW196700 BZS196700 CJO196700 CTK196700 DDG196700 DNC196700 DWY196700 EGU196700 EQQ196700 FAM196700 FKI196700 FUE196700 GEA196700 GNW196700 GXS196700 HHO196700 HRK196700 IBG196700 ILC196700 IUY196700 JEU196700 JOQ196700 JYM196700 KII196700 KSE196700 LCA196700 LLW196700 LVS196700 MFO196700 MPK196700 MZG196700 NJC196700 NSY196700 OCU196700 OMQ196700 OWM196700 PGI196700 PQE196700 QAA196700 QJW196700 QTS196700 RDO196700 RNK196700 RXG196700 SHC196700 SQY196700 TAU196700 TKQ196700 TUM196700 UEI196700 UOE196700 UYA196700 VHW196700 VRS196700 WBO196700 WLK196700 WVG196700 B262236 IU262236 SQ262236 ACM262236 AMI262236 AWE262236 BGA262236 BPW262236 BZS262236 CJO262236 CTK262236 DDG262236 DNC262236 DWY262236 EGU262236 EQQ262236 FAM262236 FKI262236 FUE262236 GEA262236 GNW262236 GXS262236 HHO262236 HRK262236 IBG262236 ILC262236 IUY262236 JEU262236 JOQ262236 JYM262236 KII262236 KSE262236 LCA262236 LLW262236 LVS262236 MFO262236 MPK262236 MZG262236 NJC262236 NSY262236 OCU262236 OMQ262236 OWM262236 PGI262236 PQE262236 QAA262236 QJW262236 QTS262236 RDO262236 RNK262236 RXG262236 SHC262236 SQY262236 TAU262236 TKQ262236 TUM262236 UEI262236 UOE262236 UYA262236 VHW262236 VRS262236 WBO262236 WLK262236 WVG262236 B327772 IU327772 SQ327772 ACM327772 AMI327772 AWE327772 BGA327772 BPW327772 BZS327772 CJO327772 CTK327772 DDG327772 DNC327772 DWY327772 EGU327772 EQQ327772 FAM327772 FKI327772 FUE327772 GEA327772 GNW327772 GXS327772 HHO327772 HRK327772 IBG327772 ILC327772 IUY327772 JEU327772 JOQ327772 JYM327772 KII327772 KSE327772 LCA327772 LLW327772 LVS327772 MFO327772 MPK327772 MZG327772 NJC327772 NSY327772 OCU327772 OMQ327772 OWM327772 PGI327772 PQE327772 QAA327772 QJW327772 QTS327772 RDO327772 RNK327772 RXG327772 SHC327772 SQY327772 TAU327772 TKQ327772 TUM327772 UEI327772 UOE327772 UYA327772 VHW327772 VRS327772 WBO327772 WLK327772 WVG327772 B393308 IU393308 SQ393308 ACM393308 AMI393308 AWE393308 BGA393308 BPW393308 BZS393308 CJO393308 CTK393308 DDG393308 DNC393308 DWY393308 EGU393308 EQQ393308 FAM393308 FKI393308 FUE393308 GEA393308 GNW393308 GXS393308 HHO393308 HRK393308 IBG393308 ILC393308 IUY393308 JEU393308 JOQ393308 JYM393308 KII393308 KSE393308 LCA393308 LLW393308 LVS393308 MFO393308 MPK393308 MZG393308 NJC393308 NSY393308 OCU393308 OMQ393308 OWM393308 PGI393308 PQE393308 QAA393308 QJW393308 QTS393308 RDO393308 RNK393308 RXG393308 SHC393308 SQY393308 TAU393308 TKQ393308 TUM393308 UEI393308 UOE393308 UYA393308 VHW393308 VRS393308 WBO393308 WLK393308 WVG393308 B458844 IU458844 SQ458844 ACM458844 AMI458844 AWE458844 BGA458844 BPW458844 BZS458844 CJO458844 CTK458844 DDG458844 DNC458844 DWY458844 EGU458844 EQQ458844 FAM458844 FKI458844 FUE458844 GEA458844 GNW458844 GXS458844 HHO458844 HRK458844 IBG458844 ILC458844 IUY458844 JEU458844 JOQ458844 JYM458844 KII458844 KSE458844 LCA458844 LLW458844 LVS458844 MFO458844 MPK458844 MZG458844 NJC458844 NSY458844 OCU458844 OMQ458844 OWM458844 PGI458844 PQE458844 QAA458844 QJW458844 QTS458844 RDO458844 RNK458844 RXG458844 SHC458844 SQY458844 TAU458844 TKQ458844 TUM458844 UEI458844 UOE458844 UYA458844 VHW458844 VRS458844 WBO458844 WLK458844 WVG458844 B524380 IU524380 SQ524380 ACM524380 AMI524380 AWE524380 BGA524380 BPW524380 BZS524380 CJO524380 CTK524380 DDG524380 DNC524380 DWY524380 EGU524380 EQQ524380 FAM524380 FKI524380 FUE524380 GEA524380 GNW524380 GXS524380 HHO524380 HRK524380 IBG524380 ILC524380 IUY524380 JEU524380 JOQ524380 JYM524380 KII524380 KSE524380 LCA524380 LLW524380 LVS524380 MFO524380 MPK524380 MZG524380 NJC524380 NSY524380 OCU524380 OMQ524380 OWM524380 PGI524380 PQE524380 QAA524380 QJW524380 QTS524380 RDO524380 RNK524380 RXG524380 SHC524380 SQY524380 TAU524380 TKQ524380 TUM524380 UEI524380 UOE524380 UYA524380 VHW524380 VRS524380 WBO524380 WLK524380 WVG524380 B589916 IU589916 SQ589916 ACM589916 AMI589916 AWE589916 BGA589916 BPW589916 BZS589916 CJO589916 CTK589916 DDG589916 DNC589916 DWY589916 EGU589916 EQQ589916 FAM589916 FKI589916 FUE589916 GEA589916 GNW589916 GXS589916 HHO589916 HRK589916 IBG589916 ILC589916 IUY589916 JEU589916 JOQ589916 JYM589916 KII589916 KSE589916 LCA589916 LLW589916 LVS589916 MFO589916 MPK589916 MZG589916 NJC589916 NSY589916 OCU589916 OMQ589916 OWM589916 PGI589916 PQE589916 QAA589916 QJW589916 QTS589916 RDO589916 RNK589916 RXG589916 SHC589916 SQY589916 TAU589916 TKQ589916 TUM589916 UEI589916 UOE589916 UYA589916 VHW589916 VRS589916 WBO589916 WLK589916 WVG589916 B655452 IU655452 SQ655452 ACM655452 AMI655452 AWE655452 BGA655452 BPW655452 BZS655452 CJO655452 CTK655452 DDG655452 DNC655452 DWY655452 EGU655452 EQQ655452 FAM655452 FKI655452 FUE655452 GEA655452 GNW655452 GXS655452 HHO655452 HRK655452 IBG655452 ILC655452 IUY655452 JEU655452 JOQ655452 JYM655452 KII655452 KSE655452 LCA655452 LLW655452 LVS655452 MFO655452 MPK655452 MZG655452 NJC655452 NSY655452 OCU655452 OMQ655452 OWM655452 PGI655452 PQE655452 QAA655452 QJW655452 QTS655452 RDO655452 RNK655452 RXG655452 SHC655452 SQY655452 TAU655452 TKQ655452 TUM655452 UEI655452 UOE655452 UYA655452 VHW655452 VRS655452 WBO655452 WLK655452 WVG655452 B720988 IU720988 SQ720988 ACM720988 AMI720988 AWE720988 BGA720988 BPW720988 BZS720988 CJO720988 CTK720988 DDG720988 DNC720988 DWY720988 EGU720988 EQQ720988 FAM720988 FKI720988 FUE720988 GEA720988 GNW720988 GXS720988 HHO720988 HRK720988 IBG720988 ILC720988 IUY720988 JEU720988 JOQ720988 JYM720988 KII720988 KSE720988 LCA720988 LLW720988 LVS720988 MFO720988 MPK720988 MZG720988 NJC720988 NSY720988 OCU720988 OMQ720988 OWM720988 PGI720988 PQE720988 QAA720988 QJW720988 QTS720988 RDO720988 RNK720988 RXG720988 SHC720988 SQY720988 TAU720988 TKQ720988 TUM720988 UEI720988 UOE720988 UYA720988 VHW720988 VRS720988 WBO720988 WLK720988 WVG720988 B786524 IU786524 SQ786524 ACM786524 AMI786524 AWE786524 BGA786524 BPW786524 BZS786524 CJO786524 CTK786524 DDG786524 DNC786524 DWY786524 EGU786524 EQQ786524 FAM786524 FKI786524 FUE786524 GEA786524 GNW786524 GXS786524 HHO786524 HRK786524 IBG786524 ILC786524 IUY786524 JEU786524 JOQ786524 JYM786524 KII786524 KSE786524 LCA786524 LLW786524 LVS786524 MFO786524 MPK786524 MZG786524 NJC786524 NSY786524 OCU786524 OMQ786524 OWM786524 PGI786524 PQE786524 QAA786524 QJW786524 QTS786524 RDO786524 RNK786524 RXG786524 SHC786524 SQY786524 TAU786524 TKQ786524 TUM786524 UEI786524 UOE786524 UYA786524 VHW786524 VRS786524 WBO786524 WLK786524 WVG786524 B852060 IU852060 SQ852060 ACM852060 AMI852060 AWE852060 BGA852060 BPW852060 BZS852060 CJO852060 CTK852060 DDG852060 DNC852060 DWY852060 EGU852060 EQQ852060 FAM852060 FKI852060 FUE852060 GEA852060 GNW852060 GXS852060 HHO852060 HRK852060 IBG852060 ILC852060 IUY852060 JEU852060 JOQ852060 JYM852060 KII852060 KSE852060 LCA852060 LLW852060 LVS852060 MFO852060 MPK852060 MZG852060 NJC852060 NSY852060 OCU852060 OMQ852060 OWM852060 PGI852060 PQE852060 QAA852060 QJW852060 QTS852060 RDO852060 RNK852060 RXG852060 SHC852060 SQY852060 TAU852060 TKQ852060 TUM852060 UEI852060 UOE852060 UYA852060 VHW852060 VRS852060 WBO852060 WLK852060 WVG852060 B917596 IU917596 SQ917596 ACM917596 AMI917596 AWE917596 BGA917596 BPW917596 BZS917596 CJO917596 CTK917596 DDG917596 DNC917596 DWY917596 EGU917596 EQQ917596 FAM917596 FKI917596 FUE917596 GEA917596 GNW917596 GXS917596 HHO917596 HRK917596 IBG917596 ILC917596 IUY917596 JEU917596 JOQ917596 JYM917596 KII917596 KSE917596 LCA917596 LLW917596 LVS917596 MFO917596 MPK917596 MZG917596 NJC917596 NSY917596 OCU917596 OMQ917596 OWM917596 PGI917596 PQE917596 QAA917596 QJW917596 QTS917596 RDO917596 RNK917596 RXG917596 SHC917596 SQY917596 TAU917596 TKQ917596 TUM917596 UEI917596 UOE917596 UYA917596 VHW917596 VRS917596 WBO917596 WLK917596 WVG917596 B983132 IU983132 SQ983132 ACM983132 AMI983132 AWE983132 BGA983132 BPW983132 BZS983132 CJO983132 CTK983132 DDG983132 DNC983132 DWY983132 EGU983132 EQQ983132 FAM983132 FKI983132 FUE983132 GEA983132 GNW983132 GXS983132 HHO983132 HRK983132 IBG983132 ILC983132 IUY983132 JEU983132 JOQ983132 JYM983132 KII983132 KSE983132 LCA983132 LLW983132 LVS983132 MFO983132 MPK983132 MZG983132 NJC983132 NSY983132 OCU983132 OMQ983132 OWM983132 PGI983132 PQE983132 QAA983132 QJW983132 QTS983132 RDO983132 RNK983132 RXG983132 SHC983132 SQY983132 TAU983132 TKQ983132 TUM983132 UEI983132 UOE983132 UYA983132 VHW983132 VRS983132 WBO983132 WLK983132 WVG983132 VRS983045 WBO917509 WLK917509 WVG917509 B983045 IU983045 SQ983045 ACM983045 AMI983045 AWE983045 BGA983045 BPW983045 BZS983045 CJO983045 CTK983045 DDG983045 DNC983045 DWY983045 EGU983045 EQQ983045 FAM983045 FKI983045 FUE983045 GEA983045 GNW983045 GXS983045 HHO983045 HRK983045 IBG983045 ILC983045 IUY983045 JEU983045 JOQ983045 JYM983045 KII983045 KSE983045 LCA983045 LLW983045 LVS983045 MFO983045 MPK983045 MZG983045 NJC983045 NSY983045 OCU983045 OMQ983045 OWM983045 PGI983045 PQE983045 QAA983045 QJW983045 QTS983045 RDO983045 RNK983045 RXG983045 SHC983045 SQY983045 TAU983045 TKQ983045 TUM983045 UEI983045 UOE983045 UYA983045 VHW983045 B65541 IU65541 SQ65541 ACM65541 AMI65541 AWE65541 BGA65541 BPW65541 BZS65541 CJO65541 CTK65541 DDG65541 DNC65541 DWY65541 EGU65541 EQQ65541 FAM65541 FKI65541 FUE65541 GEA65541 GNW65541 GXS65541 HHO65541 HRK65541 IBG65541 ILC65541 IUY65541 JEU65541 JOQ65541 JYM65541 KII65541 KSE65541 LCA65541 LLW65541 LVS65541 MFO65541 MPK65541 MZG65541 NJC65541 NSY65541 OCU65541 OMQ65541 OWM65541 PGI65541 PQE65541 QAA65541 QJW65541 QTS65541 RDO65541 RNK65541 RXG65541 SHC65541 SQY65541 TAU65541 TKQ65541 TUM65541 UEI65541 UOE65541 UYA65541 VHW65541 VRS65541 WBO65541 WLK65541 WVG65541 B131077 IU131077 SQ131077 ACM131077 AMI131077 AWE131077 BGA131077 BPW131077 BZS131077 CJO131077 CTK131077 DDG131077 DNC131077 DWY131077 EGU131077 EQQ131077 FAM131077 FKI131077 FUE131077 GEA131077 GNW131077 GXS131077 HHO131077 HRK131077 IBG131077 ILC131077 IUY131077 JEU131077 JOQ131077 JYM131077 KII131077 KSE131077 LCA131077 LLW131077 LVS131077 MFO131077 MPK131077 MZG131077 NJC131077 NSY131077 OCU131077 OMQ131077 OWM131077 PGI131077 PQE131077 QAA131077 QJW131077 QTS131077 RDO131077 RNK131077 RXG131077 SHC131077 SQY131077 TAU131077 TKQ131077 TUM131077 UEI131077 UOE131077 UYA131077 VHW131077 VRS131077 WBO131077 WLK131077 WVG131077 B196613 IU196613 SQ196613 ACM196613 AMI196613 AWE196613 BGA196613 BPW196613 BZS196613 CJO196613 CTK196613 DDG196613 DNC196613 DWY196613 EGU196613 EQQ196613 FAM196613 FKI196613 FUE196613 GEA196613 GNW196613 GXS196613 HHO196613 HRK196613 IBG196613 ILC196613 IUY196613 JEU196613 JOQ196613 JYM196613 KII196613 KSE196613 LCA196613 LLW196613 LVS196613 MFO196613 MPK196613 MZG196613 NJC196613 NSY196613 OCU196613 OMQ196613 OWM196613 PGI196613 PQE196613 QAA196613 QJW196613 QTS196613 RDO196613 RNK196613 RXG196613 SHC196613 SQY196613 TAU196613 TKQ196613 TUM196613 UEI196613 UOE196613 UYA196613 VHW196613 VRS196613 WBO196613 WLK196613 WVG196613 B262149 IU262149 SQ262149 ACM262149 AMI262149 AWE262149 BGA262149 BPW262149 BZS262149 CJO262149 CTK262149 DDG262149 DNC262149 DWY262149 EGU262149 EQQ262149 FAM262149 FKI262149 FUE262149 GEA262149 GNW262149 GXS262149 HHO262149 HRK262149 IBG262149 ILC262149 IUY262149 JEU262149 JOQ262149 JYM262149 KII262149 KSE262149 LCA262149 LLW262149 LVS262149 MFO262149 MPK262149 MZG262149 NJC262149 NSY262149 OCU262149 OMQ262149 OWM262149 PGI262149 PQE262149 QAA262149 QJW262149 QTS262149 RDO262149 RNK262149 RXG262149 SHC262149 SQY262149 TAU262149 TKQ262149 TUM262149 UEI262149 UOE262149 UYA262149 VHW262149 VRS262149 WBO262149 WLK262149 WVG262149 B327685 IU327685 SQ327685 ACM327685 AMI327685 AWE327685 BGA327685 BPW327685 BZS327685 CJO327685 CTK327685 DDG327685 DNC327685 DWY327685 EGU327685 EQQ327685 FAM327685 FKI327685 FUE327685 GEA327685 GNW327685 GXS327685 HHO327685 HRK327685 IBG327685 ILC327685 IUY327685 JEU327685 JOQ327685 JYM327685 KII327685 KSE327685 LCA327685 LLW327685 LVS327685 MFO327685 MPK327685 MZG327685 NJC327685 NSY327685 OCU327685 OMQ327685 OWM327685 PGI327685 PQE327685 QAA327685 QJW327685 QTS327685 RDO327685 RNK327685 RXG327685 SHC327685 SQY327685 TAU327685 TKQ327685 TUM327685 UEI327685 UOE327685 UYA327685 VHW327685 VRS327685 WBO327685 WLK327685 WVG327685 B393221 IU393221 SQ393221 ACM393221 AMI393221 AWE393221 BGA393221 BPW393221 BZS393221 CJO393221 CTK393221 DDG393221 DNC393221 DWY393221 EGU393221 EQQ393221 FAM393221 FKI393221 FUE393221 GEA393221 GNW393221 GXS393221 HHO393221 HRK393221 IBG393221 ILC393221 IUY393221 JEU393221 JOQ393221 JYM393221 KII393221 KSE393221 LCA393221 LLW393221 LVS393221 MFO393221 MPK393221 MZG393221 NJC393221 NSY393221 OCU393221 OMQ393221 OWM393221 PGI393221 PQE393221 QAA393221 QJW393221 QTS393221 RDO393221 RNK393221 RXG393221 SHC393221 SQY393221 TAU393221 TKQ393221 TUM393221 UEI393221 UOE393221 UYA393221 VHW393221 VRS393221 WBO393221 WLK393221 WVG393221 B458757 IU458757 SQ458757 ACM458757 AMI458757 AWE458757 BGA458757 BPW458757 BZS458757 CJO458757 CTK458757 DDG458757 DNC458757 DWY458757 EGU458757 EQQ458757 FAM458757 FKI458757 FUE458757 GEA458757 GNW458757 GXS458757 HHO458757 HRK458757 IBG458757 ILC458757 IUY458757 JEU458757 JOQ458757 JYM458757 KII458757 KSE458757 LCA458757 LLW458757 LVS458757 MFO458757 MPK458757 MZG458757 NJC458757 NSY458757 OCU458757 OMQ458757 OWM458757 PGI458757 PQE458757 QAA458757 QJW458757 QTS458757 RDO458757 RNK458757 RXG458757 SHC458757 SQY458757 TAU458757 TKQ458757 TUM458757 UEI458757 UOE458757 UYA458757 VHW458757 VRS458757 WBO458757 WLK458757 WVG458757 B524293 IU524293 SQ524293 ACM524293 AMI524293 AWE524293 BGA524293 BPW524293 BZS524293 CJO524293 CTK524293 DDG524293 DNC524293 DWY524293 EGU524293 EQQ524293 FAM524293 FKI524293 FUE524293 GEA524293 GNW524293 GXS524293 HHO524293 HRK524293 IBG524293 ILC524293 IUY524293 JEU524293 JOQ524293 JYM524293 KII524293 KSE524293 LCA524293 LLW524293 LVS524293 MFO524293 MPK524293 MZG524293 NJC524293 NSY524293 OCU524293 OMQ524293 OWM524293 PGI524293 PQE524293 QAA524293 QJW524293 QTS524293 RDO524293 RNK524293 RXG524293 SHC524293 SQY524293 TAU524293 TKQ524293 TUM524293 UEI524293 UOE524293 UYA524293 VHW524293 VRS524293 WBO524293 WLK524293 WVG524293 B589829 IU589829 SQ589829 ACM589829 AMI589829 AWE589829 BGA589829 BPW589829 BZS589829 CJO589829 CTK589829 DDG589829 DNC589829 DWY589829 EGU589829 EQQ589829 FAM589829 FKI589829 FUE589829 GEA589829 GNW589829 GXS589829 HHO589829 HRK589829 IBG589829 ILC589829 IUY589829 JEU589829 JOQ589829 JYM589829 KII589829 KSE589829 LCA589829 LLW589829 LVS589829 MFO589829 MPK589829 MZG589829 NJC589829 NSY589829 OCU589829 OMQ589829 OWM589829 PGI589829 PQE589829 QAA589829 QJW589829 QTS589829 RDO589829 RNK589829 RXG589829 SHC589829 SQY589829 TAU589829 TKQ589829 TUM589829 UEI589829 UOE589829 UYA589829 VHW589829 VRS589829 WBO589829 WLK589829 WVG589829 B655365 IU655365 SQ655365 ACM655365 AMI655365 AWE655365 BGA655365 BPW655365 BZS655365 CJO655365 CTK655365 DDG655365 DNC655365 DWY655365 EGU655365 EQQ655365 FAM655365 FKI655365 FUE655365 GEA655365 GNW655365 GXS655365 HHO655365 HRK655365 IBG655365 ILC655365 IUY655365 JEU655365 JOQ655365 JYM655365 KII655365 KSE655365 LCA655365 LLW655365 LVS655365 MFO655365 MPK655365 MZG655365 NJC655365 NSY655365 OCU655365 OMQ655365 OWM655365 PGI655365 PQE655365 QAA655365 QJW655365 QTS655365 RDO655365 RNK655365 RXG655365 SHC655365 SQY655365 TAU655365 TKQ655365 TUM655365 UEI655365 UOE655365 UYA655365 VHW655365 VRS655365 WBO655365 WLK655365 WVG655365 B720901 IU720901 SQ720901 ACM720901 AMI720901 AWE720901 BGA720901 BPW720901 BZS720901 CJO720901 CTK720901 DDG720901 DNC720901 DWY720901 EGU720901 EQQ720901 FAM720901 FKI720901 FUE720901 GEA720901 GNW720901 GXS720901 HHO720901 HRK720901 IBG720901 ILC720901 IUY720901 JEU720901 JOQ720901 JYM720901 KII720901 KSE720901 LCA720901 LLW720901 LVS720901 MFO720901 MPK720901 MZG720901 NJC720901 NSY720901 OCU720901 OMQ720901 OWM720901 PGI720901 PQE720901 QAA720901 QJW720901 QTS720901 RDO720901 RNK720901 RXG720901 SHC720901 SQY720901 TAU720901 TKQ720901 TUM720901 UEI720901 UOE720901 UYA720901 VHW720901 VRS720901 WBO720901 WLK720901 WVG720901 VRV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BR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LN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WVJ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B5 B36 B64 B92" xr:uid="{00000000-0002-0000-0D00-000000000000}">
      <formula1>#REF!</formula1>
    </dataValidation>
  </dataValidations>
  <pageMargins left="0.7" right="0.7" top="0.75" bottom="0.75" header="0.3" footer="0.3"/>
  <pageSetup paperSize="9" scale="37" orientation="portrait" horizontalDpi="1200" verticalDpi="1200" r:id="rId1"/>
  <rowBreaks count="1" manualBreakCount="1">
    <brk id="117" max="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dimension ref="A1:J140"/>
  <sheetViews>
    <sheetView showGridLines="0" view="pageBreakPreview" topLeftCell="BE116" zoomScale="89" zoomScaleNormal="80" zoomScaleSheetLayoutView="90" workbookViewId="0">
      <selection activeCell="A3" sqref="A3:E3"/>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0" ht="17.149999999999999" customHeight="1" x14ac:dyDescent="0.3">
      <c r="A1" s="364" t="s">
        <v>101</v>
      </c>
      <c r="B1" s="66"/>
      <c r="C1" s="66"/>
      <c r="D1" s="66"/>
      <c r="E1" s="66"/>
      <c r="F1" s="66"/>
      <c r="G1" s="66"/>
      <c r="H1" s="66"/>
      <c r="I1" s="66"/>
      <c r="J1"/>
    </row>
    <row r="2" spans="1:10" ht="17.149999999999999" customHeight="1" x14ac:dyDescent="0.25">
      <c r="A2" s="365"/>
      <c r="B2" s="66"/>
      <c r="C2" s="66"/>
      <c r="D2" s="66"/>
      <c r="E2" s="66"/>
      <c r="F2" s="66"/>
      <c r="G2" s="66"/>
      <c r="H2" s="66"/>
      <c r="I2" s="66"/>
      <c r="J2"/>
    </row>
    <row r="3" spans="1:10" ht="17.149999999999999" customHeight="1" x14ac:dyDescent="0.25">
      <c r="A3" s="800" t="s">
        <v>150</v>
      </c>
      <c r="B3" s="800"/>
      <c r="C3" s="800"/>
      <c r="D3" s="800"/>
      <c r="E3" s="800"/>
      <c r="F3" s="66"/>
      <c r="G3" s="66"/>
      <c r="H3" s="66"/>
      <c r="I3" s="66"/>
      <c r="J3"/>
    </row>
    <row r="4" spans="1:10" ht="17.149999999999999" customHeight="1" x14ac:dyDescent="0.25">
      <c r="A4" s="365"/>
      <c r="B4" s="66"/>
      <c r="C4" s="66"/>
      <c r="D4" s="66"/>
      <c r="E4" s="66"/>
      <c r="F4" s="66"/>
      <c r="G4" s="66"/>
      <c r="H4" s="66"/>
      <c r="I4" s="66"/>
      <c r="J4"/>
    </row>
    <row r="5" spans="1:10" ht="17.149999999999999" customHeight="1" thickBot="1" x14ac:dyDescent="0.3">
      <c r="A5" s="67" t="s">
        <v>103</v>
      </c>
      <c r="B5" s="836"/>
      <c r="C5" s="836"/>
      <c r="D5" s="68"/>
      <c r="E5" s="68"/>
      <c r="F5" s="66"/>
      <c r="G5" s="66"/>
      <c r="H5" s="66"/>
      <c r="I5" s="66"/>
      <c r="J5"/>
    </row>
    <row r="6" spans="1:10" ht="17.149999999999999" customHeight="1" thickBot="1" x14ac:dyDescent="0.3">
      <c r="A6" s="366" t="s">
        <v>104</v>
      </c>
      <c r="B6" s="818" t="s">
        <v>105</v>
      </c>
      <c r="C6" s="819"/>
      <c r="D6" s="837" t="s">
        <v>106</v>
      </c>
      <c r="E6" s="838"/>
      <c r="F6" s="818" t="s">
        <v>107</v>
      </c>
      <c r="G6" s="832"/>
      <c r="H6" s="832"/>
      <c r="I6" s="819"/>
      <c r="J6"/>
    </row>
    <row r="7" spans="1:10" ht="17.149999999999999" customHeight="1" thickBot="1" x14ac:dyDescent="0.3">
      <c r="A7" s="367" t="s">
        <v>108</v>
      </c>
      <c r="B7" s="324">
        <v>2023</v>
      </c>
      <c r="C7" s="324">
        <v>2022</v>
      </c>
      <c r="D7" s="324">
        <v>2023</v>
      </c>
      <c r="E7" s="71">
        <v>2022</v>
      </c>
      <c r="F7" s="818" t="s">
        <v>105</v>
      </c>
      <c r="G7" s="819"/>
      <c r="H7" s="818" t="s">
        <v>106</v>
      </c>
      <c r="I7" s="819"/>
      <c r="J7"/>
    </row>
    <row r="8" spans="1:10" ht="17.149999999999999" customHeight="1" x14ac:dyDescent="0.25">
      <c r="A8" s="844" t="s">
        <v>109</v>
      </c>
      <c r="B8" s="826"/>
      <c r="C8" s="827"/>
      <c r="D8" s="827"/>
      <c r="E8" s="828"/>
      <c r="F8" s="822" t="s">
        <v>110</v>
      </c>
      <c r="G8" s="822" t="s">
        <v>111</v>
      </c>
      <c r="H8" s="822" t="s">
        <v>112</v>
      </c>
      <c r="I8" s="822" t="s">
        <v>111</v>
      </c>
      <c r="J8"/>
    </row>
    <row r="9" spans="1:10" ht="17.149999999999999" customHeight="1" thickBot="1" x14ac:dyDescent="0.3">
      <c r="A9" s="845"/>
      <c r="B9" s="829"/>
      <c r="C9" s="830"/>
      <c r="D9" s="830"/>
      <c r="E9" s="831"/>
      <c r="F9" s="823"/>
      <c r="G9" s="823"/>
      <c r="H9" s="823"/>
      <c r="I9" s="823"/>
      <c r="J9"/>
    </row>
    <row r="10" spans="1:10" ht="17.149999999999999" customHeight="1" thickBot="1" x14ac:dyDescent="0.3">
      <c r="A10" s="368" t="s">
        <v>113</v>
      </c>
      <c r="B10" s="73"/>
      <c r="C10" s="74"/>
      <c r="D10" s="74"/>
      <c r="E10" s="75"/>
      <c r="F10" s="76"/>
      <c r="G10" s="76"/>
      <c r="H10" s="76"/>
      <c r="I10" s="77"/>
      <c r="J10"/>
    </row>
    <row r="11" spans="1:10" ht="17.149999999999999" customHeight="1" x14ac:dyDescent="0.25">
      <c r="A11" s="643" t="s">
        <v>114</v>
      </c>
      <c r="B11" s="78"/>
      <c r="C11" s="78"/>
      <c r="D11" s="78"/>
      <c r="E11" s="78"/>
      <c r="F11" s="78">
        <f>B11-C11</f>
        <v>0</v>
      </c>
      <c r="G11" s="78">
        <f>IF(C11&lt;&gt;0,(B11-C11)/C11)*100</f>
        <v>0</v>
      </c>
      <c r="H11" s="78">
        <f>D11-E11</f>
        <v>0</v>
      </c>
      <c r="I11" s="79">
        <f>IF(E11&lt;&gt;0,(D11-E11)/E11)*100</f>
        <v>0</v>
      </c>
      <c r="J11"/>
    </row>
    <row r="12" spans="1:10" ht="17.149999999999999" customHeight="1" x14ac:dyDescent="0.25">
      <c r="A12" s="643" t="s">
        <v>115</v>
      </c>
      <c r="B12" s="644"/>
      <c r="C12" s="645"/>
      <c r="D12" s="644"/>
      <c r="E12" s="645"/>
      <c r="F12" s="646">
        <f>B12-C12</f>
        <v>0</v>
      </c>
      <c r="G12" s="647">
        <f>IF(C12&lt;&gt;0,(B12-C12)/C12)*100</f>
        <v>0</v>
      </c>
      <c r="H12" s="646">
        <f>D12-E12</f>
        <v>0</v>
      </c>
      <c r="I12" s="647">
        <f>IF(E12&lt;&gt;0,(D12-E12)/E12)*100</f>
        <v>0</v>
      </c>
      <c r="J12"/>
    </row>
    <row r="13" spans="1:10" ht="17.149999999999999" customHeight="1" x14ac:dyDescent="0.25">
      <c r="A13" s="643" t="s">
        <v>116</v>
      </c>
      <c r="B13" s="646"/>
      <c r="C13" s="646"/>
      <c r="D13" s="648"/>
      <c r="E13" s="648"/>
      <c r="F13" s="646">
        <f>B13-C13</f>
        <v>0</v>
      </c>
      <c r="G13" s="647">
        <f>IF(C13&lt;&gt;0,(B13-C13)/C13)*100</f>
        <v>0</v>
      </c>
      <c r="H13" s="646">
        <f>D13-E13</f>
        <v>0</v>
      </c>
      <c r="I13" s="647">
        <f>IF(E13&lt;&gt;0,(D13-E13)/E13)*100</f>
        <v>0</v>
      </c>
      <c r="J13"/>
    </row>
    <row r="14" spans="1:10" ht="17.149999999999999" customHeight="1" x14ac:dyDescent="0.25">
      <c r="A14" s="649" t="s">
        <v>117</v>
      </c>
      <c r="B14" s="644"/>
      <c r="C14" s="644"/>
      <c r="D14" s="644"/>
      <c r="E14" s="645"/>
      <c r="F14" s="646"/>
      <c r="G14" s="650"/>
      <c r="H14" s="646"/>
      <c r="I14" s="650"/>
      <c r="J14"/>
    </row>
    <row r="15" spans="1:10" ht="17.149999999999999" customHeight="1" x14ac:dyDescent="0.25">
      <c r="A15" s="649" t="s">
        <v>118</v>
      </c>
      <c r="B15" s="644"/>
      <c r="C15" s="644"/>
      <c r="D15" s="644"/>
      <c r="E15" s="645"/>
      <c r="F15" s="646"/>
      <c r="G15" s="650"/>
      <c r="H15" s="646"/>
      <c r="I15" s="650"/>
      <c r="J15"/>
    </row>
    <row r="16" spans="1:10" ht="17.149999999999999" customHeight="1" x14ac:dyDescent="0.25">
      <c r="A16" s="649" t="s">
        <v>119</v>
      </c>
      <c r="B16" s="644"/>
      <c r="C16" s="644"/>
      <c r="D16" s="644"/>
      <c r="E16" s="645"/>
      <c r="F16" s="646"/>
      <c r="G16" s="650"/>
      <c r="H16" s="646"/>
      <c r="I16" s="650"/>
      <c r="J16"/>
    </row>
    <row r="17" spans="1:10" ht="17.149999999999999" customHeight="1" x14ac:dyDescent="0.25">
      <c r="A17" s="651" t="s">
        <v>120</v>
      </c>
      <c r="B17" s="644"/>
      <c r="C17" s="645"/>
      <c r="D17" s="644"/>
      <c r="E17" s="645"/>
      <c r="F17" s="646">
        <f>B17-C17</f>
        <v>0</v>
      </c>
      <c r="G17" s="647">
        <f>IF(C17&lt;&gt;0,(B17-C17)/C17)*100</f>
        <v>0</v>
      </c>
      <c r="H17" s="646">
        <f>D17-E17</f>
        <v>0</v>
      </c>
      <c r="I17" s="647">
        <f>IF(E17&lt;&gt;0,(D17-E17)/E17)*100</f>
        <v>0</v>
      </c>
      <c r="J17"/>
    </row>
    <row r="18" spans="1:10" ht="17.149999999999999" customHeight="1" x14ac:dyDescent="0.25">
      <c r="A18" s="643" t="s">
        <v>121</v>
      </c>
      <c r="B18" s="644"/>
      <c r="C18" s="645"/>
      <c r="D18" s="644"/>
      <c r="E18" s="645"/>
      <c r="F18" s="646">
        <f>B18-C18</f>
        <v>0</v>
      </c>
      <c r="G18" s="647">
        <f>IF(C18&lt;&gt;0,(B18-C18)/C18)*100</f>
        <v>0</v>
      </c>
      <c r="H18" s="646">
        <f>D18-E18</f>
        <v>0</v>
      </c>
      <c r="I18" s="647">
        <f>IF(E18&lt;&gt;0,(D18-E18)/E18)*100</f>
        <v>0</v>
      </c>
      <c r="J18"/>
    </row>
    <row r="19" spans="1:10" ht="17.149999999999999" customHeight="1" thickBot="1" x14ac:dyDescent="0.3">
      <c r="A19" s="652" t="s">
        <v>122</v>
      </c>
      <c r="B19" s="653"/>
      <c r="C19" s="654"/>
      <c r="D19" s="653"/>
      <c r="E19" s="654"/>
      <c r="F19" s="646">
        <f>B19-C19</f>
        <v>0</v>
      </c>
      <c r="G19" s="655">
        <f>IF(C19&lt;&gt;0,(B19-C19)/C19)*100</f>
        <v>0</v>
      </c>
      <c r="H19" s="646">
        <f>D19-E19</f>
        <v>0</v>
      </c>
      <c r="I19" s="655">
        <f>IF(E19&lt;&gt;0,(D19-E19)/E19)*100</f>
        <v>0</v>
      </c>
      <c r="J19"/>
    </row>
    <row r="20" spans="1:10" ht="17.149999999999999" customHeight="1" thickBot="1" x14ac:dyDescent="0.3">
      <c r="A20" s="369" t="s">
        <v>123</v>
      </c>
      <c r="B20" s="81"/>
      <c r="C20" s="82"/>
      <c r="D20" s="81"/>
      <c r="E20" s="82"/>
      <c r="F20" s="81">
        <f>F11+F18+F19</f>
        <v>0</v>
      </c>
      <c r="G20" s="83">
        <f>IF(C20&lt;&gt;0,(B20-C20)/C20)*100</f>
        <v>0</v>
      </c>
      <c r="H20" s="81">
        <f>H11+H18+H19</f>
        <v>0</v>
      </c>
      <c r="I20" s="83">
        <f>IF(E20&lt;&gt;0,(D20-E20)/E20)*100</f>
        <v>0</v>
      </c>
      <c r="J20"/>
    </row>
    <row r="21" spans="1:10" ht="17.149999999999999" customHeight="1" thickBot="1" x14ac:dyDescent="0.3">
      <c r="A21" s="370" t="s">
        <v>109</v>
      </c>
      <c r="B21" s="85"/>
      <c r="C21" s="85"/>
      <c r="D21" s="85"/>
      <c r="E21" s="85"/>
      <c r="F21" s="86"/>
      <c r="G21" s="86"/>
      <c r="H21" s="86"/>
      <c r="I21" s="87"/>
      <c r="J21"/>
    </row>
    <row r="22" spans="1:10" ht="17.149999999999999" customHeight="1" x14ac:dyDescent="0.25">
      <c r="A22" s="656" t="s">
        <v>124</v>
      </c>
      <c r="B22" s="548"/>
      <c r="C22" s="549"/>
      <c r="D22" s="548"/>
      <c r="E22" s="549"/>
      <c r="F22" s="550"/>
      <c r="G22" s="551"/>
      <c r="H22" s="551"/>
      <c r="I22" s="552"/>
      <c r="J22"/>
    </row>
    <row r="23" spans="1:10" ht="17.149999999999999" customHeight="1" x14ac:dyDescent="0.25">
      <c r="A23" s="643" t="s">
        <v>125</v>
      </c>
      <c r="B23" s="657"/>
      <c r="C23" s="624"/>
      <c r="D23" s="657"/>
      <c r="E23" s="624"/>
      <c r="F23" s="657">
        <f t="shared" ref="F23:F28" si="0">B23-C23</f>
        <v>0</v>
      </c>
      <c r="G23" s="625">
        <f t="shared" ref="G23:G28" si="1">IF(C23&lt;&gt;0,(B23-C23)/C23)*100</f>
        <v>0</v>
      </c>
      <c r="H23" s="657">
        <f t="shared" ref="H23:H28" si="2">D23-E23</f>
        <v>0</v>
      </c>
      <c r="I23" s="625">
        <f t="shared" ref="I23:I28" si="3">IF(E23&lt;&gt;0,(D23-E23)/E23)*100</f>
        <v>0</v>
      </c>
      <c r="J23"/>
    </row>
    <row r="24" spans="1:10" ht="17.149999999999999" customHeight="1" x14ac:dyDescent="0.25">
      <c r="A24" s="643" t="s">
        <v>126</v>
      </c>
      <c r="B24" s="644"/>
      <c r="C24" s="645"/>
      <c r="D24" s="644"/>
      <c r="E24" s="645"/>
      <c r="F24" s="646">
        <f t="shared" si="0"/>
        <v>0</v>
      </c>
      <c r="G24" s="647">
        <f t="shared" si="1"/>
        <v>0</v>
      </c>
      <c r="H24" s="646">
        <f t="shared" si="2"/>
        <v>0</v>
      </c>
      <c r="I24" s="647">
        <f t="shared" si="3"/>
        <v>0</v>
      </c>
      <c r="J24"/>
    </row>
    <row r="25" spans="1:10" ht="17.149999999999999" customHeight="1" x14ac:dyDescent="0.25">
      <c r="A25" s="643" t="s">
        <v>127</v>
      </c>
      <c r="B25" s="644"/>
      <c r="C25" s="644"/>
      <c r="D25" s="644"/>
      <c r="E25" s="645"/>
      <c r="F25" s="646">
        <f t="shared" si="0"/>
        <v>0</v>
      </c>
      <c r="G25" s="647">
        <f t="shared" si="1"/>
        <v>0</v>
      </c>
      <c r="H25" s="646">
        <f t="shared" si="2"/>
        <v>0</v>
      </c>
      <c r="I25" s="647">
        <f t="shared" si="3"/>
        <v>0</v>
      </c>
      <c r="J25"/>
    </row>
    <row r="26" spans="1:10" ht="17.149999999999999" customHeight="1" x14ac:dyDescent="0.25">
      <c r="A26" s="658" t="s">
        <v>128</v>
      </c>
      <c r="B26" s="644"/>
      <c r="C26" s="645"/>
      <c r="D26" s="644"/>
      <c r="E26" s="645"/>
      <c r="F26" s="646">
        <f t="shared" si="0"/>
        <v>0</v>
      </c>
      <c r="G26" s="647">
        <f t="shared" si="1"/>
        <v>0</v>
      </c>
      <c r="H26" s="646">
        <f t="shared" si="2"/>
        <v>0</v>
      </c>
      <c r="I26" s="647">
        <f t="shared" si="3"/>
        <v>0</v>
      </c>
      <c r="J26"/>
    </row>
    <row r="27" spans="1:10" ht="17.149999999999999" customHeight="1" x14ac:dyDescent="0.25">
      <c r="A27" s="643" t="s">
        <v>129</v>
      </c>
      <c r="B27" s="644"/>
      <c r="C27" s="645"/>
      <c r="D27" s="644"/>
      <c r="E27" s="645"/>
      <c r="F27" s="646">
        <f t="shared" si="0"/>
        <v>0</v>
      </c>
      <c r="G27" s="647">
        <f t="shared" si="1"/>
        <v>0</v>
      </c>
      <c r="H27" s="646">
        <f t="shared" si="2"/>
        <v>0</v>
      </c>
      <c r="I27" s="647">
        <f t="shared" si="3"/>
        <v>0</v>
      </c>
      <c r="J27"/>
    </row>
    <row r="28" spans="1:10" ht="17.149999999999999" customHeight="1" x14ac:dyDescent="0.25">
      <c r="A28" s="643" t="s">
        <v>130</v>
      </c>
      <c r="B28" s="644"/>
      <c r="C28" s="644"/>
      <c r="D28" s="644"/>
      <c r="E28" s="645"/>
      <c r="F28" s="646">
        <f t="shared" si="0"/>
        <v>0</v>
      </c>
      <c r="G28" s="647">
        <f t="shared" si="1"/>
        <v>0</v>
      </c>
      <c r="H28" s="646">
        <f t="shared" si="2"/>
        <v>0</v>
      </c>
      <c r="I28" s="647">
        <f t="shared" si="3"/>
        <v>0</v>
      </c>
      <c r="J28"/>
    </row>
    <row r="29" spans="1:10" ht="17.149999999999999" customHeight="1" x14ac:dyDescent="0.25">
      <c r="A29" s="643"/>
      <c r="B29" s="627"/>
      <c r="C29" s="628"/>
      <c r="D29" s="627"/>
      <c r="E29" s="628"/>
      <c r="F29" s="657"/>
      <c r="G29" s="625"/>
      <c r="H29" s="624"/>
      <c r="I29" s="629"/>
      <c r="J29"/>
    </row>
    <row r="30" spans="1:10" ht="17.149999999999999" customHeight="1" x14ac:dyDescent="0.25">
      <c r="A30" s="643"/>
      <c r="B30" s="627"/>
      <c r="C30" s="628"/>
      <c r="D30" s="627"/>
      <c r="E30" s="628"/>
      <c r="F30" s="657"/>
      <c r="G30" s="625"/>
      <c r="H30" s="624"/>
      <c r="I30" s="629"/>
      <c r="J30"/>
    </row>
    <row r="31" spans="1:10" ht="17.149999999999999" customHeight="1" thickBot="1" x14ac:dyDescent="0.3">
      <c r="A31" s="371" t="s">
        <v>109</v>
      </c>
      <c r="B31" s="630"/>
      <c r="C31" s="631"/>
      <c r="D31" s="630"/>
      <c r="E31" s="631"/>
      <c r="F31" s="632"/>
      <c r="G31" s="633"/>
      <c r="H31" s="634"/>
      <c r="I31" s="635"/>
      <c r="J31"/>
    </row>
    <row r="32" spans="1:10" ht="17.149999999999999" customHeight="1" thickBot="1" x14ac:dyDescent="0.3">
      <c r="A32" s="372" t="s">
        <v>131</v>
      </c>
      <c r="B32" s="90"/>
      <c r="C32" s="91"/>
      <c r="D32" s="90"/>
      <c r="E32" s="91"/>
      <c r="F32" s="91">
        <f>B32-C32</f>
        <v>0</v>
      </c>
      <c r="G32" s="92">
        <f>IF(C32&lt;&gt;0,(B32-C32)/C32)*100</f>
        <v>0</v>
      </c>
      <c r="H32" s="91">
        <f>D32-E32</f>
        <v>0</v>
      </c>
      <c r="I32" s="92">
        <f>IF(E32&lt;&gt;0,(D32-E32)/E32)*100</f>
        <v>0</v>
      </c>
      <c r="J32"/>
    </row>
    <row r="33" spans="1:10" ht="17.149999999999999" customHeight="1" thickBot="1" x14ac:dyDescent="0.3">
      <c r="A33" s="373" t="s">
        <v>132</v>
      </c>
      <c r="B33" s="90"/>
      <c r="C33" s="91"/>
      <c r="D33" s="90"/>
      <c r="E33" s="91"/>
      <c r="F33" s="91">
        <f>B33-C33</f>
        <v>0</v>
      </c>
      <c r="G33" s="92">
        <f>IF(C33&lt;&gt;0,(B33-C33)/C33)*100</f>
        <v>0</v>
      </c>
      <c r="H33" s="91">
        <f>D33-E33</f>
        <v>0</v>
      </c>
      <c r="I33" s="92">
        <f>IF(E33&lt;&gt;0,(D33-E33)/E33)*100</f>
        <v>0</v>
      </c>
      <c r="J33"/>
    </row>
    <row r="34" spans="1:10" ht="17.149999999999999" customHeight="1" x14ac:dyDescent="0.25">
      <c r="A34" s="374"/>
      <c r="B34" s="94"/>
      <c r="C34" s="94"/>
      <c r="D34" s="94"/>
      <c r="E34" s="94"/>
      <c r="F34" s="95"/>
      <c r="G34" s="95"/>
      <c r="H34" s="95"/>
      <c r="I34" s="95"/>
      <c r="J34"/>
    </row>
    <row r="35" spans="1:10" ht="17.149999999999999" customHeight="1" x14ac:dyDescent="0.25">
      <c r="A35" s="375"/>
      <c r="B35" s="96"/>
      <c r="C35" s="97"/>
      <c r="D35" s="97"/>
      <c r="E35" s="97"/>
      <c r="F35" s="66"/>
      <c r="G35" s="66"/>
      <c r="H35" s="66"/>
      <c r="I35" s="66"/>
      <c r="J35"/>
    </row>
    <row r="36" spans="1:10" ht="17.149999999999999" customHeight="1" thickBot="1" x14ac:dyDescent="0.3">
      <c r="A36" s="98" t="s">
        <v>133</v>
      </c>
      <c r="B36" s="836"/>
      <c r="C36" s="836"/>
      <c r="D36" s="99"/>
      <c r="E36" s="99"/>
      <c r="F36" s="66"/>
      <c r="G36" s="66"/>
      <c r="H36" s="66"/>
      <c r="I36" s="66"/>
      <c r="J36"/>
    </row>
    <row r="37" spans="1:10" ht="17.149999999999999" customHeight="1" thickBot="1" x14ac:dyDescent="0.3">
      <c r="A37" s="846" t="s">
        <v>134</v>
      </c>
      <c r="B37" s="818" t="s">
        <v>105</v>
      </c>
      <c r="C37" s="819"/>
      <c r="D37" s="818" t="s">
        <v>106</v>
      </c>
      <c r="E37" s="819"/>
      <c r="F37" s="804" t="s">
        <v>107</v>
      </c>
      <c r="G37" s="805"/>
      <c r="H37" s="805"/>
      <c r="I37" s="806"/>
      <c r="J37"/>
    </row>
    <row r="38" spans="1:10" ht="17.149999999999999" customHeight="1" thickBot="1" x14ac:dyDescent="0.3">
      <c r="A38" s="847"/>
      <c r="B38" s="399">
        <v>2023</v>
      </c>
      <c r="C38" s="399">
        <v>2022</v>
      </c>
      <c r="D38" s="399">
        <v>2023</v>
      </c>
      <c r="E38" s="400">
        <v>2022</v>
      </c>
      <c r="F38" s="804" t="s">
        <v>105</v>
      </c>
      <c r="G38" s="806"/>
      <c r="H38" s="804" t="s">
        <v>106</v>
      </c>
      <c r="I38" s="806"/>
      <c r="J38"/>
    </row>
    <row r="39" spans="1:10" ht="17.149999999999999" customHeight="1" x14ac:dyDescent="0.25">
      <c r="A39" s="376"/>
      <c r="B39" s="826"/>
      <c r="C39" s="827"/>
      <c r="D39" s="827"/>
      <c r="E39" s="828"/>
      <c r="F39" s="816" t="s">
        <v>110</v>
      </c>
      <c r="G39" s="816" t="s">
        <v>111</v>
      </c>
      <c r="H39" s="816" t="s">
        <v>112</v>
      </c>
      <c r="I39" s="816" t="s">
        <v>111</v>
      </c>
      <c r="J39"/>
    </row>
    <row r="40" spans="1:10" ht="17.149999999999999" customHeight="1" thickBot="1" x14ac:dyDescent="0.3">
      <c r="A40" s="377" t="s">
        <v>113</v>
      </c>
      <c r="B40" s="829"/>
      <c r="C40" s="830"/>
      <c r="D40" s="830"/>
      <c r="E40" s="831"/>
      <c r="F40" s="817"/>
      <c r="G40" s="817"/>
      <c r="H40" s="817"/>
      <c r="I40" s="817"/>
      <c r="J40"/>
    </row>
    <row r="41" spans="1:10" ht="17.149999999999999" customHeight="1" thickBot="1" x14ac:dyDescent="0.3">
      <c r="A41" s="378" t="s">
        <v>135</v>
      </c>
      <c r="B41" s="103"/>
      <c r="C41" s="104"/>
      <c r="D41" s="104"/>
      <c r="E41" s="104"/>
      <c r="F41" s="104">
        <f t="shared" ref="F41:F48" si="4">B41-C41</f>
        <v>0</v>
      </c>
      <c r="G41" s="105">
        <f t="shared" ref="G41:G48" si="5">IF(C41&lt;&gt;0,(B41-C41)/C41)*100</f>
        <v>0</v>
      </c>
      <c r="H41" s="104">
        <f t="shared" ref="H41:H48" si="6">D41-E41</f>
        <v>0</v>
      </c>
      <c r="I41" s="105">
        <f t="shared" ref="I41:I48" si="7">IF(E41&lt;&gt;0,(D41-E41)/E41)*100</f>
        <v>0</v>
      </c>
      <c r="J41"/>
    </row>
    <row r="42" spans="1:10" ht="17.149999999999999" customHeight="1" x14ac:dyDescent="0.25">
      <c r="A42" s="378" t="s">
        <v>136</v>
      </c>
      <c r="B42" s="659"/>
      <c r="C42" s="660"/>
      <c r="D42" s="660"/>
      <c r="E42" s="660"/>
      <c r="F42" s="646">
        <f t="shared" si="4"/>
        <v>0</v>
      </c>
      <c r="G42" s="647">
        <f t="shared" si="5"/>
        <v>0</v>
      </c>
      <c r="H42" s="646">
        <f t="shared" si="6"/>
        <v>0</v>
      </c>
      <c r="I42" s="647">
        <f t="shared" si="7"/>
        <v>0</v>
      </c>
      <c r="J42"/>
    </row>
    <row r="43" spans="1:10" ht="17.149999999999999" customHeight="1" x14ac:dyDescent="0.25">
      <c r="A43" s="378" t="s">
        <v>116</v>
      </c>
      <c r="B43" s="659"/>
      <c r="C43" s="660"/>
      <c r="D43" s="660"/>
      <c r="E43" s="660"/>
      <c r="F43" s="646">
        <f t="shared" si="4"/>
        <v>0</v>
      </c>
      <c r="G43" s="647">
        <f t="shared" si="5"/>
        <v>0</v>
      </c>
      <c r="H43" s="646">
        <f t="shared" si="6"/>
        <v>0</v>
      </c>
      <c r="I43" s="647">
        <f t="shared" si="7"/>
        <v>0</v>
      </c>
      <c r="J43"/>
    </row>
    <row r="44" spans="1:10" ht="17.149999999999999" customHeight="1" x14ac:dyDescent="0.25">
      <c r="A44" s="378" t="s">
        <v>137</v>
      </c>
      <c r="B44" s="659"/>
      <c r="C44" s="660"/>
      <c r="D44" s="660"/>
      <c r="E44" s="660"/>
      <c r="F44" s="646">
        <f t="shared" si="4"/>
        <v>0</v>
      </c>
      <c r="G44" s="647">
        <f t="shared" si="5"/>
        <v>0</v>
      </c>
      <c r="H44" s="646">
        <f t="shared" si="6"/>
        <v>0</v>
      </c>
      <c r="I44" s="647">
        <f t="shared" si="7"/>
        <v>0</v>
      </c>
      <c r="J44"/>
    </row>
    <row r="45" spans="1:10" ht="17.149999999999999" customHeight="1" x14ac:dyDescent="0.25">
      <c r="A45" s="378" t="s">
        <v>143</v>
      </c>
      <c r="B45" s="659"/>
      <c r="C45" s="660"/>
      <c r="D45" s="660"/>
      <c r="E45" s="660"/>
      <c r="F45" s="646">
        <f t="shared" si="4"/>
        <v>0</v>
      </c>
      <c r="G45" s="647">
        <f t="shared" si="5"/>
        <v>0</v>
      </c>
      <c r="H45" s="646">
        <f t="shared" si="6"/>
        <v>0</v>
      </c>
      <c r="I45" s="647">
        <f t="shared" si="7"/>
        <v>0</v>
      </c>
      <c r="J45"/>
    </row>
    <row r="46" spans="1:10" ht="17.149999999999999" customHeight="1" x14ac:dyDescent="0.25">
      <c r="A46" s="378" t="s">
        <v>139</v>
      </c>
      <c r="B46" s="661"/>
      <c r="C46" s="644"/>
      <c r="D46" s="660"/>
      <c r="E46" s="660"/>
      <c r="F46" s="646">
        <f t="shared" si="4"/>
        <v>0</v>
      </c>
      <c r="G46" s="647">
        <f t="shared" si="5"/>
        <v>0</v>
      </c>
      <c r="H46" s="646">
        <f t="shared" si="6"/>
        <v>0</v>
      </c>
      <c r="I46" s="647">
        <f t="shared" si="7"/>
        <v>0</v>
      </c>
      <c r="J46"/>
    </row>
    <row r="47" spans="1:10" ht="17.149999999999999" customHeight="1" thickBot="1" x14ac:dyDescent="0.3">
      <c r="A47" s="378" t="s">
        <v>140</v>
      </c>
      <c r="B47" s="662"/>
      <c r="C47" s="663"/>
      <c r="D47" s="664"/>
      <c r="E47" s="665"/>
      <c r="F47" s="646">
        <f t="shared" si="4"/>
        <v>0</v>
      </c>
      <c r="G47" s="647">
        <f t="shared" si="5"/>
        <v>0</v>
      </c>
      <c r="H47" s="646">
        <f t="shared" si="6"/>
        <v>0</v>
      </c>
      <c r="I47" s="647">
        <f t="shared" si="7"/>
        <v>0</v>
      </c>
      <c r="J47"/>
    </row>
    <row r="48" spans="1:10" ht="17.149999999999999" customHeight="1" thickBot="1" x14ac:dyDescent="0.3">
      <c r="A48" s="379" t="s">
        <v>123</v>
      </c>
      <c r="B48" s="91"/>
      <c r="C48" s="91"/>
      <c r="D48" s="91"/>
      <c r="E48" s="91"/>
      <c r="F48" s="91">
        <f t="shared" si="4"/>
        <v>0</v>
      </c>
      <c r="G48" s="92">
        <f t="shared" si="5"/>
        <v>0</v>
      </c>
      <c r="H48" s="91">
        <f t="shared" si="6"/>
        <v>0</v>
      </c>
      <c r="I48" s="92">
        <f t="shared" si="7"/>
        <v>0</v>
      </c>
      <c r="J48"/>
    </row>
    <row r="49" spans="1:10" ht="17.149999999999999" customHeight="1" thickBot="1" x14ac:dyDescent="0.3">
      <c r="A49" s="377" t="s">
        <v>124</v>
      </c>
      <c r="B49" s="114"/>
      <c r="C49" s="115"/>
      <c r="D49" s="115"/>
      <c r="E49" s="115"/>
      <c r="F49" s="116"/>
      <c r="G49" s="117"/>
      <c r="H49" s="116"/>
      <c r="I49" s="124"/>
      <c r="J49"/>
    </row>
    <row r="50" spans="1:10" ht="17.149999999999999" customHeight="1" thickBot="1" x14ac:dyDescent="0.3">
      <c r="A50" s="378" t="s">
        <v>125</v>
      </c>
      <c r="B50" s="103"/>
      <c r="C50" s="104"/>
      <c r="D50" s="104"/>
      <c r="E50" s="104"/>
      <c r="F50" s="104">
        <f t="shared" ref="F50:F55" si="8">B50-C50</f>
        <v>0</v>
      </c>
      <c r="G50" s="105">
        <f t="shared" ref="G50:G55" si="9">IF(C50&lt;&gt;0,(B50-C50)/C50)*100</f>
        <v>0</v>
      </c>
      <c r="H50" s="104">
        <f t="shared" ref="H50:H55" si="10">D50-E50</f>
        <v>0</v>
      </c>
      <c r="I50" s="105">
        <f t="shared" ref="I50:I55" si="11">IF(E50&lt;&gt;0,(D50-E50)/E50)*100</f>
        <v>0</v>
      </c>
      <c r="J50"/>
    </row>
    <row r="51" spans="1:10" ht="17.149999999999999" customHeight="1" x14ac:dyDescent="0.25">
      <c r="A51" s="380" t="s">
        <v>126</v>
      </c>
      <c r="B51" s="645"/>
      <c r="C51" s="645"/>
      <c r="D51" s="645"/>
      <c r="E51" s="645"/>
      <c r="F51" s="646">
        <f t="shared" si="8"/>
        <v>0</v>
      </c>
      <c r="G51" s="647">
        <f t="shared" si="9"/>
        <v>0</v>
      </c>
      <c r="H51" s="646">
        <f t="shared" si="10"/>
        <v>0</v>
      </c>
      <c r="I51" s="647">
        <f t="shared" si="11"/>
        <v>0</v>
      </c>
      <c r="J51"/>
    </row>
    <row r="52" spans="1:10" ht="17.149999999999999" customHeight="1" x14ac:dyDescent="0.25">
      <c r="A52" s="380" t="s">
        <v>127</v>
      </c>
      <c r="B52" s="645"/>
      <c r="C52" s="645"/>
      <c r="D52" s="645"/>
      <c r="E52" s="645"/>
      <c r="F52" s="646">
        <f t="shared" si="8"/>
        <v>0</v>
      </c>
      <c r="G52" s="647">
        <f t="shared" si="9"/>
        <v>0</v>
      </c>
      <c r="H52" s="646">
        <f t="shared" si="10"/>
        <v>0</v>
      </c>
      <c r="I52" s="647">
        <f t="shared" si="11"/>
        <v>0</v>
      </c>
      <c r="J52"/>
    </row>
    <row r="53" spans="1:10" ht="17.149999999999999" customHeight="1" x14ac:dyDescent="0.25">
      <c r="A53" s="381" t="s">
        <v>141</v>
      </c>
      <c r="B53" s="645"/>
      <c r="C53" s="645"/>
      <c r="D53" s="645"/>
      <c r="E53" s="645"/>
      <c r="F53" s="646">
        <f t="shared" si="8"/>
        <v>0</v>
      </c>
      <c r="G53" s="647">
        <f t="shared" si="9"/>
        <v>0</v>
      </c>
      <c r="H53" s="646">
        <f t="shared" si="10"/>
        <v>0</v>
      </c>
      <c r="I53" s="647">
        <f t="shared" si="11"/>
        <v>0</v>
      </c>
      <c r="J53"/>
    </row>
    <row r="54" spans="1:10" ht="17.149999999999999" customHeight="1" x14ac:dyDescent="0.25">
      <c r="A54" s="380" t="s">
        <v>129</v>
      </c>
      <c r="B54" s="645"/>
      <c r="C54" s="645"/>
      <c r="D54" s="645"/>
      <c r="E54" s="645"/>
      <c r="F54" s="646">
        <f t="shared" si="8"/>
        <v>0</v>
      </c>
      <c r="G54" s="647">
        <f t="shared" si="9"/>
        <v>0</v>
      </c>
      <c r="H54" s="646">
        <f t="shared" si="10"/>
        <v>0</v>
      </c>
      <c r="I54" s="647">
        <f t="shared" si="11"/>
        <v>0</v>
      </c>
      <c r="J54"/>
    </row>
    <row r="55" spans="1:10" ht="17.149999999999999" customHeight="1" x14ac:dyDescent="0.25">
      <c r="A55" s="378" t="s">
        <v>130</v>
      </c>
      <c r="B55" s="645"/>
      <c r="C55" s="645"/>
      <c r="D55" s="645"/>
      <c r="E55" s="645"/>
      <c r="F55" s="646">
        <f t="shared" si="8"/>
        <v>0</v>
      </c>
      <c r="G55" s="647">
        <f t="shared" si="9"/>
        <v>0</v>
      </c>
      <c r="H55" s="646">
        <f t="shared" si="10"/>
        <v>0</v>
      </c>
      <c r="I55" s="647">
        <f t="shared" si="11"/>
        <v>0</v>
      </c>
      <c r="J55"/>
    </row>
    <row r="56" spans="1:10" ht="17.149999999999999" customHeight="1" x14ac:dyDescent="0.25">
      <c r="A56" s="378"/>
      <c r="B56" s="645"/>
      <c r="C56" s="645"/>
      <c r="D56" s="645"/>
      <c r="E56" s="645"/>
      <c r="F56" s="666"/>
      <c r="G56" s="667"/>
      <c r="H56" s="666"/>
      <c r="I56" s="667"/>
      <c r="J56"/>
    </row>
    <row r="57" spans="1:10" ht="17.149999999999999" customHeight="1" x14ac:dyDescent="0.25">
      <c r="A57" s="378"/>
      <c r="B57" s="645"/>
      <c r="C57" s="645"/>
      <c r="D57" s="645"/>
      <c r="E57" s="645"/>
      <c r="F57" s="666"/>
      <c r="G57" s="667"/>
      <c r="H57" s="666"/>
      <c r="I57" s="667"/>
      <c r="J57"/>
    </row>
    <row r="58" spans="1:10" ht="17.149999999999999" customHeight="1" thickBot="1" x14ac:dyDescent="0.3">
      <c r="A58" s="378"/>
      <c r="B58" s="668"/>
      <c r="C58" s="668"/>
      <c r="D58" s="669"/>
      <c r="E58" s="669"/>
      <c r="F58" s="670"/>
      <c r="G58" s="671"/>
      <c r="H58" s="672"/>
      <c r="I58" s="673"/>
      <c r="J58"/>
    </row>
    <row r="59" spans="1:10" ht="17.149999999999999" customHeight="1" thickBot="1" x14ac:dyDescent="0.3">
      <c r="A59" s="379" t="s">
        <v>131</v>
      </c>
      <c r="B59" s="103"/>
      <c r="C59" s="104"/>
      <c r="D59" s="104"/>
      <c r="E59" s="104"/>
      <c r="F59" s="657">
        <f>B59-C59</f>
        <v>0</v>
      </c>
      <c r="G59" s="625">
        <f>IF(C59&lt;&gt;0,(B59-C59)/C59)*100</f>
        <v>0</v>
      </c>
      <c r="H59" s="657">
        <f>D59-E59</f>
        <v>0</v>
      </c>
      <c r="I59" s="625">
        <f>IF(E59&lt;&gt;0,(D59-E59)/E59)*100</f>
        <v>0</v>
      </c>
      <c r="J59"/>
    </row>
    <row r="60" spans="1:10" ht="17.149999999999999" customHeight="1" thickBot="1" x14ac:dyDescent="0.3">
      <c r="A60" s="378"/>
      <c r="B60" s="121"/>
      <c r="C60" s="122"/>
      <c r="D60" s="122"/>
      <c r="E60" s="122"/>
      <c r="F60" s="123"/>
      <c r="G60" s="124"/>
      <c r="H60" s="123"/>
      <c r="I60" s="125"/>
      <c r="J60"/>
    </row>
    <row r="61" spans="1:10" ht="17.149999999999999" customHeight="1" thickBot="1" x14ac:dyDescent="0.3">
      <c r="A61" s="379" t="s">
        <v>132</v>
      </c>
      <c r="B61" s="103"/>
      <c r="C61" s="104"/>
      <c r="D61" s="104"/>
      <c r="E61" s="104"/>
      <c r="F61" s="104">
        <f>B61-C61</f>
        <v>0</v>
      </c>
      <c r="G61" s="105">
        <f>IF(C61&lt;&gt;0,(B61-C61)/C61)*100</f>
        <v>0</v>
      </c>
      <c r="H61" s="104">
        <f>D61-E61</f>
        <v>0</v>
      </c>
      <c r="I61" s="105">
        <f>IF(E61&lt;&gt;0,(D61-E61)/E61)*100</f>
        <v>0</v>
      </c>
      <c r="J61"/>
    </row>
    <row r="62" spans="1:10" ht="17.149999999999999" customHeight="1" x14ac:dyDescent="0.25">
      <c r="A62" s="374"/>
      <c r="B62" s="94"/>
      <c r="C62" s="94"/>
      <c r="D62" s="94"/>
      <c r="E62" s="94"/>
      <c r="F62" s="95"/>
      <c r="G62" s="95"/>
      <c r="H62" s="95"/>
      <c r="I62" s="95"/>
      <c r="J62"/>
    </row>
    <row r="63" spans="1:10" ht="17.149999999999999" customHeight="1" x14ac:dyDescent="0.25">
      <c r="A63" s="382"/>
      <c r="B63" s="127"/>
      <c r="C63" s="126"/>
      <c r="D63" s="126"/>
      <c r="E63" s="126"/>
      <c r="F63" s="66"/>
      <c r="G63" s="66"/>
      <c r="H63" s="66"/>
      <c r="I63" s="66"/>
      <c r="J63"/>
    </row>
    <row r="64" spans="1:10" ht="17.149999999999999" customHeight="1" thickBot="1" x14ac:dyDescent="0.3">
      <c r="A64" s="128" t="s">
        <v>142</v>
      </c>
      <c r="B64" s="836"/>
      <c r="C64" s="836"/>
      <c r="D64" s="129"/>
      <c r="E64" s="129"/>
      <c r="F64" s="66"/>
      <c r="G64" s="66"/>
      <c r="H64" s="66"/>
      <c r="I64" s="66"/>
      <c r="J64"/>
    </row>
    <row r="65" spans="1:10" ht="17.149999999999999" customHeight="1" thickBot="1" x14ac:dyDescent="0.3">
      <c r="A65" s="848" t="s">
        <v>134</v>
      </c>
      <c r="B65" s="820" t="s">
        <v>105</v>
      </c>
      <c r="C65" s="821"/>
      <c r="D65" s="820" t="s">
        <v>106</v>
      </c>
      <c r="E65" s="821"/>
      <c r="F65" s="804" t="s">
        <v>107</v>
      </c>
      <c r="G65" s="805"/>
      <c r="H65" s="805"/>
      <c r="I65" s="806"/>
      <c r="J65"/>
    </row>
    <row r="66" spans="1:10" ht="17.149999999999999" customHeight="1" thickBot="1" x14ac:dyDescent="0.3">
      <c r="A66" s="849"/>
      <c r="B66" s="324">
        <v>2023</v>
      </c>
      <c r="C66" s="324">
        <v>2022</v>
      </c>
      <c r="D66" s="324">
        <v>2023</v>
      </c>
      <c r="E66" s="71">
        <v>2022</v>
      </c>
      <c r="F66" s="804" t="s">
        <v>105</v>
      </c>
      <c r="G66" s="806"/>
      <c r="H66" s="804" t="s">
        <v>106</v>
      </c>
      <c r="I66" s="806"/>
      <c r="J66"/>
    </row>
    <row r="67" spans="1:10" ht="17.149999999999999" customHeight="1" x14ac:dyDescent="0.25">
      <c r="A67" s="383"/>
      <c r="B67" s="807"/>
      <c r="C67" s="808"/>
      <c r="D67" s="808"/>
      <c r="E67" s="809"/>
      <c r="F67" s="816" t="s">
        <v>110</v>
      </c>
      <c r="G67" s="816" t="s">
        <v>111</v>
      </c>
      <c r="H67" s="816" t="s">
        <v>112</v>
      </c>
      <c r="I67" s="816" t="s">
        <v>111</v>
      </c>
      <c r="J67"/>
    </row>
    <row r="68" spans="1:10" ht="17.149999999999999" customHeight="1" thickBot="1" x14ac:dyDescent="0.3">
      <c r="A68" s="384" t="s">
        <v>113</v>
      </c>
      <c r="B68" s="810"/>
      <c r="C68" s="811"/>
      <c r="D68" s="811"/>
      <c r="E68" s="812"/>
      <c r="F68" s="817"/>
      <c r="G68" s="817"/>
      <c r="H68" s="817"/>
      <c r="I68" s="817"/>
      <c r="J68"/>
    </row>
    <row r="69" spans="1:10" ht="17.149999999999999" customHeight="1" thickBot="1" x14ac:dyDescent="0.3">
      <c r="A69" s="385" t="s">
        <v>135</v>
      </c>
      <c r="B69" s="133">
        <f>B70+B71+B72</f>
        <v>0</v>
      </c>
      <c r="C69" s="91">
        <f>C70+C71+C72</f>
        <v>0</v>
      </c>
      <c r="D69" s="91">
        <f>D70+D71+D72</f>
        <v>0</v>
      </c>
      <c r="E69" s="91">
        <f>E70+E71+E72</f>
        <v>0</v>
      </c>
      <c r="F69" s="91">
        <f t="shared" ref="F69:F75" si="12">B69-C69</f>
        <v>0</v>
      </c>
      <c r="G69" s="92">
        <f t="shared" ref="G69:G75" si="13">IF(C69&lt;&gt;0,(B69-C69)/C69)*100</f>
        <v>0</v>
      </c>
      <c r="H69" s="91">
        <f t="shared" ref="H69:H75" si="14">D69-E69</f>
        <v>0</v>
      </c>
      <c r="I69" s="92">
        <f t="shared" ref="I69:I75" si="15">IF(E69&lt;&gt;0,(D69-E69)/E69)*100</f>
        <v>0</v>
      </c>
      <c r="J69"/>
    </row>
    <row r="70" spans="1:10" ht="17.149999999999999" customHeight="1" x14ac:dyDescent="0.25">
      <c r="A70" s="385" t="s">
        <v>136</v>
      </c>
      <c r="B70" s="659">
        <f t="shared" ref="B70:E71" si="16">B42+B98</f>
        <v>0</v>
      </c>
      <c r="C70" s="659">
        <f t="shared" si="16"/>
        <v>0</v>
      </c>
      <c r="D70" s="659">
        <f t="shared" si="16"/>
        <v>0</v>
      </c>
      <c r="E70" s="659">
        <f t="shared" si="16"/>
        <v>0</v>
      </c>
      <c r="F70" s="646">
        <f t="shared" si="12"/>
        <v>0</v>
      </c>
      <c r="G70" s="647">
        <f t="shared" si="13"/>
        <v>0</v>
      </c>
      <c r="H70" s="646">
        <f t="shared" si="14"/>
        <v>0</v>
      </c>
      <c r="I70" s="647">
        <f t="shared" si="15"/>
        <v>0</v>
      </c>
      <c r="J70"/>
    </row>
    <row r="71" spans="1:10" ht="17.149999999999999" customHeight="1" x14ac:dyDescent="0.25">
      <c r="A71" s="385" t="s">
        <v>116</v>
      </c>
      <c r="B71" s="659">
        <f t="shared" si="16"/>
        <v>0</v>
      </c>
      <c r="C71" s="659">
        <f t="shared" si="16"/>
        <v>0</v>
      </c>
      <c r="D71" s="659">
        <f t="shared" si="16"/>
        <v>0</v>
      </c>
      <c r="E71" s="659">
        <f t="shared" si="16"/>
        <v>0</v>
      </c>
      <c r="F71" s="646">
        <f t="shared" si="12"/>
        <v>0</v>
      </c>
      <c r="G71" s="647">
        <f t="shared" si="13"/>
        <v>0</v>
      </c>
      <c r="H71" s="646">
        <f t="shared" si="14"/>
        <v>0</v>
      </c>
      <c r="I71" s="647">
        <f t="shared" si="15"/>
        <v>0</v>
      </c>
      <c r="J71"/>
    </row>
    <row r="72" spans="1:10" ht="17.149999999999999" customHeight="1" x14ac:dyDescent="0.25">
      <c r="A72" s="385" t="s">
        <v>143</v>
      </c>
      <c r="B72" s="659">
        <f t="shared" ref="B72:E74" si="17">B45+B100</f>
        <v>0</v>
      </c>
      <c r="C72" s="659">
        <f t="shared" si="17"/>
        <v>0</v>
      </c>
      <c r="D72" s="659">
        <f t="shared" si="17"/>
        <v>0</v>
      </c>
      <c r="E72" s="659">
        <f t="shared" si="17"/>
        <v>0</v>
      </c>
      <c r="F72" s="646">
        <f t="shared" si="12"/>
        <v>0</v>
      </c>
      <c r="G72" s="647">
        <f t="shared" si="13"/>
        <v>0</v>
      </c>
      <c r="H72" s="646">
        <f t="shared" si="14"/>
        <v>0</v>
      </c>
      <c r="I72" s="647">
        <f t="shared" si="15"/>
        <v>0</v>
      </c>
      <c r="J72"/>
    </row>
    <row r="73" spans="1:10" ht="17.149999999999999" customHeight="1" x14ac:dyDescent="0.25">
      <c r="A73" s="385" t="s">
        <v>139</v>
      </c>
      <c r="B73" s="659">
        <f t="shared" si="17"/>
        <v>0</v>
      </c>
      <c r="C73" s="659">
        <f t="shared" si="17"/>
        <v>0</v>
      </c>
      <c r="D73" s="659">
        <f t="shared" si="17"/>
        <v>0</v>
      </c>
      <c r="E73" s="659">
        <f t="shared" si="17"/>
        <v>0</v>
      </c>
      <c r="F73" s="646">
        <f t="shared" si="12"/>
        <v>0</v>
      </c>
      <c r="G73" s="647">
        <f t="shared" si="13"/>
        <v>0</v>
      </c>
      <c r="H73" s="646">
        <f t="shared" si="14"/>
        <v>0</v>
      </c>
      <c r="I73" s="647">
        <f t="shared" si="15"/>
        <v>0</v>
      </c>
      <c r="J73"/>
    </row>
    <row r="74" spans="1:10" ht="17.149999999999999" customHeight="1" thickBot="1" x14ac:dyDescent="0.3">
      <c r="A74" s="385" t="s">
        <v>140</v>
      </c>
      <c r="B74" s="659">
        <f t="shared" si="17"/>
        <v>0</v>
      </c>
      <c r="C74" s="659">
        <f t="shared" si="17"/>
        <v>0</v>
      </c>
      <c r="D74" s="659">
        <f t="shared" si="17"/>
        <v>0</v>
      </c>
      <c r="E74" s="659">
        <f t="shared" si="17"/>
        <v>0</v>
      </c>
      <c r="F74" s="646">
        <f t="shared" si="12"/>
        <v>0</v>
      </c>
      <c r="G74" s="647">
        <f t="shared" si="13"/>
        <v>0</v>
      </c>
      <c r="H74" s="646">
        <f t="shared" si="14"/>
        <v>0</v>
      </c>
      <c r="I74" s="647">
        <f t="shared" si="15"/>
        <v>0</v>
      </c>
      <c r="J74"/>
    </row>
    <row r="75" spans="1:10" ht="17.149999999999999" customHeight="1" thickBot="1" x14ac:dyDescent="0.3">
      <c r="A75" s="386" t="s">
        <v>123</v>
      </c>
      <c r="B75" s="135">
        <f>B69+B73+B74</f>
        <v>0</v>
      </c>
      <c r="C75" s="90">
        <f>C69+C73+C74</f>
        <v>0</v>
      </c>
      <c r="D75" s="90">
        <f>D69+D73+D74</f>
        <v>0</v>
      </c>
      <c r="E75" s="91">
        <f>E69+E73+E74</f>
        <v>0</v>
      </c>
      <c r="F75" s="82">
        <f t="shared" si="12"/>
        <v>0</v>
      </c>
      <c r="G75" s="83">
        <f t="shared" si="13"/>
        <v>0</v>
      </c>
      <c r="H75" s="82">
        <f t="shared" si="14"/>
        <v>0</v>
      </c>
      <c r="I75" s="83">
        <f t="shared" si="15"/>
        <v>0</v>
      </c>
      <c r="J75"/>
    </row>
    <row r="76" spans="1:10" ht="17.149999999999999" customHeight="1" x14ac:dyDescent="0.25">
      <c r="A76" s="387"/>
      <c r="B76" s="107"/>
      <c r="C76" s="108"/>
      <c r="D76" s="108"/>
      <c r="E76" s="108"/>
      <c r="F76" s="110"/>
      <c r="G76" s="110"/>
      <c r="H76" s="110"/>
      <c r="I76" s="137"/>
      <c r="J76"/>
    </row>
    <row r="77" spans="1:10" ht="17.149999999999999" customHeight="1" thickBot="1" x14ac:dyDescent="0.3">
      <c r="A77" s="384" t="s">
        <v>124</v>
      </c>
      <c r="B77" s="114"/>
      <c r="C77" s="115"/>
      <c r="D77" s="115"/>
      <c r="E77" s="115"/>
      <c r="F77" s="116"/>
      <c r="G77" s="116"/>
      <c r="H77" s="116"/>
      <c r="I77" s="138"/>
      <c r="J77"/>
    </row>
    <row r="78" spans="1:10" ht="17.149999999999999" customHeight="1" thickBot="1" x14ac:dyDescent="0.3">
      <c r="A78" s="385" t="s">
        <v>125</v>
      </c>
      <c r="B78" s="133">
        <f>SUM(B79:B82)</f>
        <v>0</v>
      </c>
      <c r="C78" s="91">
        <f>SUM(C79:C82)</f>
        <v>0</v>
      </c>
      <c r="D78" s="91">
        <f>SUM(D79:D82)</f>
        <v>0</v>
      </c>
      <c r="E78" s="91">
        <f>SUM(E79:E82)</f>
        <v>0</v>
      </c>
      <c r="F78" s="91">
        <f t="shared" ref="F78:F83" si="18">B78-C78</f>
        <v>0</v>
      </c>
      <c r="G78" s="92">
        <f t="shared" ref="G78:G83" si="19">IF(C78&lt;&gt;0,(B78-C78)/C78)*100</f>
        <v>0</v>
      </c>
      <c r="H78" s="91">
        <f t="shared" ref="H78:H83" si="20">D78-E78</f>
        <v>0</v>
      </c>
      <c r="I78" s="92">
        <f t="shared" ref="I78:I83" si="21">IF(E78&lt;&gt;0,(D78-E78)/E78)*100</f>
        <v>0</v>
      </c>
      <c r="J78"/>
    </row>
    <row r="79" spans="1:10" ht="17.149999999999999" customHeight="1" x14ac:dyDescent="0.25">
      <c r="A79" s="380" t="s">
        <v>126</v>
      </c>
      <c r="B79" s="659">
        <f t="shared" ref="B79:E83" si="22">B51+B107</f>
        <v>0</v>
      </c>
      <c r="C79" s="659">
        <f t="shared" si="22"/>
        <v>0</v>
      </c>
      <c r="D79" s="659">
        <f t="shared" si="22"/>
        <v>0</v>
      </c>
      <c r="E79" s="659">
        <f t="shared" si="22"/>
        <v>0</v>
      </c>
      <c r="F79" s="646">
        <f t="shared" si="18"/>
        <v>0</v>
      </c>
      <c r="G79" s="647">
        <f t="shared" si="19"/>
        <v>0</v>
      </c>
      <c r="H79" s="646">
        <f t="shared" si="20"/>
        <v>0</v>
      </c>
      <c r="I79" s="647">
        <f t="shared" si="21"/>
        <v>0</v>
      </c>
      <c r="J79"/>
    </row>
    <row r="80" spans="1:10" ht="17.149999999999999" customHeight="1" x14ac:dyDescent="0.25">
      <c r="A80" s="380" t="s">
        <v>144</v>
      </c>
      <c r="B80" s="645">
        <f t="shared" si="22"/>
        <v>0</v>
      </c>
      <c r="C80" s="645">
        <f t="shared" si="22"/>
        <v>0</v>
      </c>
      <c r="D80" s="645">
        <f t="shared" si="22"/>
        <v>0</v>
      </c>
      <c r="E80" s="645">
        <f t="shared" si="22"/>
        <v>0</v>
      </c>
      <c r="F80" s="646">
        <f t="shared" si="18"/>
        <v>0</v>
      </c>
      <c r="G80" s="647">
        <f t="shared" si="19"/>
        <v>0</v>
      </c>
      <c r="H80" s="646">
        <f t="shared" si="20"/>
        <v>0</v>
      </c>
      <c r="I80" s="647">
        <f t="shared" si="21"/>
        <v>0</v>
      </c>
      <c r="J80"/>
    </row>
    <row r="81" spans="1:10" ht="17.149999999999999" customHeight="1" x14ac:dyDescent="0.25">
      <c r="A81" s="381" t="s">
        <v>141</v>
      </c>
      <c r="B81" s="659">
        <f t="shared" si="22"/>
        <v>0</v>
      </c>
      <c r="C81" s="659">
        <f t="shared" si="22"/>
        <v>0</v>
      </c>
      <c r="D81" s="659">
        <f t="shared" si="22"/>
        <v>0</v>
      </c>
      <c r="E81" s="659">
        <f t="shared" si="22"/>
        <v>0</v>
      </c>
      <c r="F81" s="646">
        <f t="shared" si="18"/>
        <v>0</v>
      </c>
      <c r="G81" s="647">
        <f t="shared" si="19"/>
        <v>0</v>
      </c>
      <c r="H81" s="646">
        <f t="shared" si="20"/>
        <v>0</v>
      </c>
      <c r="I81" s="647">
        <f t="shared" si="21"/>
        <v>0</v>
      </c>
      <c r="J81"/>
    </row>
    <row r="82" spans="1:10" ht="17.149999999999999" customHeight="1" x14ac:dyDescent="0.25">
      <c r="A82" s="380" t="s">
        <v>129</v>
      </c>
      <c r="B82" s="659">
        <f t="shared" si="22"/>
        <v>0</v>
      </c>
      <c r="C82" s="659">
        <f t="shared" si="22"/>
        <v>0</v>
      </c>
      <c r="D82" s="659">
        <f t="shared" si="22"/>
        <v>0</v>
      </c>
      <c r="E82" s="659">
        <f t="shared" si="22"/>
        <v>0</v>
      </c>
      <c r="F82" s="646">
        <f t="shared" si="18"/>
        <v>0</v>
      </c>
      <c r="G82" s="647">
        <f t="shared" si="19"/>
        <v>0</v>
      </c>
      <c r="H82" s="646">
        <f t="shared" si="20"/>
        <v>0</v>
      </c>
      <c r="I82" s="647">
        <f t="shared" si="21"/>
        <v>0</v>
      </c>
      <c r="J82"/>
    </row>
    <row r="83" spans="1:10" ht="17.149999999999999" customHeight="1" x14ac:dyDescent="0.25">
      <c r="A83" s="385" t="s">
        <v>130</v>
      </c>
      <c r="B83" s="659">
        <f t="shared" si="22"/>
        <v>0</v>
      </c>
      <c r="C83" s="659">
        <f t="shared" si="22"/>
        <v>0</v>
      </c>
      <c r="D83" s="659">
        <f t="shared" si="22"/>
        <v>0</v>
      </c>
      <c r="E83" s="659">
        <f t="shared" si="22"/>
        <v>0</v>
      </c>
      <c r="F83" s="646">
        <f t="shared" si="18"/>
        <v>0</v>
      </c>
      <c r="G83" s="647">
        <f t="shared" si="19"/>
        <v>0</v>
      </c>
      <c r="H83" s="646">
        <f t="shared" si="20"/>
        <v>0</v>
      </c>
      <c r="I83" s="647">
        <f t="shared" si="21"/>
        <v>0</v>
      </c>
      <c r="J83"/>
    </row>
    <row r="84" spans="1:10" ht="17.149999999999999" customHeight="1" x14ac:dyDescent="0.25">
      <c r="A84" s="385"/>
      <c r="B84" s="659"/>
      <c r="C84" s="659"/>
      <c r="D84" s="659"/>
      <c r="E84" s="659"/>
      <c r="F84" s="666"/>
      <c r="G84" s="667"/>
      <c r="H84" s="666"/>
      <c r="I84" s="667"/>
      <c r="J84"/>
    </row>
    <row r="85" spans="1:10" ht="17.149999999999999" customHeight="1" x14ac:dyDescent="0.25">
      <c r="A85" s="385"/>
      <c r="B85" s="659"/>
      <c r="C85" s="659"/>
      <c r="D85" s="659"/>
      <c r="E85" s="659"/>
      <c r="F85" s="666"/>
      <c r="G85" s="667"/>
      <c r="H85" s="666"/>
      <c r="I85" s="667"/>
      <c r="J85"/>
    </row>
    <row r="86" spans="1:10" ht="17.149999999999999" customHeight="1" thickBot="1" x14ac:dyDescent="0.3">
      <c r="A86" s="385"/>
      <c r="B86" s="674"/>
      <c r="C86" s="668"/>
      <c r="D86" s="669"/>
      <c r="E86" s="669"/>
      <c r="F86" s="670"/>
      <c r="G86" s="671"/>
      <c r="H86" s="672"/>
      <c r="I86" s="673"/>
      <c r="J86"/>
    </row>
    <row r="87" spans="1:10" ht="17.149999999999999" customHeight="1" thickBot="1" x14ac:dyDescent="0.3">
      <c r="A87" s="386" t="s">
        <v>131</v>
      </c>
      <c r="B87" s="103">
        <f>B78+B83</f>
        <v>0</v>
      </c>
      <c r="C87" s="104">
        <f>C78+C83</f>
        <v>0</v>
      </c>
      <c r="D87" s="104">
        <f>D78+D83</f>
        <v>0</v>
      </c>
      <c r="E87" s="104">
        <f>E78+E83</f>
        <v>0</v>
      </c>
      <c r="F87" s="657">
        <f>B87-C87</f>
        <v>0</v>
      </c>
      <c r="G87" s="625">
        <f>IF(C87&lt;&gt;0,(B87-C87)/C87)*100</f>
        <v>0</v>
      </c>
      <c r="H87" s="657">
        <f>D87-E87</f>
        <v>0</v>
      </c>
      <c r="I87" s="625">
        <f>IF(E87&lt;&gt;0,(D87-E87)/E87)*100</f>
        <v>0</v>
      </c>
      <c r="J87"/>
    </row>
    <row r="88" spans="1:10" ht="17.149999999999999" customHeight="1" thickBot="1" x14ac:dyDescent="0.3">
      <c r="A88" s="385"/>
      <c r="B88" s="121"/>
      <c r="C88" s="122"/>
      <c r="D88" s="122"/>
      <c r="E88" s="122"/>
      <c r="F88" s="123"/>
      <c r="G88" s="124"/>
      <c r="H88" s="123"/>
      <c r="I88" s="125"/>
      <c r="J88"/>
    </row>
    <row r="89" spans="1:10" ht="17.149999999999999" customHeight="1" thickBot="1" x14ac:dyDescent="0.3">
      <c r="A89" s="386" t="s">
        <v>132</v>
      </c>
      <c r="B89" s="139">
        <f>B75+B87</f>
        <v>0</v>
      </c>
      <c r="C89" s="140">
        <f>C75+C87</f>
        <v>0</v>
      </c>
      <c r="D89" s="140">
        <f>D75+D87</f>
        <v>0</v>
      </c>
      <c r="E89" s="140">
        <f>E75+E87</f>
        <v>0</v>
      </c>
      <c r="F89" s="104">
        <f>B89-C89</f>
        <v>0</v>
      </c>
      <c r="G89" s="105">
        <f>IF(C89&lt;&gt;0,(B89-C89)/C89)*100</f>
        <v>0</v>
      </c>
      <c r="H89" s="104">
        <f>D89-E89</f>
        <v>0</v>
      </c>
      <c r="I89" s="105">
        <f>IF(E89&lt;&gt;0,(D89-E89)/E89)*100</f>
        <v>0</v>
      </c>
      <c r="J89"/>
    </row>
    <row r="90" spans="1:10" ht="17.149999999999999" customHeight="1" x14ac:dyDescent="0.3">
      <c r="A90" s="374"/>
      <c r="B90" s="94"/>
      <c r="C90" s="94"/>
      <c r="D90" s="94"/>
      <c r="E90" s="94"/>
      <c r="J90"/>
    </row>
    <row r="91" spans="1:10" ht="17.149999999999999" customHeight="1" x14ac:dyDescent="0.3">
      <c r="A91" s="382"/>
      <c r="B91" s="97"/>
      <c r="C91" s="97"/>
      <c r="D91" s="97"/>
      <c r="E91" s="97"/>
      <c r="J91"/>
    </row>
    <row r="92" spans="1:10" ht="17.149999999999999" customHeight="1" thickBot="1" x14ac:dyDescent="0.35">
      <c r="A92" s="128" t="s">
        <v>145</v>
      </c>
      <c r="B92" s="836"/>
      <c r="C92" s="836"/>
      <c r="D92" s="129"/>
      <c r="E92" s="129"/>
      <c r="J92"/>
    </row>
    <row r="93" spans="1:10" ht="17.149999999999999" customHeight="1" thickBot="1" x14ac:dyDescent="0.3">
      <c r="A93" s="848" t="s">
        <v>134</v>
      </c>
      <c r="B93" s="820" t="s">
        <v>105</v>
      </c>
      <c r="C93" s="821"/>
      <c r="D93" s="820" t="s">
        <v>106</v>
      </c>
      <c r="E93" s="821"/>
      <c r="F93" s="804" t="s">
        <v>107</v>
      </c>
      <c r="G93" s="805"/>
      <c r="H93" s="805"/>
      <c r="I93" s="806"/>
      <c r="J93"/>
    </row>
    <row r="94" spans="1:10" ht="17.149999999999999" customHeight="1" thickBot="1" x14ac:dyDescent="0.3">
      <c r="A94" s="849"/>
      <c r="B94" s="324">
        <v>2023</v>
      </c>
      <c r="C94" s="324">
        <v>2022</v>
      </c>
      <c r="D94" s="324">
        <v>2023</v>
      </c>
      <c r="E94" s="71">
        <v>2022</v>
      </c>
      <c r="F94" s="804" t="s">
        <v>105</v>
      </c>
      <c r="G94" s="806"/>
      <c r="H94" s="804" t="s">
        <v>106</v>
      </c>
      <c r="I94" s="806"/>
      <c r="J94"/>
    </row>
    <row r="95" spans="1:10" ht="17.149999999999999" customHeight="1" x14ac:dyDescent="0.25">
      <c r="A95" s="383"/>
      <c r="B95" s="807"/>
      <c r="C95" s="808"/>
      <c r="D95" s="808"/>
      <c r="E95" s="809"/>
      <c r="F95" s="816" t="s">
        <v>110</v>
      </c>
      <c r="G95" s="816" t="s">
        <v>111</v>
      </c>
      <c r="H95" s="816" t="s">
        <v>112</v>
      </c>
      <c r="I95" s="816" t="s">
        <v>111</v>
      </c>
      <c r="J95"/>
    </row>
    <row r="96" spans="1:10" ht="17.149999999999999" customHeight="1" thickBot="1" x14ac:dyDescent="0.3">
      <c r="A96" s="384" t="s">
        <v>113</v>
      </c>
      <c r="B96" s="810"/>
      <c r="C96" s="811"/>
      <c r="D96" s="811"/>
      <c r="E96" s="812"/>
      <c r="F96" s="817"/>
      <c r="G96" s="817"/>
      <c r="H96" s="817"/>
      <c r="I96" s="817"/>
      <c r="J96"/>
    </row>
    <row r="97" spans="1:10" ht="17.149999999999999" customHeight="1" thickBot="1" x14ac:dyDescent="0.3">
      <c r="A97" s="385" t="s">
        <v>135</v>
      </c>
      <c r="B97" s="91"/>
      <c r="C97" s="91"/>
      <c r="D97" s="91"/>
      <c r="E97" s="91"/>
      <c r="F97" s="91">
        <f t="shared" ref="F97:F103" si="23">B97-C97</f>
        <v>0</v>
      </c>
      <c r="G97" s="92">
        <f t="shared" ref="G97:G103" si="24">IF(C97&lt;&gt;0,(B97-C97)/C97)*100</f>
        <v>0</v>
      </c>
      <c r="H97" s="91">
        <f t="shared" ref="H97:H103" si="25">D97-E97</f>
        <v>0</v>
      </c>
      <c r="I97" s="92">
        <f t="shared" ref="I97:I103" si="26">IF(E97&lt;&gt;0,(D97-E97)/E97)*100</f>
        <v>0</v>
      </c>
      <c r="J97"/>
    </row>
    <row r="98" spans="1:10" ht="17.149999999999999" customHeight="1" x14ac:dyDescent="0.25">
      <c r="A98" s="385" t="s">
        <v>136</v>
      </c>
      <c r="B98" s="660"/>
      <c r="C98" s="660"/>
      <c r="D98" s="660"/>
      <c r="E98" s="660"/>
      <c r="F98" s="646">
        <f t="shared" si="23"/>
        <v>0</v>
      </c>
      <c r="G98" s="647">
        <f t="shared" si="24"/>
        <v>0</v>
      </c>
      <c r="H98" s="646">
        <f t="shared" si="25"/>
        <v>0</v>
      </c>
      <c r="I98" s="647">
        <f t="shared" si="26"/>
        <v>0</v>
      </c>
      <c r="J98"/>
    </row>
    <row r="99" spans="1:10" ht="17.149999999999999" customHeight="1" x14ac:dyDescent="0.25">
      <c r="A99" s="385" t="s">
        <v>116</v>
      </c>
      <c r="B99" s="660"/>
      <c r="C99" s="660"/>
      <c r="D99" s="660"/>
      <c r="E99" s="660"/>
      <c r="F99" s="646">
        <f t="shared" si="23"/>
        <v>0</v>
      </c>
      <c r="G99" s="647">
        <f t="shared" si="24"/>
        <v>0</v>
      </c>
      <c r="H99" s="646">
        <f t="shared" si="25"/>
        <v>0</v>
      </c>
      <c r="I99" s="647">
        <f t="shared" si="26"/>
        <v>0</v>
      </c>
      <c r="J99"/>
    </row>
    <row r="100" spans="1:10" ht="17.149999999999999" customHeight="1" x14ac:dyDescent="0.25">
      <c r="A100" s="385" t="s">
        <v>143</v>
      </c>
      <c r="B100" s="660"/>
      <c r="C100" s="660"/>
      <c r="D100" s="660"/>
      <c r="E100" s="660"/>
      <c r="F100" s="646">
        <f t="shared" si="23"/>
        <v>0</v>
      </c>
      <c r="G100" s="647">
        <f t="shared" si="24"/>
        <v>0</v>
      </c>
      <c r="H100" s="646">
        <f t="shared" si="25"/>
        <v>0</v>
      </c>
      <c r="I100" s="647">
        <f t="shared" si="26"/>
        <v>0</v>
      </c>
      <c r="J100"/>
    </row>
    <row r="101" spans="1:10" ht="17.149999999999999" customHeight="1" x14ac:dyDescent="0.25">
      <c r="A101" s="385" t="s">
        <v>139</v>
      </c>
      <c r="B101" s="660"/>
      <c r="C101" s="660"/>
      <c r="D101" s="660"/>
      <c r="E101" s="660"/>
      <c r="F101" s="646">
        <f t="shared" si="23"/>
        <v>0</v>
      </c>
      <c r="G101" s="647">
        <f t="shared" si="24"/>
        <v>0</v>
      </c>
      <c r="H101" s="646">
        <f t="shared" si="25"/>
        <v>0</v>
      </c>
      <c r="I101" s="647">
        <f t="shared" si="26"/>
        <v>0</v>
      </c>
      <c r="J101"/>
    </row>
    <row r="102" spans="1:10" ht="17.149999999999999" customHeight="1" thickBot="1" x14ac:dyDescent="0.3">
      <c r="A102" s="385" t="s">
        <v>140</v>
      </c>
      <c r="B102" s="675"/>
      <c r="C102" s="663"/>
      <c r="D102" s="676"/>
      <c r="E102" s="677"/>
      <c r="F102" s="646">
        <f t="shared" si="23"/>
        <v>0</v>
      </c>
      <c r="G102" s="647">
        <f t="shared" si="24"/>
        <v>0</v>
      </c>
      <c r="H102" s="646">
        <f t="shared" si="25"/>
        <v>0</v>
      </c>
      <c r="I102" s="647">
        <f t="shared" si="26"/>
        <v>0</v>
      </c>
      <c r="J102"/>
    </row>
    <row r="103" spans="1:10" ht="17.149999999999999" customHeight="1" thickBot="1" x14ac:dyDescent="0.3">
      <c r="A103" s="386" t="s">
        <v>123</v>
      </c>
      <c r="B103" s="81"/>
      <c r="C103" s="81"/>
      <c r="D103" s="81"/>
      <c r="E103" s="82"/>
      <c r="F103" s="91">
        <f t="shared" si="23"/>
        <v>0</v>
      </c>
      <c r="G103" s="92">
        <f t="shared" si="24"/>
        <v>0</v>
      </c>
      <c r="H103" s="91">
        <f t="shared" si="25"/>
        <v>0</v>
      </c>
      <c r="I103" s="92">
        <f t="shared" si="26"/>
        <v>0</v>
      </c>
      <c r="J103"/>
    </row>
    <row r="104" spans="1:10" ht="17.149999999999999" customHeight="1" x14ac:dyDescent="0.25">
      <c r="A104" s="388"/>
      <c r="B104" s="107"/>
      <c r="C104" s="108"/>
      <c r="D104" s="109"/>
      <c r="E104" s="108"/>
      <c r="F104" s="110"/>
      <c r="G104" s="111"/>
      <c r="H104" s="112"/>
      <c r="I104" s="113"/>
      <c r="J104"/>
    </row>
    <row r="105" spans="1:10" ht="17.149999999999999" customHeight="1" thickBot="1" x14ac:dyDescent="0.3">
      <c r="A105" s="389" t="s">
        <v>124</v>
      </c>
      <c r="B105" s="114"/>
      <c r="C105" s="115"/>
      <c r="D105" s="115"/>
      <c r="E105" s="115"/>
      <c r="F105" s="116"/>
      <c r="G105" s="117"/>
      <c r="H105" s="116"/>
      <c r="I105" s="118"/>
      <c r="J105"/>
    </row>
    <row r="106" spans="1:10" ht="17.149999999999999" customHeight="1" thickBot="1" x14ac:dyDescent="0.3">
      <c r="A106" s="385" t="s">
        <v>125</v>
      </c>
      <c r="B106" s="104"/>
      <c r="C106" s="104"/>
      <c r="D106" s="104"/>
      <c r="E106" s="104"/>
      <c r="F106" s="91">
        <f t="shared" ref="F106:F111" si="27">B106-C106</f>
        <v>0</v>
      </c>
      <c r="G106" s="92">
        <f t="shared" ref="G106:G111" si="28">IF(C106&lt;&gt;0,(B106-C106)/C106)*100</f>
        <v>0</v>
      </c>
      <c r="H106" s="91">
        <f t="shared" ref="H106:H111" si="29">D106-E106</f>
        <v>0</v>
      </c>
      <c r="I106" s="92">
        <f t="shared" ref="I106:I111" si="30">IF(E106&lt;&gt;0,(D106-E106)/E106)*100</f>
        <v>0</v>
      </c>
      <c r="J106"/>
    </row>
    <row r="107" spans="1:10" ht="17.149999999999999" customHeight="1" x14ac:dyDescent="0.25">
      <c r="A107" s="380" t="s">
        <v>126</v>
      </c>
      <c r="B107" s="660"/>
      <c r="C107" s="660"/>
      <c r="D107" s="660"/>
      <c r="E107" s="660"/>
      <c r="F107" s="646">
        <f t="shared" si="27"/>
        <v>0</v>
      </c>
      <c r="G107" s="647">
        <f t="shared" si="28"/>
        <v>0</v>
      </c>
      <c r="H107" s="646">
        <f t="shared" si="29"/>
        <v>0</v>
      </c>
      <c r="I107" s="647">
        <f t="shared" si="30"/>
        <v>0</v>
      </c>
      <c r="J107"/>
    </row>
    <row r="108" spans="1:10" ht="17.149999999999999" customHeight="1" x14ac:dyDescent="0.25">
      <c r="A108" s="380" t="s">
        <v>144</v>
      </c>
      <c r="B108" s="660"/>
      <c r="C108" s="660"/>
      <c r="D108" s="660"/>
      <c r="E108" s="660"/>
      <c r="F108" s="646">
        <f t="shared" si="27"/>
        <v>0</v>
      </c>
      <c r="G108" s="647">
        <f t="shared" si="28"/>
        <v>0</v>
      </c>
      <c r="H108" s="646">
        <f t="shared" si="29"/>
        <v>0</v>
      </c>
      <c r="I108" s="647">
        <f t="shared" si="30"/>
        <v>0</v>
      </c>
      <c r="J108"/>
    </row>
    <row r="109" spans="1:10" ht="17.149999999999999" customHeight="1" x14ac:dyDescent="0.25">
      <c r="A109" s="381" t="s">
        <v>141</v>
      </c>
      <c r="B109" s="645"/>
      <c r="C109" s="645"/>
      <c r="D109" s="645"/>
      <c r="E109" s="645"/>
      <c r="F109" s="646">
        <f t="shared" si="27"/>
        <v>0</v>
      </c>
      <c r="G109" s="647">
        <f t="shared" si="28"/>
        <v>0</v>
      </c>
      <c r="H109" s="646">
        <f t="shared" si="29"/>
        <v>0</v>
      </c>
      <c r="I109" s="647">
        <f t="shared" si="30"/>
        <v>0</v>
      </c>
      <c r="J109"/>
    </row>
    <row r="110" spans="1:10" ht="17.149999999999999" customHeight="1" x14ac:dyDescent="0.25">
      <c r="A110" s="380" t="s">
        <v>129</v>
      </c>
      <c r="B110" s="645"/>
      <c r="C110" s="645"/>
      <c r="D110" s="645"/>
      <c r="E110" s="645"/>
      <c r="F110" s="646">
        <f t="shared" si="27"/>
        <v>0</v>
      </c>
      <c r="G110" s="647">
        <f t="shared" si="28"/>
        <v>0</v>
      </c>
      <c r="H110" s="646">
        <f t="shared" si="29"/>
        <v>0</v>
      </c>
      <c r="I110" s="647">
        <f t="shared" si="30"/>
        <v>0</v>
      </c>
      <c r="J110"/>
    </row>
    <row r="111" spans="1:10" ht="17.149999999999999" customHeight="1" x14ac:dyDescent="0.25">
      <c r="A111" s="385" t="s">
        <v>130</v>
      </c>
      <c r="B111" s="645"/>
      <c r="C111" s="645"/>
      <c r="D111" s="645"/>
      <c r="E111" s="645"/>
      <c r="F111" s="646">
        <f t="shared" si="27"/>
        <v>0</v>
      </c>
      <c r="G111" s="647">
        <f t="shared" si="28"/>
        <v>0</v>
      </c>
      <c r="H111" s="646">
        <f t="shared" si="29"/>
        <v>0</v>
      </c>
      <c r="I111" s="647">
        <f t="shared" si="30"/>
        <v>0</v>
      </c>
      <c r="J111"/>
    </row>
    <row r="112" spans="1:10" ht="17.149999999999999" customHeight="1" x14ac:dyDescent="0.25">
      <c r="A112" s="385"/>
      <c r="B112" s="645"/>
      <c r="C112" s="645"/>
      <c r="D112" s="645"/>
      <c r="E112" s="645"/>
      <c r="F112" s="666"/>
      <c r="G112" s="667"/>
      <c r="H112" s="666"/>
      <c r="I112" s="667"/>
      <c r="J112"/>
    </row>
    <row r="113" spans="1:10" ht="17.149999999999999" customHeight="1" x14ac:dyDescent="0.25">
      <c r="A113" s="385"/>
      <c r="B113" s="645"/>
      <c r="C113" s="645"/>
      <c r="D113" s="645"/>
      <c r="E113" s="645"/>
      <c r="F113" s="666"/>
      <c r="G113" s="667"/>
      <c r="H113" s="666"/>
      <c r="I113" s="667"/>
      <c r="J113"/>
    </row>
    <row r="114" spans="1:10" ht="17.149999999999999" customHeight="1" thickBot="1" x14ac:dyDescent="0.3">
      <c r="A114" s="385"/>
      <c r="B114" s="668"/>
      <c r="C114" s="668"/>
      <c r="D114" s="669"/>
      <c r="E114" s="669"/>
      <c r="F114" s="670"/>
      <c r="G114" s="671"/>
      <c r="H114" s="672"/>
      <c r="I114" s="673"/>
      <c r="J114"/>
    </row>
    <row r="115" spans="1:10" ht="17.149999999999999" customHeight="1" thickBot="1" x14ac:dyDescent="0.3">
      <c r="A115" s="386" t="s">
        <v>131</v>
      </c>
      <c r="B115" s="104"/>
      <c r="C115" s="104"/>
      <c r="D115" s="104"/>
      <c r="E115" s="104"/>
      <c r="F115" s="657">
        <f>B115-C115</f>
        <v>0</v>
      </c>
      <c r="G115" s="625">
        <f>IF(C115&lt;&gt;0,(B115-C115)/C115)*100</f>
        <v>0</v>
      </c>
      <c r="H115" s="657">
        <f>D115-E115</f>
        <v>0</v>
      </c>
      <c r="I115" s="625">
        <f>IF(E115&lt;&gt;0,(D115-E115)/E115)*100</f>
        <v>0</v>
      </c>
      <c r="J115"/>
    </row>
    <row r="116" spans="1:10" ht="17.149999999999999" customHeight="1" thickBot="1" x14ac:dyDescent="0.3">
      <c r="A116" s="385"/>
      <c r="B116" s="121"/>
      <c r="C116" s="122"/>
      <c r="D116" s="122"/>
      <c r="E116" s="122"/>
      <c r="F116" s="123"/>
      <c r="G116" s="124"/>
      <c r="H116" s="123"/>
      <c r="I116" s="125"/>
      <c r="J116"/>
    </row>
    <row r="117" spans="1:10" ht="17.149999999999999" customHeight="1" thickBot="1" x14ac:dyDescent="0.3">
      <c r="A117" s="386" t="s">
        <v>132</v>
      </c>
      <c r="B117" s="104"/>
      <c r="C117" s="104"/>
      <c r="D117" s="104"/>
      <c r="E117" s="104"/>
      <c r="F117" s="104">
        <f>B117-C117</f>
        <v>0</v>
      </c>
      <c r="G117" s="105">
        <f>IF(C117&lt;&gt;0,(B117-C117)/C117)*100</f>
        <v>0</v>
      </c>
      <c r="H117" s="104">
        <f>D117-E117</f>
        <v>0</v>
      </c>
      <c r="I117" s="105">
        <f>IF(E117&lt;&gt;0,(D117-E117)/E117)*100</f>
        <v>0</v>
      </c>
      <c r="J117"/>
    </row>
    <row r="118" spans="1:10" ht="17.149999999999999" customHeight="1" x14ac:dyDescent="0.3">
      <c r="J118"/>
    </row>
    <row r="119" spans="1:10" ht="17.149999999999999" customHeight="1" x14ac:dyDescent="0.3">
      <c r="J119"/>
    </row>
    <row r="120" spans="1:10" ht="17.149999999999999" customHeight="1" x14ac:dyDescent="0.35">
      <c r="B120" s="217">
        <f t="shared" ref="B120:E122" si="31">B41-B69+B97</f>
        <v>0</v>
      </c>
      <c r="C120" s="217">
        <f t="shared" si="31"/>
        <v>0</v>
      </c>
      <c r="D120" s="217">
        <f t="shared" si="31"/>
        <v>0</v>
      </c>
      <c r="E120" s="217">
        <f t="shared" si="31"/>
        <v>0</v>
      </c>
      <c r="J120"/>
    </row>
    <row r="121" spans="1:10" ht="17.149999999999999" customHeight="1" x14ac:dyDescent="0.35">
      <c r="B121" s="217">
        <f t="shared" si="31"/>
        <v>0</v>
      </c>
      <c r="C121" s="217">
        <f t="shared" si="31"/>
        <v>0</v>
      </c>
      <c r="D121" s="217">
        <f t="shared" si="31"/>
        <v>0</v>
      </c>
      <c r="E121" s="217">
        <f t="shared" si="31"/>
        <v>0</v>
      </c>
      <c r="J121"/>
    </row>
    <row r="122" spans="1:10" ht="17.149999999999999" customHeight="1" x14ac:dyDescent="0.35">
      <c r="B122" s="217">
        <f t="shared" si="31"/>
        <v>0</v>
      </c>
      <c r="C122" s="217">
        <f t="shared" si="31"/>
        <v>0</v>
      </c>
      <c r="D122" s="217">
        <f t="shared" si="31"/>
        <v>0</v>
      </c>
      <c r="E122" s="217">
        <f t="shared" si="31"/>
        <v>0</v>
      </c>
      <c r="J122"/>
    </row>
    <row r="123" spans="1:10" ht="17.149999999999999" customHeight="1" x14ac:dyDescent="0.35">
      <c r="B123" s="217">
        <f t="shared" ref="B123:E127" si="32">B45-B72+B100</f>
        <v>0</v>
      </c>
      <c r="C123" s="217">
        <f t="shared" si="32"/>
        <v>0</v>
      </c>
      <c r="D123" s="217">
        <f t="shared" si="32"/>
        <v>0</v>
      </c>
      <c r="E123" s="217">
        <f t="shared" si="32"/>
        <v>0</v>
      </c>
      <c r="J123"/>
    </row>
    <row r="124" spans="1:10" ht="17.149999999999999" customHeight="1" x14ac:dyDescent="0.35">
      <c r="B124" s="217">
        <f t="shared" si="32"/>
        <v>0</v>
      </c>
      <c r="C124" s="217">
        <f t="shared" si="32"/>
        <v>0</v>
      </c>
      <c r="D124" s="217">
        <f t="shared" si="32"/>
        <v>0</v>
      </c>
      <c r="E124" s="217">
        <f t="shared" si="32"/>
        <v>0</v>
      </c>
      <c r="J124"/>
    </row>
    <row r="125" spans="1:10" ht="17.149999999999999" customHeight="1" x14ac:dyDescent="0.35">
      <c r="B125" s="217">
        <f t="shared" si="32"/>
        <v>0</v>
      </c>
      <c r="C125" s="217">
        <f t="shared" si="32"/>
        <v>0</v>
      </c>
      <c r="D125" s="217">
        <f t="shared" si="32"/>
        <v>0</v>
      </c>
      <c r="E125" s="217">
        <f t="shared" si="32"/>
        <v>0</v>
      </c>
      <c r="J125"/>
    </row>
    <row r="126" spans="1:10" ht="17.149999999999999" customHeight="1" x14ac:dyDescent="0.35">
      <c r="B126" s="217">
        <f t="shared" si="32"/>
        <v>0</v>
      </c>
      <c r="C126" s="217">
        <f t="shared" si="32"/>
        <v>0</v>
      </c>
      <c r="D126" s="217">
        <f t="shared" si="32"/>
        <v>0</v>
      </c>
      <c r="E126" s="217">
        <f t="shared" si="32"/>
        <v>0</v>
      </c>
      <c r="J126"/>
    </row>
    <row r="127" spans="1:10" ht="17.149999999999999" customHeight="1" x14ac:dyDescent="0.35">
      <c r="B127" s="217">
        <f t="shared" si="32"/>
        <v>0</v>
      </c>
      <c r="C127" s="217">
        <f t="shared" si="32"/>
        <v>0</v>
      </c>
      <c r="D127" s="217">
        <f t="shared" si="32"/>
        <v>0</v>
      </c>
      <c r="E127" s="217">
        <f t="shared" si="32"/>
        <v>0</v>
      </c>
      <c r="J127"/>
    </row>
    <row r="128" spans="1:10" ht="17.149999999999999" customHeight="1" x14ac:dyDescent="0.35">
      <c r="B128" s="217">
        <f t="shared" ref="B128:E140" si="33">B49-B77+B105</f>
        <v>0</v>
      </c>
      <c r="C128" s="217">
        <f t="shared" si="33"/>
        <v>0</v>
      </c>
      <c r="D128" s="217">
        <f t="shared" si="33"/>
        <v>0</v>
      </c>
      <c r="E128" s="217">
        <f t="shared" si="33"/>
        <v>0</v>
      </c>
      <c r="J128"/>
    </row>
    <row r="129" spans="1:5" customFormat="1" ht="17.149999999999999" customHeight="1" x14ac:dyDescent="0.35">
      <c r="A129" s="347"/>
      <c r="B129" s="217">
        <f t="shared" si="33"/>
        <v>0</v>
      </c>
      <c r="C129" s="217">
        <f t="shared" si="33"/>
        <v>0</v>
      </c>
      <c r="D129" s="217">
        <f t="shared" si="33"/>
        <v>0</v>
      </c>
      <c r="E129" s="217">
        <f t="shared" si="33"/>
        <v>0</v>
      </c>
    </row>
    <row r="130" spans="1:5" customFormat="1" ht="17.149999999999999" customHeight="1" x14ac:dyDescent="0.35">
      <c r="A130" s="347"/>
      <c r="B130" s="217">
        <f t="shared" si="33"/>
        <v>0</v>
      </c>
      <c r="C130" s="217">
        <f t="shared" si="33"/>
        <v>0</v>
      </c>
      <c r="D130" s="217">
        <f t="shared" si="33"/>
        <v>0</v>
      </c>
      <c r="E130" s="217">
        <f t="shared" si="33"/>
        <v>0</v>
      </c>
    </row>
    <row r="131" spans="1:5" customFormat="1" ht="17.149999999999999" customHeight="1" x14ac:dyDescent="0.35">
      <c r="A131" s="347"/>
      <c r="B131" s="217">
        <f t="shared" si="33"/>
        <v>0</v>
      </c>
      <c r="C131" s="217">
        <f t="shared" si="33"/>
        <v>0</v>
      </c>
      <c r="D131" s="217">
        <f t="shared" si="33"/>
        <v>0</v>
      </c>
      <c r="E131" s="217">
        <f t="shared" si="33"/>
        <v>0</v>
      </c>
    </row>
    <row r="132" spans="1:5" customFormat="1" ht="17.149999999999999" customHeight="1" x14ac:dyDescent="0.35">
      <c r="A132" s="347"/>
      <c r="B132" s="217">
        <f t="shared" si="33"/>
        <v>0</v>
      </c>
      <c r="C132" s="217">
        <f t="shared" si="33"/>
        <v>0</v>
      </c>
      <c r="D132" s="217">
        <f t="shared" si="33"/>
        <v>0</v>
      </c>
      <c r="E132" s="217">
        <f t="shared" si="33"/>
        <v>0</v>
      </c>
    </row>
    <row r="133" spans="1:5" customFormat="1" ht="17.149999999999999" customHeight="1" x14ac:dyDescent="0.35">
      <c r="A133" s="347"/>
      <c r="B133" s="217">
        <f t="shared" si="33"/>
        <v>0</v>
      </c>
      <c r="C133" s="217">
        <f t="shared" si="33"/>
        <v>0</v>
      </c>
      <c r="D133" s="217">
        <f t="shared" si="33"/>
        <v>0</v>
      </c>
      <c r="E133" s="217">
        <f t="shared" si="33"/>
        <v>0</v>
      </c>
    </row>
    <row r="134" spans="1:5" customFormat="1" ht="17.149999999999999" customHeight="1" x14ac:dyDescent="0.35">
      <c r="A134" s="347"/>
      <c r="B134" s="217">
        <f t="shared" si="33"/>
        <v>0</v>
      </c>
      <c r="C134" s="217">
        <f t="shared" si="33"/>
        <v>0</v>
      </c>
      <c r="D134" s="217">
        <f t="shared" si="33"/>
        <v>0</v>
      </c>
      <c r="E134" s="217">
        <f t="shared" si="33"/>
        <v>0</v>
      </c>
    </row>
    <row r="135" spans="1:5" customFormat="1" ht="17.149999999999999" customHeight="1" x14ac:dyDescent="0.35">
      <c r="A135" s="347"/>
      <c r="B135" s="217">
        <f t="shared" si="33"/>
        <v>0</v>
      </c>
      <c r="C135" s="217">
        <f t="shared" si="33"/>
        <v>0</v>
      </c>
      <c r="D135" s="217">
        <f t="shared" si="33"/>
        <v>0</v>
      </c>
      <c r="E135" s="217">
        <f t="shared" si="33"/>
        <v>0</v>
      </c>
    </row>
    <row r="136" spans="1:5" customFormat="1" ht="17.149999999999999" customHeight="1" x14ac:dyDescent="0.35">
      <c r="A136" s="347"/>
      <c r="B136" s="217">
        <f t="shared" si="33"/>
        <v>0</v>
      </c>
      <c r="C136" s="217">
        <f t="shared" si="33"/>
        <v>0</v>
      </c>
      <c r="D136" s="217">
        <f t="shared" si="33"/>
        <v>0</v>
      </c>
      <c r="E136" s="217">
        <f t="shared" si="33"/>
        <v>0</v>
      </c>
    </row>
    <row r="137" spans="1:5" customFormat="1" ht="17.149999999999999" customHeight="1" x14ac:dyDescent="0.35">
      <c r="A137" s="347"/>
      <c r="B137" s="217">
        <f t="shared" si="33"/>
        <v>0</v>
      </c>
      <c r="C137" s="217">
        <f t="shared" si="33"/>
        <v>0</v>
      </c>
      <c r="D137" s="217">
        <f t="shared" si="33"/>
        <v>0</v>
      </c>
      <c r="E137" s="217">
        <f t="shared" si="33"/>
        <v>0</v>
      </c>
    </row>
    <row r="138" spans="1:5" customFormat="1" ht="17.149999999999999" customHeight="1" x14ac:dyDescent="0.35">
      <c r="A138" s="347"/>
      <c r="B138" s="217">
        <f t="shared" si="33"/>
        <v>0</v>
      </c>
      <c r="C138" s="217">
        <f t="shared" si="33"/>
        <v>0</v>
      </c>
      <c r="D138" s="217">
        <f t="shared" si="33"/>
        <v>0</v>
      </c>
      <c r="E138" s="217">
        <f t="shared" si="33"/>
        <v>0</v>
      </c>
    </row>
    <row r="139" spans="1:5" customFormat="1" ht="17.149999999999999" customHeight="1" x14ac:dyDescent="0.35">
      <c r="A139" s="347"/>
      <c r="B139" s="217">
        <f t="shared" si="33"/>
        <v>0</v>
      </c>
      <c r="C139" s="217">
        <f t="shared" si="33"/>
        <v>0</v>
      </c>
      <c r="D139" s="217">
        <f t="shared" si="33"/>
        <v>0</v>
      </c>
      <c r="E139" s="217">
        <f t="shared" si="33"/>
        <v>0</v>
      </c>
    </row>
    <row r="140" spans="1:5" customFormat="1" ht="17.149999999999999" customHeight="1" x14ac:dyDescent="0.35">
      <c r="A140" s="347"/>
      <c r="B140" s="217">
        <f t="shared" si="33"/>
        <v>0</v>
      </c>
      <c r="C140" s="217">
        <f t="shared" si="33"/>
        <v>0</v>
      </c>
      <c r="D140" s="217">
        <f t="shared" si="33"/>
        <v>0</v>
      </c>
      <c r="E140" s="217">
        <f t="shared" si="33"/>
        <v>0</v>
      </c>
    </row>
  </sheetData>
  <mergeCells count="49">
    <mergeCell ref="B95:E96"/>
    <mergeCell ref="F95:F96"/>
    <mergeCell ref="G95:G96"/>
    <mergeCell ref="H95:H96"/>
    <mergeCell ref="I95:I96"/>
    <mergeCell ref="B92:C92"/>
    <mergeCell ref="A93:A94"/>
    <mergeCell ref="F93:I93"/>
    <mergeCell ref="F94:G94"/>
    <mergeCell ref="H94:I94"/>
    <mergeCell ref="B93:C93"/>
    <mergeCell ref="D93:E93"/>
    <mergeCell ref="A37:A38"/>
    <mergeCell ref="B64:C64"/>
    <mergeCell ref="B67:E68"/>
    <mergeCell ref="F67:F68"/>
    <mergeCell ref="G67:G68"/>
    <mergeCell ref="A65:A66"/>
    <mergeCell ref="F65:I65"/>
    <mergeCell ref="F66:G66"/>
    <mergeCell ref="H66:I66"/>
    <mergeCell ref="B65:C65"/>
    <mergeCell ref="D65:E65"/>
    <mergeCell ref="H67:H68"/>
    <mergeCell ref="I67:I68"/>
    <mergeCell ref="A3:E3"/>
    <mergeCell ref="B5:C5"/>
    <mergeCell ref="B6:C6"/>
    <mergeCell ref="D6:E6"/>
    <mergeCell ref="A8:A9"/>
    <mergeCell ref="B8:E9"/>
    <mergeCell ref="F6:I6"/>
    <mergeCell ref="F7:G7"/>
    <mergeCell ref="H7:I7"/>
    <mergeCell ref="F8:F9"/>
    <mergeCell ref="G8:G9"/>
    <mergeCell ref="H8:H9"/>
    <mergeCell ref="I8:I9"/>
    <mergeCell ref="B36:C36"/>
    <mergeCell ref="F37:I37"/>
    <mergeCell ref="F38:G38"/>
    <mergeCell ref="H38:I38"/>
    <mergeCell ref="B39:E40"/>
    <mergeCell ref="F39:F40"/>
    <mergeCell ref="G39:G40"/>
    <mergeCell ref="H39:H40"/>
    <mergeCell ref="I39:I40"/>
    <mergeCell ref="B37:C37"/>
    <mergeCell ref="D37:E37"/>
  </mergeCells>
  <dataValidations count="1">
    <dataValidation type="list" allowBlank="1" showInputMessage="1" showErrorMessage="1" sqref="WBR98304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VRV983045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IX983045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ST983045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ACP983045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AML983045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AWH983045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GD983045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PZ983045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ZV983045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CJR983045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CTN983045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DDJ983045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DNF983045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DXB983045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EGX983045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EQT983045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FAP983045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FKL983045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FUH983045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GED983045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GNZ983045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GXV983045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HHR983045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HRN983045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IBJ983045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ILF983045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IVB983045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JEX983045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JOT983045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JYP983045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KIL983045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KSH983045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LCD983045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LLZ983045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LVV983045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MFR983045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MPN983045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MZJ983045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NJF983045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NTB983045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OCX983045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OMT983045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OWP983045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PGL983045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PQH983045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QAD98304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QJZ983045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QTV983045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RDR983045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RNN983045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RXJ98304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SHF983045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SRB983045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TAX983045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TKT983045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TUP98304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UEL983045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UOH983045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UYD983045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VHZ983045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36 B64 B92 B5 B65572 B131108 B196644 B262180 B327716 B393252 B458788 B524324 B589860 B655396 B720932 B786468 B852004 B917540 B983076 B65600 B131136 B196672 B262208 B327744 B393280 B458816 B524352 B589888 B655424 B720960 B786496 B852032 B917568 B983104 B65628 B131164 B196700 B262236 B327772 B393308 B458844 B524380 B589916 B655452 B720988 B786524 B852060 B917596 B983132 B65541 B131077 B196613 B262149 B327685 B393221 B458757 B524293 B589829 B655365 B720901 B786437 B851973 B917509 B983045" xr:uid="{00000000-0002-0000-0E00-000000000000}">
      <formula1>#REF!</formula1>
    </dataValidation>
  </dataValidations>
  <pageMargins left="0.7" right="0.7" top="0.75" bottom="0.75" header="0.3" footer="0.3"/>
  <pageSetup paperSize="9" scale="3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6">
    <tabColor rgb="FFFF0000"/>
  </sheetPr>
  <dimension ref="A1:K140"/>
  <sheetViews>
    <sheetView showGridLines="0" view="pageBreakPreview" zoomScale="90" zoomScaleNormal="80" zoomScaleSheetLayoutView="90" workbookViewId="0">
      <selection activeCell="B8" sqref="B8:E9"/>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1" ht="14" x14ac:dyDescent="0.3">
      <c r="A1" s="364" t="s">
        <v>101</v>
      </c>
      <c r="B1" s="66"/>
      <c r="C1" s="66"/>
      <c r="D1" s="66"/>
      <c r="E1" s="66"/>
      <c r="F1" s="66"/>
      <c r="G1" s="66"/>
      <c r="H1" s="66"/>
      <c r="I1" s="66"/>
      <c r="J1"/>
    </row>
    <row r="2" spans="1:11" ht="12.5" x14ac:dyDescent="0.25">
      <c r="A2" s="365"/>
      <c r="B2" s="66"/>
      <c r="C2" s="66"/>
      <c r="D2" s="66"/>
      <c r="E2" s="66"/>
      <c r="F2" s="66"/>
      <c r="G2" s="66"/>
      <c r="H2" s="66"/>
      <c r="I2" s="66"/>
      <c r="J2"/>
    </row>
    <row r="3" spans="1:11" ht="12.5" x14ac:dyDescent="0.25">
      <c r="A3" s="800" t="s">
        <v>146</v>
      </c>
      <c r="B3" s="800"/>
      <c r="C3" s="800"/>
      <c r="D3" s="800"/>
      <c r="E3" s="800"/>
      <c r="F3" s="66"/>
      <c r="G3" s="66"/>
      <c r="H3" s="66"/>
      <c r="I3" s="66"/>
      <c r="J3"/>
    </row>
    <row r="4" spans="1:11" ht="12.5" x14ac:dyDescent="0.25">
      <c r="A4" s="365"/>
      <c r="B4" s="66"/>
      <c r="C4" s="66"/>
      <c r="D4" s="66"/>
      <c r="E4" s="66"/>
      <c r="F4" s="66"/>
      <c r="G4" s="66"/>
      <c r="H4" s="66"/>
      <c r="I4" s="66"/>
      <c r="J4"/>
    </row>
    <row r="5" spans="1:11" ht="17.149999999999999" customHeight="1" thickBot="1" x14ac:dyDescent="0.35">
      <c r="A5" s="404" t="s">
        <v>103</v>
      </c>
      <c r="B5" s="836"/>
      <c r="C5" s="836"/>
      <c r="D5" s="68"/>
      <c r="E5" s="68"/>
      <c r="F5" s="66"/>
      <c r="G5" s="66"/>
      <c r="H5" s="66"/>
      <c r="I5" s="66"/>
    </row>
    <row r="6" spans="1:11" ht="17.149999999999999" customHeight="1" thickBot="1" x14ac:dyDescent="0.35">
      <c r="A6" s="69" t="s">
        <v>104</v>
      </c>
      <c r="B6" s="818" t="s">
        <v>105</v>
      </c>
      <c r="C6" s="819"/>
      <c r="D6" s="837" t="s">
        <v>106</v>
      </c>
      <c r="E6" s="838"/>
      <c r="F6" s="818" t="s">
        <v>107</v>
      </c>
      <c r="G6" s="832"/>
      <c r="H6" s="832"/>
      <c r="I6" s="819"/>
    </row>
    <row r="7" spans="1:11" ht="17.149999999999999" customHeight="1" thickBot="1" x14ac:dyDescent="0.35">
      <c r="A7" s="70" t="s">
        <v>108</v>
      </c>
      <c r="B7" s="324" t="s">
        <v>147</v>
      </c>
      <c r="C7" s="324" t="s">
        <v>148</v>
      </c>
      <c r="D7" s="324" t="s">
        <v>147</v>
      </c>
      <c r="E7" s="324" t="s">
        <v>148</v>
      </c>
      <c r="F7" s="818" t="s">
        <v>105</v>
      </c>
      <c r="G7" s="819"/>
      <c r="H7" s="818" t="s">
        <v>106</v>
      </c>
      <c r="I7" s="819"/>
    </row>
    <row r="8" spans="1:11" ht="17.149999999999999" customHeight="1" x14ac:dyDescent="0.3">
      <c r="A8" s="839" t="s">
        <v>109</v>
      </c>
      <c r="B8" s="826"/>
      <c r="C8" s="827"/>
      <c r="D8" s="827"/>
      <c r="E8" s="828"/>
      <c r="F8" s="828" t="s">
        <v>110</v>
      </c>
      <c r="G8" s="822" t="s">
        <v>111</v>
      </c>
      <c r="H8" s="822" t="s">
        <v>112</v>
      </c>
      <c r="I8" s="822" t="s">
        <v>111</v>
      </c>
    </row>
    <row r="9" spans="1:11" ht="17.149999999999999" customHeight="1" thickBot="1" x14ac:dyDescent="0.35">
      <c r="A9" s="840"/>
      <c r="B9" s="841"/>
      <c r="C9" s="842"/>
      <c r="D9" s="842"/>
      <c r="E9" s="843"/>
      <c r="F9" s="833"/>
      <c r="G9" s="834"/>
      <c r="H9" s="834"/>
      <c r="I9" s="834"/>
    </row>
    <row r="10" spans="1:11" ht="17.149999999999999" customHeight="1" thickBot="1" x14ac:dyDescent="0.35">
      <c r="A10" s="72" t="s">
        <v>113</v>
      </c>
      <c r="B10" s="405"/>
      <c r="C10" s="406"/>
      <c r="D10" s="406"/>
      <c r="E10" s="536"/>
      <c r="F10" s="76"/>
      <c r="G10" s="76"/>
      <c r="H10" s="76"/>
      <c r="I10" s="77"/>
    </row>
    <row r="11" spans="1:11" ht="17.149999999999999" customHeight="1" x14ac:dyDescent="0.3">
      <c r="A11" s="678" t="s">
        <v>114</v>
      </c>
      <c r="B11" s="78">
        <f>B12+B13+B17</f>
        <v>176743.27600000001</v>
      </c>
      <c r="C11" s="679">
        <f>137592125/1000</f>
        <v>137592.125</v>
      </c>
      <c r="D11" s="78">
        <f>D12+D13+D17</f>
        <v>512</v>
      </c>
      <c r="E11" s="78">
        <f>E12+E13+E17</f>
        <v>436</v>
      </c>
      <c r="F11" s="78">
        <f>B11-C11</f>
        <v>39151.151000000013</v>
      </c>
      <c r="G11" s="78">
        <f>IF(C11&lt;&gt;0,(B11-C11)/C11)*100</f>
        <v>28.454499848737719</v>
      </c>
      <c r="H11" s="78">
        <f>D11-E11</f>
        <v>76</v>
      </c>
      <c r="I11" s="79">
        <f>IF(E11&lt;&gt;0,(D11-E11)/E11)*100</f>
        <v>17.431192660550458</v>
      </c>
      <c r="K11">
        <v>1000</v>
      </c>
    </row>
    <row r="12" spans="1:11" ht="17.149999999999999" customHeight="1" x14ac:dyDescent="0.3">
      <c r="A12" s="678" t="s">
        <v>115</v>
      </c>
      <c r="B12" s="679">
        <f>176743276/1000</f>
        <v>176743.27600000001</v>
      </c>
      <c r="C12" s="679">
        <f>137592125/1000</f>
        <v>137592.125</v>
      </c>
      <c r="D12" s="679">
        <v>512</v>
      </c>
      <c r="E12" s="679">
        <v>436</v>
      </c>
      <c r="F12" s="680">
        <f t="shared" ref="F12:F19" si="0">B12-C12</f>
        <v>39151.151000000013</v>
      </c>
      <c r="G12" s="681">
        <f>IF(C12&lt;&gt;0,(B12-C12)/C12)*100</f>
        <v>28.454499848737719</v>
      </c>
      <c r="H12" s="680">
        <f>D12-E12</f>
        <v>76</v>
      </c>
      <c r="I12" s="681">
        <f>IF(E12&lt;&gt;0,(D12-E12)/E12)*100</f>
        <v>17.431192660550458</v>
      </c>
    </row>
    <row r="13" spans="1:11" ht="17.149999999999999" customHeight="1" x14ac:dyDescent="0.3">
      <c r="A13" s="678" t="s">
        <v>116</v>
      </c>
      <c r="B13" s="680">
        <f>B14-B15-B16</f>
        <v>0</v>
      </c>
      <c r="C13" s="680">
        <f>C14-C15-C16</f>
        <v>0</v>
      </c>
      <c r="D13" s="682">
        <v>0</v>
      </c>
      <c r="E13" s="682">
        <v>0</v>
      </c>
      <c r="F13" s="680">
        <f t="shared" si="0"/>
        <v>0</v>
      </c>
      <c r="G13" s="681">
        <f>IF(C13&lt;&gt;0,(B13-C13)/C13)*100</f>
        <v>0</v>
      </c>
      <c r="H13" s="680">
        <f>D13-E13</f>
        <v>0</v>
      </c>
      <c r="I13" s="681">
        <f>IF(E13&lt;&gt;0,(D13-E13)/E13)*100</f>
        <v>0</v>
      </c>
    </row>
    <row r="14" spans="1:11" ht="17.149999999999999" customHeight="1" x14ac:dyDescent="0.3">
      <c r="A14" s="683" t="s">
        <v>117</v>
      </c>
      <c r="B14" s="609">
        <v>0</v>
      </c>
      <c r="C14" s="684">
        <v>0</v>
      </c>
      <c r="D14" s="679"/>
      <c r="E14" s="684"/>
      <c r="F14" s="680"/>
      <c r="G14" s="685"/>
      <c r="H14" s="680"/>
      <c r="I14" s="685"/>
    </row>
    <row r="15" spans="1:11" ht="17.149999999999999" customHeight="1" x14ac:dyDescent="0.3">
      <c r="A15" s="686" t="s">
        <v>118</v>
      </c>
      <c r="B15" s="613">
        <v>0</v>
      </c>
      <c r="C15" s="687">
        <v>0</v>
      </c>
      <c r="D15" s="679"/>
      <c r="E15" s="684"/>
      <c r="F15" s="680"/>
      <c r="G15" s="685"/>
      <c r="H15" s="680"/>
      <c r="I15" s="685"/>
    </row>
    <row r="16" spans="1:11" ht="17.149999999999999" customHeight="1" x14ac:dyDescent="0.3">
      <c r="A16" s="686" t="s">
        <v>119</v>
      </c>
      <c r="B16" s="615">
        <v>0</v>
      </c>
      <c r="C16" s="537">
        <v>0</v>
      </c>
      <c r="D16" s="688"/>
      <c r="E16" s="684"/>
      <c r="F16" s="680"/>
      <c r="G16" s="685"/>
      <c r="H16" s="680"/>
      <c r="I16" s="685"/>
    </row>
    <row r="17" spans="1:9" ht="17.149999999999999" customHeight="1" x14ac:dyDescent="0.3">
      <c r="A17" s="617" t="s">
        <v>120</v>
      </c>
      <c r="B17" s="618">
        <v>0</v>
      </c>
      <c r="C17" s="542">
        <v>0</v>
      </c>
      <c r="D17" s="679">
        <v>0</v>
      </c>
      <c r="E17" s="679">
        <v>0</v>
      </c>
      <c r="F17" s="680">
        <f t="shared" si="0"/>
        <v>0</v>
      </c>
      <c r="G17" s="681">
        <f>IF(C17&lt;&gt;0,(B17-C17)/C17)*100</f>
        <v>0</v>
      </c>
      <c r="H17" s="680">
        <f>D17-E17</f>
        <v>0</v>
      </c>
      <c r="I17" s="681">
        <f>IF(E17&lt;&gt;0,(D17-E17)/E17)*100</f>
        <v>0</v>
      </c>
    </row>
    <row r="18" spans="1:9" ht="17.149999999999999" customHeight="1" x14ac:dyDescent="0.3">
      <c r="A18" s="678" t="s">
        <v>121</v>
      </c>
      <c r="B18" s="546">
        <v>0</v>
      </c>
      <c r="C18" s="684">
        <v>0</v>
      </c>
      <c r="D18" s="679">
        <v>0</v>
      </c>
      <c r="E18" s="682">
        <v>0</v>
      </c>
      <c r="F18" s="680">
        <f t="shared" si="0"/>
        <v>0</v>
      </c>
      <c r="G18" s="681">
        <f>IF(C18&lt;&gt;0,(B18-C18)/C18)*100</f>
        <v>0</v>
      </c>
      <c r="H18" s="680">
        <f>D18-E18</f>
        <v>0</v>
      </c>
      <c r="I18" s="681">
        <f>IF(E18&lt;&gt;0,(D18-E18)/E18)*100</f>
        <v>0</v>
      </c>
    </row>
    <row r="19" spans="1:9" ht="17.149999999999999" customHeight="1" thickBot="1" x14ac:dyDescent="0.35">
      <c r="A19" s="619" t="s">
        <v>122</v>
      </c>
      <c r="B19" s="620">
        <v>0</v>
      </c>
      <c r="C19" s="621">
        <v>0</v>
      </c>
      <c r="D19" s="620">
        <v>0</v>
      </c>
      <c r="E19" s="621">
        <v>0</v>
      </c>
      <c r="F19" s="680">
        <f t="shared" si="0"/>
        <v>0</v>
      </c>
      <c r="G19" s="622">
        <f>IF(C19&lt;&gt;0,(B19-C19)/C19)*100</f>
        <v>0</v>
      </c>
      <c r="H19" s="680">
        <f>D19-E19</f>
        <v>0</v>
      </c>
      <c r="I19" s="622">
        <f>IF(E19&lt;&gt;0,(D19-E19)/E19)*100</f>
        <v>0</v>
      </c>
    </row>
    <row r="20" spans="1:9" ht="17.149999999999999" customHeight="1" thickBot="1" x14ac:dyDescent="0.35">
      <c r="A20" s="80" t="s">
        <v>123</v>
      </c>
      <c r="B20" s="81">
        <f>B11+B18+B19</f>
        <v>176743.27600000001</v>
      </c>
      <c r="C20" s="82">
        <f>C11+C18+C19</f>
        <v>137592.125</v>
      </c>
      <c r="D20" s="81">
        <f>D11+D18+D19</f>
        <v>512</v>
      </c>
      <c r="E20" s="82">
        <f>E11+E18+E19</f>
        <v>436</v>
      </c>
      <c r="F20" s="81">
        <f>F11+F18+F19</f>
        <v>39151.151000000013</v>
      </c>
      <c r="G20" s="83">
        <f>IF(C20&lt;&gt;0,(B20-C20)/C20)*100</f>
        <v>28.454499848737719</v>
      </c>
      <c r="H20" s="81">
        <f>H11+H18+H19</f>
        <v>76</v>
      </c>
      <c r="I20" s="83">
        <f>IF(E20&lt;&gt;0,(D20-E20)/E20)*100</f>
        <v>17.431192660550458</v>
      </c>
    </row>
    <row r="21" spans="1:9" ht="17.149999999999999" customHeight="1" thickBot="1" x14ac:dyDescent="0.35">
      <c r="A21" s="84" t="s">
        <v>109</v>
      </c>
      <c r="B21" s="85"/>
      <c r="C21" s="85"/>
      <c r="D21" s="85"/>
      <c r="E21" s="85"/>
      <c r="F21" s="86"/>
      <c r="G21" s="86"/>
      <c r="H21" s="86"/>
      <c r="I21" s="87"/>
    </row>
    <row r="22" spans="1:9" ht="17.149999999999999" customHeight="1" x14ac:dyDescent="0.3">
      <c r="A22" s="547" t="s">
        <v>124</v>
      </c>
      <c r="B22" s="548"/>
      <c r="C22" s="549"/>
      <c r="D22" s="548"/>
      <c r="E22" s="549"/>
      <c r="F22" s="550"/>
      <c r="G22" s="551"/>
      <c r="H22" s="551"/>
      <c r="I22" s="552"/>
    </row>
    <row r="23" spans="1:9" ht="17.149999999999999" customHeight="1" x14ac:dyDescent="0.3">
      <c r="A23" s="678" t="s">
        <v>125</v>
      </c>
      <c r="B23" s="657">
        <f>SUM(B24:B27)</f>
        <v>7227.4780000000001</v>
      </c>
      <c r="C23" s="624">
        <f>SUM(C24:C27)</f>
        <v>4372.3019999999997</v>
      </c>
      <c r="D23" s="657">
        <f>SUM(D24:D27)</f>
        <v>5</v>
      </c>
      <c r="E23" s="624">
        <f>SUM(E24:E27)</f>
        <v>8</v>
      </c>
      <c r="F23" s="657">
        <f t="shared" ref="F23:F28" si="1">B23-C23</f>
        <v>2855.1760000000004</v>
      </c>
      <c r="G23" s="625">
        <f t="shared" ref="G23:G28" si="2">IF(C23&lt;&gt;0,(B23-C23)/C23)*100</f>
        <v>65.301436177098481</v>
      </c>
      <c r="H23" s="657">
        <f t="shared" ref="H23:H28" si="3">D23-E23</f>
        <v>-3</v>
      </c>
      <c r="I23" s="625">
        <f t="shared" ref="I23:I28" si="4">IF(E23&lt;&gt;0,(D23-E23)/E23)*100</f>
        <v>-37.5</v>
      </c>
    </row>
    <row r="24" spans="1:9" ht="17.149999999999999" customHeight="1" x14ac:dyDescent="0.3">
      <c r="A24" s="678" t="s">
        <v>126</v>
      </c>
      <c r="B24" s="679">
        <v>0</v>
      </c>
      <c r="C24" s="679">
        <v>0</v>
      </c>
      <c r="D24" s="679">
        <v>0</v>
      </c>
      <c r="E24" s="679">
        <v>0</v>
      </c>
      <c r="F24" s="680">
        <f t="shared" si="1"/>
        <v>0</v>
      </c>
      <c r="G24" s="681">
        <f t="shared" si="2"/>
        <v>0</v>
      </c>
      <c r="H24" s="680">
        <f t="shared" si="3"/>
        <v>0</v>
      </c>
      <c r="I24" s="681">
        <f t="shared" si="4"/>
        <v>0</v>
      </c>
    </row>
    <row r="25" spans="1:9" ht="17.149999999999999" customHeight="1" x14ac:dyDescent="0.3">
      <c r="A25" s="678" t="s">
        <v>127</v>
      </c>
      <c r="B25" s="679">
        <v>0</v>
      </c>
      <c r="C25" s="679">
        <v>0</v>
      </c>
      <c r="D25" s="679">
        <v>0</v>
      </c>
      <c r="E25" s="679">
        <v>0</v>
      </c>
      <c r="F25" s="680">
        <f t="shared" si="1"/>
        <v>0</v>
      </c>
      <c r="G25" s="681">
        <f t="shared" si="2"/>
        <v>0</v>
      </c>
      <c r="H25" s="680">
        <f t="shared" si="3"/>
        <v>0</v>
      </c>
      <c r="I25" s="681">
        <f t="shared" si="4"/>
        <v>0</v>
      </c>
    </row>
    <row r="26" spans="1:9" ht="17.149999999999999" customHeight="1" x14ac:dyDescent="0.3">
      <c r="A26" s="626" t="s">
        <v>128</v>
      </c>
      <c r="B26" s="679">
        <v>0</v>
      </c>
      <c r="C26" s="679">
        <v>0</v>
      </c>
      <c r="D26" s="679">
        <v>0</v>
      </c>
      <c r="E26" s="679">
        <v>0</v>
      </c>
      <c r="F26" s="680">
        <f t="shared" si="1"/>
        <v>0</v>
      </c>
      <c r="G26" s="681">
        <f t="shared" si="2"/>
        <v>0</v>
      </c>
      <c r="H26" s="680">
        <f t="shared" si="3"/>
        <v>0</v>
      </c>
      <c r="I26" s="681">
        <f t="shared" si="4"/>
        <v>0</v>
      </c>
    </row>
    <row r="27" spans="1:9" ht="17.149999999999999" customHeight="1" x14ac:dyDescent="0.3">
      <c r="A27" s="678" t="s">
        <v>129</v>
      </c>
      <c r="B27" s="679">
        <f>7227478/1000</f>
        <v>7227.4780000000001</v>
      </c>
      <c r="C27" s="679">
        <f>4372302/1000</f>
        <v>4372.3019999999997</v>
      </c>
      <c r="D27" s="679">
        <v>5</v>
      </c>
      <c r="E27" s="679">
        <v>8</v>
      </c>
      <c r="F27" s="680">
        <f t="shared" si="1"/>
        <v>2855.1760000000004</v>
      </c>
      <c r="G27" s="681">
        <f t="shared" si="2"/>
        <v>65.301436177098481</v>
      </c>
      <c r="H27" s="680">
        <f t="shared" si="3"/>
        <v>-3</v>
      </c>
      <c r="I27" s="681">
        <f t="shared" si="4"/>
        <v>-37.5</v>
      </c>
    </row>
    <row r="28" spans="1:9" ht="17.149999999999999" customHeight="1" x14ac:dyDescent="0.3">
      <c r="A28" s="678" t="s">
        <v>130</v>
      </c>
      <c r="B28" s="679">
        <v>0</v>
      </c>
      <c r="C28" s="679">
        <v>0</v>
      </c>
      <c r="D28" s="679">
        <v>0</v>
      </c>
      <c r="E28" s="679">
        <v>0</v>
      </c>
      <c r="F28" s="680">
        <f t="shared" si="1"/>
        <v>0</v>
      </c>
      <c r="G28" s="681">
        <f t="shared" si="2"/>
        <v>0</v>
      </c>
      <c r="H28" s="680">
        <f t="shared" si="3"/>
        <v>0</v>
      </c>
      <c r="I28" s="681">
        <f t="shared" si="4"/>
        <v>0</v>
      </c>
    </row>
    <row r="29" spans="1:9" ht="17.149999999999999" customHeight="1" x14ac:dyDescent="0.3">
      <c r="A29" s="678"/>
      <c r="B29" s="627"/>
      <c r="C29" s="628"/>
      <c r="D29" s="627"/>
      <c r="E29" s="628"/>
      <c r="F29" s="657"/>
      <c r="G29" s="625"/>
      <c r="H29" s="624"/>
      <c r="I29" s="629"/>
    </row>
    <row r="30" spans="1:9" ht="17.149999999999999" customHeight="1" x14ac:dyDescent="0.3">
      <c r="A30" s="678"/>
      <c r="B30" s="627"/>
      <c r="C30" s="628"/>
      <c r="D30" s="627"/>
      <c r="E30" s="628"/>
      <c r="F30" s="657"/>
      <c r="G30" s="625"/>
      <c r="H30" s="624"/>
      <c r="I30" s="629"/>
    </row>
    <row r="31" spans="1:9" ht="17.149999999999999" customHeight="1" thickBot="1" x14ac:dyDescent="0.35">
      <c r="A31" s="88" t="s">
        <v>109</v>
      </c>
      <c r="B31" s="630"/>
      <c r="C31" s="631"/>
      <c r="D31" s="630"/>
      <c r="E31" s="631"/>
      <c r="F31" s="632"/>
      <c r="G31" s="633"/>
      <c r="H31" s="634"/>
      <c r="I31" s="635"/>
    </row>
    <row r="32" spans="1:9" ht="17.149999999999999" customHeight="1" thickBot="1" x14ac:dyDescent="0.35">
      <c r="A32" s="89" t="s">
        <v>131</v>
      </c>
      <c r="B32" s="90">
        <f>B23+B28</f>
        <v>7227.4780000000001</v>
      </c>
      <c r="C32" s="91">
        <f>C23+C28</f>
        <v>4372.3019999999997</v>
      </c>
      <c r="D32" s="90">
        <f>D23+D28</f>
        <v>5</v>
      </c>
      <c r="E32" s="91">
        <f>E23+E28</f>
        <v>8</v>
      </c>
      <c r="F32" s="91">
        <f>B32-C32</f>
        <v>2855.1760000000004</v>
      </c>
      <c r="G32" s="92">
        <f>IF(C32&lt;&gt;0,(B32-C32)/C32)*100</f>
        <v>65.301436177098481</v>
      </c>
      <c r="H32" s="91">
        <f>D32-E32</f>
        <v>-3</v>
      </c>
      <c r="I32" s="92">
        <f>IF(E32&lt;&gt;0,(D32-E32)/E32)*100</f>
        <v>-37.5</v>
      </c>
    </row>
    <row r="33" spans="1:9" ht="17.149999999999999" customHeight="1" thickBot="1" x14ac:dyDescent="0.35">
      <c r="A33" s="93" t="s">
        <v>132</v>
      </c>
      <c r="B33" s="90">
        <f>B20+B32</f>
        <v>183970.75400000002</v>
      </c>
      <c r="C33" s="91">
        <f>C20+C32</f>
        <v>141964.427</v>
      </c>
      <c r="D33" s="90">
        <f>D20+D32</f>
        <v>517</v>
      </c>
      <c r="E33" s="91">
        <f>E20+E32</f>
        <v>444</v>
      </c>
      <c r="F33" s="91">
        <f>B33-C33</f>
        <v>42006.327000000019</v>
      </c>
      <c r="G33" s="92">
        <f>IF(C33&lt;&gt;0,(B33-C33)/C33)*100</f>
        <v>29.589332967194675</v>
      </c>
      <c r="H33" s="91">
        <f>D33-E33</f>
        <v>73</v>
      </c>
      <c r="I33" s="92">
        <f>IF(E33&lt;&gt;0,(D33-E33)/E33)*100</f>
        <v>16.441441441441444</v>
      </c>
    </row>
    <row r="34" spans="1:9" ht="17.149999999999999" customHeight="1" x14ac:dyDescent="0.3">
      <c r="A34" s="94"/>
      <c r="B34" s="94"/>
      <c r="C34" s="94"/>
      <c r="D34" s="94"/>
      <c r="E34" s="94"/>
      <c r="F34" s="95"/>
      <c r="G34" s="95"/>
      <c r="H34" s="95"/>
      <c r="I34" s="95"/>
    </row>
    <row r="35" spans="1:9" ht="17.149999999999999" customHeight="1" x14ac:dyDescent="0.3">
      <c r="A35" s="68"/>
      <c r="B35" s="96"/>
      <c r="C35" s="97"/>
      <c r="D35" s="97"/>
      <c r="E35" s="97"/>
      <c r="F35" s="538"/>
      <c r="G35" s="538"/>
      <c r="H35" s="538"/>
      <c r="I35" s="538"/>
    </row>
    <row r="36" spans="1:9" ht="17.149999999999999" customHeight="1" thickBot="1" x14ac:dyDescent="0.35">
      <c r="A36" s="404" t="s">
        <v>133</v>
      </c>
      <c r="B36" s="813"/>
      <c r="C36" s="813"/>
      <c r="D36" s="99"/>
      <c r="E36" s="99"/>
      <c r="F36" s="538"/>
      <c r="G36" s="538"/>
      <c r="H36" s="538"/>
      <c r="I36" s="538"/>
    </row>
    <row r="37" spans="1:9" ht="17.149999999999999" customHeight="1" thickBot="1" x14ac:dyDescent="0.35">
      <c r="A37" s="822" t="s">
        <v>134</v>
      </c>
      <c r="B37" s="818" t="s">
        <v>105</v>
      </c>
      <c r="C37" s="819"/>
      <c r="D37" s="818" t="s">
        <v>106</v>
      </c>
      <c r="E37" s="819"/>
      <c r="F37" s="804" t="s">
        <v>107</v>
      </c>
      <c r="G37" s="805"/>
      <c r="H37" s="805"/>
      <c r="I37" s="806"/>
    </row>
    <row r="38" spans="1:9" ht="17.149999999999999" customHeight="1" thickBot="1" x14ac:dyDescent="0.35">
      <c r="A38" s="823"/>
      <c r="B38" s="324" t="s">
        <v>147</v>
      </c>
      <c r="C38" s="324" t="s">
        <v>148</v>
      </c>
      <c r="D38" s="324" t="s">
        <v>147</v>
      </c>
      <c r="E38" s="324" t="s">
        <v>148</v>
      </c>
      <c r="F38" s="804" t="s">
        <v>105</v>
      </c>
      <c r="G38" s="806"/>
      <c r="H38" s="804" t="s">
        <v>106</v>
      </c>
      <c r="I38" s="806"/>
    </row>
    <row r="39" spans="1:9" ht="17.149999999999999" customHeight="1" x14ac:dyDescent="0.3">
      <c r="A39" s="100"/>
      <c r="B39" s="826"/>
      <c r="C39" s="827"/>
      <c r="D39" s="827"/>
      <c r="E39" s="828"/>
      <c r="F39" s="814" t="s">
        <v>110</v>
      </c>
      <c r="G39" s="816" t="s">
        <v>111</v>
      </c>
      <c r="H39" s="816" t="s">
        <v>112</v>
      </c>
      <c r="I39" s="816" t="s">
        <v>111</v>
      </c>
    </row>
    <row r="40" spans="1:9" ht="17.149999999999999" customHeight="1" thickBot="1" x14ac:dyDescent="0.35">
      <c r="A40" s="101" t="s">
        <v>113</v>
      </c>
      <c r="B40" s="829"/>
      <c r="C40" s="830"/>
      <c r="D40" s="830"/>
      <c r="E40" s="831"/>
      <c r="F40" s="815"/>
      <c r="G40" s="817"/>
      <c r="H40" s="817"/>
      <c r="I40" s="817"/>
    </row>
    <row r="41" spans="1:9" ht="17.149999999999999" customHeight="1" thickBot="1" x14ac:dyDescent="0.35">
      <c r="A41" s="539" t="s">
        <v>135</v>
      </c>
      <c r="B41" s="103">
        <f>B42+B43+B45</f>
        <v>996645.65300000005</v>
      </c>
      <c r="C41" s="104">
        <f>C42+C43+C45</f>
        <v>783046.62</v>
      </c>
      <c r="D41" s="104">
        <f>D42+D43+D45</f>
        <v>4732</v>
      </c>
      <c r="E41" s="104">
        <f>E42+E43+E45</f>
        <v>4156</v>
      </c>
      <c r="F41" s="104">
        <f t="shared" ref="F41:F48" si="5">B41-C41</f>
        <v>213599.03300000005</v>
      </c>
      <c r="G41" s="105">
        <f t="shared" ref="G41:G48" si="6">IF(C41&lt;&gt;0,(B41-C41)/C41)*100</f>
        <v>27.277945852061791</v>
      </c>
      <c r="H41" s="104">
        <f t="shared" ref="H41:H48" si="7">D41-E41</f>
        <v>576</v>
      </c>
      <c r="I41" s="105">
        <f t="shared" ref="I41:I48" si="8">IF(E41&lt;&gt;0,(D41-E41)/E41)*100</f>
        <v>13.859480269489893</v>
      </c>
    </row>
    <row r="42" spans="1:9" ht="17.149999999999999" customHeight="1" x14ac:dyDescent="0.3">
      <c r="A42" s="539" t="s">
        <v>136</v>
      </c>
      <c r="B42" s="542">
        <f>996645653/1000</f>
        <v>996645.65300000005</v>
      </c>
      <c r="C42" s="542">
        <f>783046620/1000</f>
        <v>783046.62</v>
      </c>
      <c r="D42" s="543">
        <v>4732</v>
      </c>
      <c r="E42" s="543">
        <v>4156</v>
      </c>
      <c r="F42" s="680">
        <f t="shared" si="5"/>
        <v>213599.03300000005</v>
      </c>
      <c r="G42" s="681">
        <f t="shared" si="6"/>
        <v>27.277945852061791</v>
      </c>
      <c r="H42" s="680">
        <f t="shared" si="7"/>
        <v>576</v>
      </c>
      <c r="I42" s="681">
        <f t="shared" si="8"/>
        <v>13.859480269489893</v>
      </c>
    </row>
    <row r="43" spans="1:9" ht="17.149999999999999" customHeight="1" x14ac:dyDescent="0.3">
      <c r="A43" s="539" t="s">
        <v>116</v>
      </c>
      <c r="B43" s="542">
        <v>0</v>
      </c>
      <c r="C43" s="542">
        <v>0</v>
      </c>
      <c r="D43" s="543">
        <v>0</v>
      </c>
      <c r="E43" s="543">
        <v>0</v>
      </c>
      <c r="F43" s="680">
        <f t="shared" si="5"/>
        <v>0</v>
      </c>
      <c r="G43" s="681">
        <f t="shared" si="6"/>
        <v>0</v>
      </c>
      <c r="H43" s="680">
        <f t="shared" si="7"/>
        <v>0</v>
      </c>
      <c r="I43" s="681">
        <f t="shared" si="8"/>
        <v>0</v>
      </c>
    </row>
    <row r="44" spans="1:9" ht="17.149999999999999" customHeight="1" x14ac:dyDescent="0.3">
      <c r="A44" s="539" t="s">
        <v>137</v>
      </c>
      <c r="B44" s="542">
        <v>0</v>
      </c>
      <c r="C44" s="542">
        <v>0</v>
      </c>
      <c r="D44" s="543">
        <v>0</v>
      </c>
      <c r="E44" s="543">
        <v>0</v>
      </c>
      <c r="F44" s="680">
        <f t="shared" si="5"/>
        <v>0</v>
      </c>
      <c r="G44" s="681">
        <f t="shared" si="6"/>
        <v>0</v>
      </c>
      <c r="H44" s="680">
        <f t="shared" si="7"/>
        <v>0</v>
      </c>
      <c r="I44" s="681">
        <f t="shared" si="8"/>
        <v>0</v>
      </c>
    </row>
    <row r="45" spans="1:9" ht="17.149999999999999" customHeight="1" x14ac:dyDescent="0.3">
      <c r="A45" s="539" t="s">
        <v>143</v>
      </c>
      <c r="B45" s="542">
        <v>0</v>
      </c>
      <c r="C45" s="542">
        <v>0</v>
      </c>
      <c r="D45" s="543">
        <v>0</v>
      </c>
      <c r="E45" s="543">
        <v>0</v>
      </c>
      <c r="F45" s="680">
        <f t="shared" si="5"/>
        <v>0</v>
      </c>
      <c r="G45" s="681">
        <f t="shared" si="6"/>
        <v>0</v>
      </c>
      <c r="H45" s="680">
        <f t="shared" si="7"/>
        <v>0</v>
      </c>
      <c r="I45" s="681">
        <f t="shared" si="8"/>
        <v>0</v>
      </c>
    </row>
    <row r="46" spans="1:9" ht="17.149999999999999" customHeight="1" x14ac:dyDescent="0.3">
      <c r="A46" s="539" t="s">
        <v>139</v>
      </c>
      <c r="B46" s="542">
        <v>0</v>
      </c>
      <c r="C46" s="542">
        <v>0</v>
      </c>
      <c r="D46" s="543">
        <v>0</v>
      </c>
      <c r="E46" s="543">
        <v>0</v>
      </c>
      <c r="F46" s="680">
        <f t="shared" si="5"/>
        <v>0</v>
      </c>
      <c r="G46" s="681">
        <f t="shared" si="6"/>
        <v>0</v>
      </c>
      <c r="H46" s="680">
        <f t="shared" si="7"/>
        <v>0</v>
      </c>
      <c r="I46" s="681">
        <f t="shared" si="8"/>
        <v>0</v>
      </c>
    </row>
    <row r="47" spans="1:9" ht="17.149999999999999" customHeight="1" thickBot="1" x14ac:dyDescent="0.35">
      <c r="A47" s="539" t="s">
        <v>140</v>
      </c>
      <c r="B47" s="542">
        <v>0</v>
      </c>
      <c r="C47" s="542">
        <v>0</v>
      </c>
      <c r="D47" s="543">
        <v>0</v>
      </c>
      <c r="E47" s="543">
        <v>0</v>
      </c>
      <c r="F47" s="680">
        <f t="shared" si="5"/>
        <v>0</v>
      </c>
      <c r="G47" s="681">
        <f t="shared" si="6"/>
        <v>0</v>
      </c>
      <c r="H47" s="680">
        <f t="shared" si="7"/>
        <v>0</v>
      </c>
      <c r="I47" s="681">
        <f t="shared" si="8"/>
        <v>0</v>
      </c>
    </row>
    <row r="48" spans="1:9" ht="17.149999999999999" customHeight="1" thickBot="1" x14ac:dyDescent="0.35">
      <c r="A48" s="106" t="s">
        <v>123</v>
      </c>
      <c r="B48" s="91">
        <f>B41+B46+B47</f>
        <v>996645.65300000005</v>
      </c>
      <c r="C48" s="91">
        <f>C41+C46+C47</f>
        <v>783046.62</v>
      </c>
      <c r="D48" s="91">
        <f>D41+D46+D47</f>
        <v>4732</v>
      </c>
      <c r="E48" s="91">
        <f>E41+E46+E47</f>
        <v>4156</v>
      </c>
      <c r="F48" s="91">
        <f t="shared" si="5"/>
        <v>213599.03300000005</v>
      </c>
      <c r="G48" s="92">
        <f t="shared" si="6"/>
        <v>27.277945852061791</v>
      </c>
      <c r="H48" s="91">
        <f t="shared" si="7"/>
        <v>576</v>
      </c>
      <c r="I48" s="92">
        <f t="shared" si="8"/>
        <v>13.859480269489893</v>
      </c>
    </row>
    <row r="49" spans="1:9" ht="17.149999999999999" customHeight="1" thickBot="1" x14ac:dyDescent="0.35">
      <c r="A49" s="101" t="s">
        <v>124</v>
      </c>
      <c r="B49" s="114"/>
      <c r="C49" s="115"/>
      <c r="D49" s="115"/>
      <c r="E49" s="115"/>
      <c r="F49" s="116"/>
      <c r="G49" s="117"/>
      <c r="H49" s="116"/>
      <c r="I49" s="124"/>
    </row>
    <row r="50" spans="1:9" ht="17.149999999999999" customHeight="1" thickBot="1" x14ac:dyDescent="0.35">
      <c r="A50" s="539" t="s">
        <v>125</v>
      </c>
      <c r="B50" s="103">
        <f>SUM(B51:B54)</f>
        <v>16503.39</v>
      </c>
      <c r="C50" s="104">
        <f>SUM(C51:C54)</f>
        <v>13249.008</v>
      </c>
      <c r="D50" s="104">
        <f>SUM(D51:D54)</f>
        <v>38</v>
      </c>
      <c r="E50" s="104">
        <f>SUM(E51:E54)</f>
        <v>26</v>
      </c>
      <c r="F50" s="104">
        <f t="shared" ref="F50:F55" si="9">B50-C50</f>
        <v>3254.3819999999996</v>
      </c>
      <c r="G50" s="105">
        <f t="shared" ref="G50:G55" si="10">IF(C50&lt;&gt;0,(B50-C50)/C50)*100</f>
        <v>24.563212581651396</v>
      </c>
      <c r="H50" s="104">
        <f t="shared" ref="H50:H55" si="11">D50-E50</f>
        <v>12</v>
      </c>
      <c r="I50" s="105">
        <f t="shared" ref="I50:I55" si="12">IF(E50&lt;&gt;0,(D50-E50)/E50)*100</f>
        <v>46.153846153846153</v>
      </c>
    </row>
    <row r="51" spans="1:9" ht="17.149999999999999" customHeight="1" x14ac:dyDescent="0.3">
      <c r="A51" s="119" t="s">
        <v>126</v>
      </c>
      <c r="B51" s="542">
        <v>0</v>
      </c>
      <c r="C51" s="542">
        <v>0</v>
      </c>
      <c r="D51" s="542">
        <v>0</v>
      </c>
      <c r="E51" s="542">
        <v>0</v>
      </c>
      <c r="F51" s="680">
        <f t="shared" si="9"/>
        <v>0</v>
      </c>
      <c r="G51" s="681">
        <f t="shared" si="10"/>
        <v>0</v>
      </c>
      <c r="H51" s="680">
        <f t="shared" si="11"/>
        <v>0</v>
      </c>
      <c r="I51" s="681">
        <f t="shared" si="12"/>
        <v>0</v>
      </c>
    </row>
    <row r="52" spans="1:9" ht="17.149999999999999" customHeight="1" x14ac:dyDescent="0.3">
      <c r="A52" s="119" t="s">
        <v>127</v>
      </c>
      <c r="B52" s="542">
        <v>0</v>
      </c>
      <c r="C52" s="542">
        <v>0</v>
      </c>
      <c r="D52" s="542">
        <v>0</v>
      </c>
      <c r="E52" s="542">
        <v>0</v>
      </c>
      <c r="F52" s="680">
        <f t="shared" si="9"/>
        <v>0</v>
      </c>
      <c r="G52" s="681">
        <f t="shared" si="10"/>
        <v>0</v>
      </c>
      <c r="H52" s="680">
        <f t="shared" si="11"/>
        <v>0</v>
      </c>
      <c r="I52" s="681">
        <f t="shared" si="12"/>
        <v>0</v>
      </c>
    </row>
    <row r="53" spans="1:9" ht="17.149999999999999" customHeight="1" x14ac:dyDescent="0.3">
      <c r="A53" s="120" t="s">
        <v>141</v>
      </c>
      <c r="B53" s="542">
        <v>0</v>
      </c>
      <c r="C53" s="542">
        <v>0</v>
      </c>
      <c r="D53" s="542">
        <v>0</v>
      </c>
      <c r="E53" s="542">
        <v>0</v>
      </c>
      <c r="F53" s="680">
        <f t="shared" si="9"/>
        <v>0</v>
      </c>
      <c r="G53" s="681">
        <f t="shared" si="10"/>
        <v>0</v>
      </c>
      <c r="H53" s="680">
        <f t="shared" si="11"/>
        <v>0</v>
      </c>
      <c r="I53" s="681">
        <f t="shared" si="12"/>
        <v>0</v>
      </c>
    </row>
    <row r="54" spans="1:9" ht="17.149999999999999" customHeight="1" x14ac:dyDescent="0.3">
      <c r="A54" s="119" t="s">
        <v>129</v>
      </c>
      <c r="B54" s="542">
        <f>16503390/1000</f>
        <v>16503.39</v>
      </c>
      <c r="C54" s="542">
        <f>13249008/1000</f>
        <v>13249.008</v>
      </c>
      <c r="D54" s="542">
        <v>38</v>
      </c>
      <c r="E54" s="542">
        <v>26</v>
      </c>
      <c r="F54" s="680">
        <f t="shared" si="9"/>
        <v>3254.3819999999996</v>
      </c>
      <c r="G54" s="681">
        <f t="shared" si="10"/>
        <v>24.563212581651396</v>
      </c>
      <c r="H54" s="680">
        <f t="shared" si="11"/>
        <v>12</v>
      </c>
      <c r="I54" s="681">
        <f t="shared" si="12"/>
        <v>46.153846153846153</v>
      </c>
    </row>
    <row r="55" spans="1:9" ht="17.149999999999999" customHeight="1" x14ac:dyDescent="0.3">
      <c r="A55" s="539" t="s">
        <v>130</v>
      </c>
      <c r="B55" s="542">
        <v>0</v>
      </c>
      <c r="C55" s="542">
        <v>0</v>
      </c>
      <c r="D55" s="542">
        <v>0</v>
      </c>
      <c r="E55" s="542">
        <v>0</v>
      </c>
      <c r="F55" s="680">
        <f t="shared" si="9"/>
        <v>0</v>
      </c>
      <c r="G55" s="681">
        <f t="shared" si="10"/>
        <v>0</v>
      </c>
      <c r="H55" s="680">
        <f t="shared" si="11"/>
        <v>0</v>
      </c>
      <c r="I55" s="681">
        <f t="shared" si="12"/>
        <v>0</v>
      </c>
    </row>
    <row r="56" spans="1:9" ht="17.149999999999999" customHeight="1" x14ac:dyDescent="0.3">
      <c r="A56" s="539"/>
      <c r="B56" s="684"/>
      <c r="C56" s="684"/>
      <c r="D56" s="684"/>
      <c r="E56" s="684"/>
      <c r="F56" s="544"/>
      <c r="G56" s="545"/>
      <c r="H56" s="544"/>
      <c r="I56" s="545"/>
    </row>
    <row r="57" spans="1:9" ht="17.149999999999999" customHeight="1" x14ac:dyDescent="0.3">
      <c r="A57" s="539"/>
      <c r="B57" s="684"/>
      <c r="C57" s="684"/>
      <c r="D57" s="684"/>
      <c r="E57" s="684"/>
      <c r="F57" s="544"/>
      <c r="G57" s="545"/>
      <c r="H57" s="544"/>
      <c r="I57" s="545"/>
    </row>
    <row r="58" spans="1:9" ht="17.149999999999999" customHeight="1" thickBot="1" x14ac:dyDescent="0.35">
      <c r="A58" s="539"/>
      <c r="B58" s="636"/>
      <c r="C58" s="636"/>
      <c r="D58" s="637"/>
      <c r="E58" s="637"/>
      <c r="F58" s="638"/>
      <c r="G58" s="639"/>
      <c r="H58" s="640"/>
      <c r="I58" s="641"/>
    </row>
    <row r="59" spans="1:9" ht="17.149999999999999" customHeight="1" thickBot="1" x14ac:dyDescent="0.35">
      <c r="A59" s="106" t="s">
        <v>131</v>
      </c>
      <c r="B59" s="103">
        <f>B50+B55</f>
        <v>16503.39</v>
      </c>
      <c r="C59" s="104">
        <f>C50+C55</f>
        <v>13249.008</v>
      </c>
      <c r="D59" s="104">
        <f>D50+D55</f>
        <v>38</v>
      </c>
      <c r="E59" s="104">
        <f>E50+E55</f>
        <v>26</v>
      </c>
      <c r="F59" s="657">
        <f>B59-C59</f>
        <v>3254.3819999999996</v>
      </c>
      <c r="G59" s="625">
        <f>IF(C59&lt;&gt;0,(B59-C59)/C59)*100</f>
        <v>24.563212581651396</v>
      </c>
      <c r="H59" s="657">
        <f>D59-E59</f>
        <v>12</v>
      </c>
      <c r="I59" s="625">
        <f>IF(E59&lt;&gt;0,(D59-E59)/E59)*100</f>
        <v>46.153846153846153</v>
      </c>
    </row>
    <row r="60" spans="1:9" ht="17.149999999999999" customHeight="1" thickBot="1" x14ac:dyDescent="0.35">
      <c r="A60" s="539"/>
      <c r="B60" s="121"/>
      <c r="C60" s="122"/>
      <c r="D60" s="122"/>
      <c r="E60" s="122"/>
      <c r="F60" s="123"/>
      <c r="G60" s="124"/>
      <c r="H60" s="123"/>
      <c r="I60" s="125"/>
    </row>
    <row r="61" spans="1:9" ht="17.149999999999999" customHeight="1" thickBot="1" x14ac:dyDescent="0.35">
      <c r="A61" s="106" t="s">
        <v>132</v>
      </c>
      <c r="B61" s="103">
        <f>B48+B59</f>
        <v>1013149.0430000001</v>
      </c>
      <c r="C61" s="104">
        <f>C48+C59</f>
        <v>796295.62800000003</v>
      </c>
      <c r="D61" s="104">
        <f>D48+D59</f>
        <v>4770</v>
      </c>
      <c r="E61" s="104">
        <f>E48+E59</f>
        <v>4182</v>
      </c>
      <c r="F61" s="104">
        <f>B61-C61</f>
        <v>216853.41500000004</v>
      </c>
      <c r="G61" s="105">
        <f>IF(C61&lt;&gt;0,(B61-C61)/C61)*100</f>
        <v>27.232777297127146</v>
      </c>
      <c r="H61" s="104">
        <f>D61-E61</f>
        <v>588</v>
      </c>
      <c r="I61" s="105">
        <f>IF(E61&lt;&gt;0,(D61-E61)/E61)*100</f>
        <v>14.060258249641318</v>
      </c>
    </row>
    <row r="62" spans="1:9" ht="17.149999999999999" customHeight="1" x14ac:dyDescent="0.3">
      <c r="A62" s="94"/>
      <c r="B62" s="94"/>
      <c r="C62" s="94"/>
      <c r="D62" s="94"/>
      <c r="E62" s="94"/>
      <c r="F62" s="95"/>
      <c r="G62" s="95"/>
      <c r="H62" s="95"/>
      <c r="I62" s="95"/>
    </row>
    <row r="63" spans="1:9" ht="17.149999999999999" customHeight="1" x14ac:dyDescent="0.3">
      <c r="A63" s="126"/>
      <c r="B63" s="127"/>
      <c r="C63" s="126"/>
      <c r="D63" s="126"/>
      <c r="E63" s="126"/>
      <c r="F63" s="538"/>
      <c r="G63" s="538"/>
      <c r="H63" s="538"/>
      <c r="I63" s="538"/>
    </row>
    <row r="64" spans="1:9" ht="17.149999999999999" customHeight="1" thickBot="1" x14ac:dyDescent="0.35">
      <c r="A64" s="404" t="s">
        <v>142</v>
      </c>
      <c r="B64" s="813"/>
      <c r="C64" s="813"/>
      <c r="D64" s="129"/>
      <c r="E64" s="129"/>
      <c r="F64" s="538"/>
      <c r="G64" s="538"/>
      <c r="H64" s="538"/>
      <c r="I64" s="538"/>
    </row>
    <row r="65" spans="1:9" ht="17.149999999999999" customHeight="1" thickBot="1" x14ac:dyDescent="0.35">
      <c r="A65" s="824" t="s">
        <v>134</v>
      </c>
      <c r="B65" s="820" t="s">
        <v>105</v>
      </c>
      <c r="C65" s="821"/>
      <c r="D65" s="820" t="s">
        <v>106</v>
      </c>
      <c r="E65" s="821"/>
      <c r="F65" s="804" t="s">
        <v>107</v>
      </c>
      <c r="G65" s="805"/>
      <c r="H65" s="805"/>
      <c r="I65" s="806"/>
    </row>
    <row r="66" spans="1:9" ht="17.149999999999999" customHeight="1" thickBot="1" x14ac:dyDescent="0.35">
      <c r="A66" s="825"/>
      <c r="B66" s="324" t="s">
        <v>147</v>
      </c>
      <c r="C66" s="324" t="s">
        <v>148</v>
      </c>
      <c r="D66" s="324" t="s">
        <v>147</v>
      </c>
      <c r="E66" s="324" t="s">
        <v>148</v>
      </c>
      <c r="F66" s="804" t="s">
        <v>105</v>
      </c>
      <c r="G66" s="806"/>
      <c r="H66" s="804" t="s">
        <v>106</v>
      </c>
      <c r="I66" s="806"/>
    </row>
    <row r="67" spans="1:9" ht="17.149999999999999" customHeight="1" x14ac:dyDescent="0.3">
      <c r="A67" s="130"/>
      <c r="B67" s="807"/>
      <c r="C67" s="808"/>
      <c r="D67" s="808"/>
      <c r="E67" s="809"/>
      <c r="F67" s="814" t="s">
        <v>110</v>
      </c>
      <c r="G67" s="816" t="s">
        <v>111</v>
      </c>
      <c r="H67" s="816" t="s">
        <v>112</v>
      </c>
      <c r="I67" s="816" t="s">
        <v>111</v>
      </c>
    </row>
    <row r="68" spans="1:9" ht="17.149999999999999" customHeight="1" thickBot="1" x14ac:dyDescent="0.35">
      <c r="A68" s="131" t="s">
        <v>113</v>
      </c>
      <c r="B68" s="810"/>
      <c r="C68" s="811"/>
      <c r="D68" s="811"/>
      <c r="E68" s="812"/>
      <c r="F68" s="815"/>
      <c r="G68" s="817"/>
      <c r="H68" s="817"/>
      <c r="I68" s="817"/>
    </row>
    <row r="69" spans="1:9" ht="17.149999999999999" customHeight="1" thickBot="1" x14ac:dyDescent="0.35">
      <c r="A69" s="540" t="s">
        <v>135</v>
      </c>
      <c r="B69" s="133">
        <f>B70+B71+B72</f>
        <v>1006108.3790000001</v>
      </c>
      <c r="C69" s="91">
        <f>C70+C71+C72</f>
        <v>791513.05599999998</v>
      </c>
      <c r="D69" s="91">
        <f>D70+D71+D72</f>
        <v>4815</v>
      </c>
      <c r="E69" s="91">
        <f>E70+E71+E72</f>
        <v>4243</v>
      </c>
      <c r="F69" s="91">
        <f t="shared" ref="F69:F75" si="13">B69-C69</f>
        <v>214595.32300000009</v>
      </c>
      <c r="G69" s="92">
        <f t="shared" ref="G69:G75" si="14">IF(C69&lt;&gt;0,(B69-C69)/C69)*100</f>
        <v>27.112038313616914</v>
      </c>
      <c r="H69" s="91">
        <f t="shared" ref="H69:H75" si="15">D69-E69</f>
        <v>572</v>
      </c>
      <c r="I69" s="92">
        <f t="shared" ref="I69:I75" si="16">IF(E69&lt;&gt;0,(D69-E69)/E69)*100</f>
        <v>13.481027574829129</v>
      </c>
    </row>
    <row r="70" spans="1:9" ht="17.149999999999999" customHeight="1" x14ac:dyDescent="0.3">
      <c r="A70" s="540" t="s">
        <v>136</v>
      </c>
      <c r="B70" s="542">
        <f t="shared" ref="B70:E71" si="17">B42+B98</f>
        <v>1006108.3790000001</v>
      </c>
      <c r="C70" s="542">
        <f t="shared" si="17"/>
        <v>791513.05599999998</v>
      </c>
      <c r="D70" s="542">
        <f t="shared" si="17"/>
        <v>4815</v>
      </c>
      <c r="E70" s="542">
        <f t="shared" si="17"/>
        <v>4243</v>
      </c>
      <c r="F70" s="680">
        <f t="shared" si="13"/>
        <v>214595.32300000009</v>
      </c>
      <c r="G70" s="681">
        <f t="shared" si="14"/>
        <v>27.112038313616914</v>
      </c>
      <c r="H70" s="680">
        <f t="shared" si="15"/>
        <v>572</v>
      </c>
      <c r="I70" s="681">
        <f t="shared" si="16"/>
        <v>13.481027574829129</v>
      </c>
    </row>
    <row r="71" spans="1:9" ht="17.149999999999999" customHeight="1" x14ac:dyDescent="0.3">
      <c r="A71" s="540" t="s">
        <v>116</v>
      </c>
      <c r="B71" s="542">
        <f t="shared" si="17"/>
        <v>0</v>
      </c>
      <c r="C71" s="542">
        <f t="shared" si="17"/>
        <v>0</v>
      </c>
      <c r="D71" s="542">
        <f t="shared" si="17"/>
        <v>0</v>
      </c>
      <c r="E71" s="542">
        <f t="shared" si="17"/>
        <v>0</v>
      </c>
      <c r="F71" s="680">
        <f t="shared" si="13"/>
        <v>0</v>
      </c>
      <c r="G71" s="681">
        <f t="shared" si="14"/>
        <v>0</v>
      </c>
      <c r="H71" s="680">
        <f t="shared" si="15"/>
        <v>0</v>
      </c>
      <c r="I71" s="681">
        <f t="shared" si="16"/>
        <v>0</v>
      </c>
    </row>
    <row r="72" spans="1:9" ht="17.149999999999999" customHeight="1" x14ac:dyDescent="0.3">
      <c r="A72" s="540" t="s">
        <v>143</v>
      </c>
      <c r="B72" s="542">
        <f>B45+B100</f>
        <v>0</v>
      </c>
      <c r="C72" s="542">
        <f t="shared" ref="C72:E74" si="18">C45+C100</f>
        <v>0</v>
      </c>
      <c r="D72" s="542">
        <f t="shared" si="18"/>
        <v>0</v>
      </c>
      <c r="E72" s="542">
        <f t="shared" si="18"/>
        <v>0</v>
      </c>
      <c r="F72" s="680">
        <f t="shared" si="13"/>
        <v>0</v>
      </c>
      <c r="G72" s="681">
        <f t="shared" si="14"/>
        <v>0</v>
      </c>
      <c r="H72" s="680">
        <f t="shared" si="15"/>
        <v>0</v>
      </c>
      <c r="I72" s="681">
        <f t="shared" si="16"/>
        <v>0</v>
      </c>
    </row>
    <row r="73" spans="1:9" ht="17.149999999999999" customHeight="1" x14ac:dyDescent="0.3">
      <c r="A73" s="540" t="s">
        <v>139</v>
      </c>
      <c r="B73" s="542">
        <f>B46+B101</f>
        <v>0</v>
      </c>
      <c r="C73" s="542">
        <f t="shared" si="18"/>
        <v>0</v>
      </c>
      <c r="D73" s="542">
        <f t="shared" si="18"/>
        <v>0</v>
      </c>
      <c r="E73" s="542">
        <f t="shared" si="18"/>
        <v>0</v>
      </c>
      <c r="F73" s="680">
        <f t="shared" si="13"/>
        <v>0</v>
      </c>
      <c r="G73" s="681">
        <f t="shared" si="14"/>
        <v>0</v>
      </c>
      <c r="H73" s="680">
        <f t="shared" si="15"/>
        <v>0</v>
      </c>
      <c r="I73" s="681">
        <f t="shared" si="16"/>
        <v>0</v>
      </c>
    </row>
    <row r="74" spans="1:9" ht="17.149999999999999" customHeight="1" thickBot="1" x14ac:dyDescent="0.35">
      <c r="A74" s="540" t="s">
        <v>140</v>
      </c>
      <c r="B74" s="542">
        <f>B47+B102</f>
        <v>0</v>
      </c>
      <c r="C74" s="542">
        <f t="shared" si="18"/>
        <v>0</v>
      </c>
      <c r="D74" s="542">
        <f t="shared" si="18"/>
        <v>0</v>
      </c>
      <c r="E74" s="542">
        <f t="shared" si="18"/>
        <v>0</v>
      </c>
      <c r="F74" s="680">
        <f t="shared" si="13"/>
        <v>0</v>
      </c>
      <c r="G74" s="681">
        <f t="shared" si="14"/>
        <v>0</v>
      </c>
      <c r="H74" s="680">
        <f t="shared" si="15"/>
        <v>0</v>
      </c>
      <c r="I74" s="681">
        <f t="shared" si="16"/>
        <v>0</v>
      </c>
    </row>
    <row r="75" spans="1:9" ht="17.149999999999999" customHeight="1" thickBot="1" x14ac:dyDescent="0.35">
      <c r="A75" s="134" t="s">
        <v>123</v>
      </c>
      <c r="B75" s="135">
        <f>B69+B73+B74</f>
        <v>1006108.3790000001</v>
      </c>
      <c r="C75" s="90">
        <f>C69+C73+C74</f>
        <v>791513.05599999998</v>
      </c>
      <c r="D75" s="90">
        <f>D69+D73+D74</f>
        <v>4815</v>
      </c>
      <c r="E75" s="91">
        <f>E69+E73+E74</f>
        <v>4243</v>
      </c>
      <c r="F75" s="82">
        <f t="shared" si="13"/>
        <v>214595.32300000009</v>
      </c>
      <c r="G75" s="83">
        <f t="shared" si="14"/>
        <v>27.112038313616914</v>
      </c>
      <c r="H75" s="82">
        <f t="shared" si="15"/>
        <v>572</v>
      </c>
      <c r="I75" s="83">
        <f t="shared" si="16"/>
        <v>13.481027574829129</v>
      </c>
    </row>
    <row r="76" spans="1:9" ht="17.149999999999999" customHeight="1" x14ac:dyDescent="0.3">
      <c r="A76" s="136"/>
      <c r="B76" s="107"/>
      <c r="C76" s="108"/>
      <c r="D76" s="108"/>
      <c r="E76" s="108"/>
      <c r="F76" s="110"/>
      <c r="G76" s="110"/>
      <c r="H76" s="110"/>
      <c r="I76" s="137"/>
    </row>
    <row r="77" spans="1:9" ht="17.149999999999999" customHeight="1" thickBot="1" x14ac:dyDescent="0.35">
      <c r="A77" s="131" t="s">
        <v>124</v>
      </c>
      <c r="B77" s="114"/>
      <c r="C77" s="115"/>
      <c r="D77" s="115"/>
      <c r="E77" s="115"/>
      <c r="F77" s="116"/>
      <c r="G77" s="116"/>
      <c r="H77" s="116"/>
      <c r="I77" s="138"/>
    </row>
    <row r="78" spans="1:9" ht="17.149999999999999" customHeight="1" thickBot="1" x14ac:dyDescent="0.35">
      <c r="A78" s="540" t="s">
        <v>125</v>
      </c>
      <c r="B78" s="133">
        <f>SUM(B79:B82)</f>
        <v>16599.688999999998</v>
      </c>
      <c r="C78" s="91">
        <f>SUM(C79:C82)</f>
        <v>13399.343999999999</v>
      </c>
      <c r="D78" s="91">
        <f>SUM(D79:D82)</f>
        <v>41</v>
      </c>
      <c r="E78" s="91">
        <f>SUM(E79:E82)</f>
        <v>28</v>
      </c>
      <c r="F78" s="91">
        <f t="shared" ref="F78:F83" si="19">B78-C78</f>
        <v>3200.3449999999993</v>
      </c>
      <c r="G78" s="92">
        <f t="shared" ref="G78:G83" si="20">IF(C78&lt;&gt;0,(B78-C78)/C78)*100</f>
        <v>23.884340905047289</v>
      </c>
      <c r="H78" s="91">
        <f t="shared" ref="H78:H83" si="21">D78-E78</f>
        <v>13</v>
      </c>
      <c r="I78" s="92">
        <f t="shared" ref="I78:I83" si="22">IF(E78&lt;&gt;0,(D78-E78)/E78)*100</f>
        <v>46.428571428571431</v>
      </c>
    </row>
    <row r="79" spans="1:9" ht="17.149999999999999" customHeight="1" x14ac:dyDescent="0.3">
      <c r="A79" s="119" t="s">
        <v>126</v>
      </c>
      <c r="B79" s="542">
        <f t="shared" ref="B79:E83" si="23">B51+B107</f>
        <v>0</v>
      </c>
      <c r="C79" s="542">
        <f t="shared" si="23"/>
        <v>0</v>
      </c>
      <c r="D79" s="542">
        <f t="shared" si="23"/>
        <v>0</v>
      </c>
      <c r="E79" s="542">
        <f t="shared" si="23"/>
        <v>0</v>
      </c>
      <c r="F79" s="680">
        <f t="shared" si="19"/>
        <v>0</v>
      </c>
      <c r="G79" s="681">
        <f t="shared" si="20"/>
        <v>0</v>
      </c>
      <c r="H79" s="680">
        <f t="shared" si="21"/>
        <v>0</v>
      </c>
      <c r="I79" s="681">
        <f t="shared" si="22"/>
        <v>0</v>
      </c>
    </row>
    <row r="80" spans="1:9" ht="17.149999999999999" customHeight="1" x14ac:dyDescent="0.3">
      <c r="A80" s="119" t="s">
        <v>144</v>
      </c>
      <c r="B80" s="684">
        <f t="shared" si="23"/>
        <v>0</v>
      </c>
      <c r="C80" s="684">
        <f t="shared" si="23"/>
        <v>0</v>
      </c>
      <c r="D80" s="684">
        <f t="shared" si="23"/>
        <v>0</v>
      </c>
      <c r="E80" s="684">
        <f t="shared" si="23"/>
        <v>0</v>
      </c>
      <c r="F80" s="680">
        <f t="shared" si="19"/>
        <v>0</v>
      </c>
      <c r="G80" s="681">
        <f t="shared" si="20"/>
        <v>0</v>
      </c>
      <c r="H80" s="680">
        <f t="shared" si="21"/>
        <v>0</v>
      </c>
      <c r="I80" s="681">
        <f t="shared" si="22"/>
        <v>0</v>
      </c>
    </row>
    <row r="81" spans="1:9" ht="17.149999999999999" customHeight="1" x14ac:dyDescent="0.3">
      <c r="A81" s="120" t="s">
        <v>141</v>
      </c>
      <c r="B81" s="542">
        <f t="shared" si="23"/>
        <v>0</v>
      </c>
      <c r="C81" s="542">
        <f t="shared" si="23"/>
        <v>0</v>
      </c>
      <c r="D81" s="542">
        <f t="shared" si="23"/>
        <v>0</v>
      </c>
      <c r="E81" s="542">
        <f t="shared" si="23"/>
        <v>0</v>
      </c>
      <c r="F81" s="680">
        <f t="shared" si="19"/>
        <v>0</v>
      </c>
      <c r="G81" s="681">
        <f t="shared" si="20"/>
        <v>0</v>
      </c>
      <c r="H81" s="680">
        <f t="shared" si="21"/>
        <v>0</v>
      </c>
      <c r="I81" s="681">
        <f t="shared" si="22"/>
        <v>0</v>
      </c>
    </row>
    <row r="82" spans="1:9" ht="17.149999999999999" customHeight="1" x14ac:dyDescent="0.3">
      <c r="A82" s="119" t="s">
        <v>129</v>
      </c>
      <c r="B82" s="542">
        <f t="shared" si="23"/>
        <v>16599.688999999998</v>
      </c>
      <c r="C82" s="542">
        <f t="shared" si="23"/>
        <v>13399.343999999999</v>
      </c>
      <c r="D82" s="542">
        <f t="shared" si="23"/>
        <v>41</v>
      </c>
      <c r="E82" s="542">
        <f t="shared" si="23"/>
        <v>28</v>
      </c>
      <c r="F82" s="680">
        <f t="shared" si="19"/>
        <v>3200.3449999999993</v>
      </c>
      <c r="G82" s="681">
        <f t="shared" si="20"/>
        <v>23.884340905047289</v>
      </c>
      <c r="H82" s="680">
        <f t="shared" si="21"/>
        <v>13</v>
      </c>
      <c r="I82" s="681">
        <f t="shared" si="22"/>
        <v>46.428571428571431</v>
      </c>
    </row>
    <row r="83" spans="1:9" ht="17.149999999999999" customHeight="1" x14ac:dyDescent="0.3">
      <c r="A83" s="540" t="s">
        <v>130</v>
      </c>
      <c r="B83" s="542">
        <f t="shared" si="23"/>
        <v>0</v>
      </c>
      <c r="C83" s="542">
        <f t="shared" si="23"/>
        <v>0</v>
      </c>
      <c r="D83" s="542">
        <f t="shared" si="23"/>
        <v>0</v>
      </c>
      <c r="E83" s="542">
        <f t="shared" si="23"/>
        <v>0</v>
      </c>
      <c r="F83" s="680">
        <f t="shared" si="19"/>
        <v>0</v>
      </c>
      <c r="G83" s="681">
        <f t="shared" si="20"/>
        <v>0</v>
      </c>
      <c r="H83" s="680">
        <f t="shared" si="21"/>
        <v>0</v>
      </c>
      <c r="I83" s="681">
        <f t="shared" si="22"/>
        <v>0</v>
      </c>
    </row>
    <row r="84" spans="1:9" ht="17.149999999999999" customHeight="1" x14ac:dyDescent="0.3">
      <c r="A84" s="540"/>
      <c r="B84" s="542"/>
      <c r="C84" s="542"/>
      <c r="D84" s="542"/>
      <c r="E84" s="542"/>
      <c r="F84" s="544"/>
      <c r="G84" s="545"/>
      <c r="H84" s="544"/>
      <c r="I84" s="545"/>
    </row>
    <row r="85" spans="1:9" ht="17.149999999999999" customHeight="1" x14ac:dyDescent="0.3">
      <c r="A85" s="540"/>
      <c r="B85" s="542"/>
      <c r="C85" s="542"/>
      <c r="D85" s="542"/>
      <c r="E85" s="542"/>
      <c r="F85" s="544"/>
      <c r="G85" s="545"/>
      <c r="H85" s="544"/>
      <c r="I85" s="545"/>
    </row>
    <row r="86" spans="1:9" ht="17.149999999999999" customHeight="1" thickBot="1" x14ac:dyDescent="0.35">
      <c r="A86" s="540"/>
      <c r="B86" s="642"/>
      <c r="C86" s="636"/>
      <c r="D86" s="637"/>
      <c r="E86" s="637"/>
      <c r="F86" s="638"/>
      <c r="G86" s="639"/>
      <c r="H86" s="640"/>
      <c r="I86" s="641"/>
    </row>
    <row r="87" spans="1:9" ht="17.149999999999999" customHeight="1" thickBot="1" x14ac:dyDescent="0.35">
      <c r="A87" s="134" t="s">
        <v>131</v>
      </c>
      <c r="B87" s="103">
        <f>B78+B83</f>
        <v>16599.688999999998</v>
      </c>
      <c r="C87" s="104">
        <f>C78+C83</f>
        <v>13399.343999999999</v>
      </c>
      <c r="D87" s="104">
        <f>D78+D83</f>
        <v>41</v>
      </c>
      <c r="E87" s="104">
        <f>E78+E83</f>
        <v>28</v>
      </c>
      <c r="F87" s="657">
        <f>B87-C87</f>
        <v>3200.3449999999993</v>
      </c>
      <c r="G87" s="625">
        <f>IF(C87&lt;&gt;0,(B87-C87)/C87)*100</f>
        <v>23.884340905047289</v>
      </c>
      <c r="H87" s="657">
        <f>D87-E87</f>
        <v>13</v>
      </c>
      <c r="I87" s="625">
        <f>IF(E87&lt;&gt;0,(D87-E87)/E87)*100</f>
        <v>46.428571428571431</v>
      </c>
    </row>
    <row r="88" spans="1:9" ht="17.149999999999999" customHeight="1" thickBot="1" x14ac:dyDescent="0.35">
      <c r="A88" s="540"/>
      <c r="B88" s="121"/>
      <c r="C88" s="122"/>
      <c r="D88" s="122"/>
      <c r="E88" s="122"/>
      <c r="F88" s="123"/>
      <c r="G88" s="124"/>
      <c r="H88" s="123"/>
      <c r="I88" s="125"/>
    </row>
    <row r="89" spans="1:9" ht="17.149999999999999" customHeight="1" thickBot="1" x14ac:dyDescent="0.35">
      <c r="A89" s="134" t="s">
        <v>132</v>
      </c>
      <c r="B89" s="139">
        <f>B75+B87</f>
        <v>1022708.0680000001</v>
      </c>
      <c r="C89" s="140">
        <f>C75+C87</f>
        <v>804912.4</v>
      </c>
      <c r="D89" s="140">
        <f>D75+D87</f>
        <v>4856</v>
      </c>
      <c r="E89" s="140">
        <f>E75+E87</f>
        <v>4271</v>
      </c>
      <c r="F89" s="104">
        <f>B89-C89</f>
        <v>217795.66800000006</v>
      </c>
      <c r="G89" s="105">
        <f>IF(C89&lt;&gt;0,(B89-C89)/C89)*100</f>
        <v>27.058306966074824</v>
      </c>
      <c r="H89" s="104">
        <f>D89-E89</f>
        <v>585</v>
      </c>
      <c r="I89" s="105">
        <f>IF(E89&lt;&gt;0,(D89-E89)/E89)*100</f>
        <v>13.697026457504096</v>
      </c>
    </row>
    <row r="90" spans="1:9" ht="17.149999999999999" customHeight="1" x14ac:dyDescent="0.3">
      <c r="A90" s="94"/>
      <c r="B90" s="94"/>
      <c r="C90" s="94"/>
      <c r="D90" s="94"/>
      <c r="E90" s="94"/>
      <c r="F90" s="541"/>
      <c r="G90" s="541"/>
      <c r="H90" s="541"/>
      <c r="I90" s="541"/>
    </row>
    <row r="91" spans="1:9" ht="17.149999999999999" customHeight="1" x14ac:dyDescent="0.3">
      <c r="A91" s="126"/>
      <c r="B91" s="97"/>
      <c r="C91" s="97"/>
      <c r="D91" s="97"/>
      <c r="E91" s="97"/>
      <c r="F91" s="541"/>
      <c r="G91" s="541"/>
      <c r="H91" s="541"/>
      <c r="I91" s="541"/>
    </row>
    <row r="92" spans="1:9" ht="17.149999999999999" customHeight="1" thickBot="1" x14ac:dyDescent="0.35">
      <c r="A92" s="404" t="s">
        <v>145</v>
      </c>
      <c r="B92" s="813"/>
      <c r="C92" s="813"/>
      <c r="D92" s="129"/>
      <c r="E92" s="129"/>
      <c r="F92" s="541"/>
      <c r="G92" s="541"/>
      <c r="H92" s="541"/>
      <c r="I92" s="541"/>
    </row>
    <row r="93" spans="1:9" ht="17.149999999999999" customHeight="1" thickBot="1" x14ac:dyDescent="0.35">
      <c r="A93" s="824" t="s">
        <v>134</v>
      </c>
      <c r="B93" s="820" t="s">
        <v>105</v>
      </c>
      <c r="C93" s="835"/>
      <c r="D93" s="820" t="s">
        <v>106</v>
      </c>
      <c r="E93" s="821"/>
      <c r="F93" s="804" t="s">
        <v>107</v>
      </c>
      <c r="G93" s="805"/>
      <c r="H93" s="805"/>
      <c r="I93" s="806"/>
    </row>
    <row r="94" spans="1:9" ht="17.149999999999999" customHeight="1" thickBot="1" x14ac:dyDescent="0.35">
      <c r="A94" s="825"/>
      <c r="B94" s="324" t="s">
        <v>147</v>
      </c>
      <c r="C94" s="324" t="s">
        <v>148</v>
      </c>
      <c r="D94" s="324" t="s">
        <v>147</v>
      </c>
      <c r="E94" s="324" t="s">
        <v>148</v>
      </c>
      <c r="F94" s="804" t="s">
        <v>105</v>
      </c>
      <c r="G94" s="806"/>
      <c r="H94" s="804" t="s">
        <v>106</v>
      </c>
      <c r="I94" s="806"/>
    </row>
    <row r="95" spans="1:9" ht="17.149999999999999" customHeight="1" x14ac:dyDescent="0.3">
      <c r="A95" s="130"/>
      <c r="B95" s="807"/>
      <c r="C95" s="808"/>
      <c r="D95" s="808"/>
      <c r="E95" s="809"/>
      <c r="F95" s="814" t="s">
        <v>110</v>
      </c>
      <c r="G95" s="816" t="s">
        <v>111</v>
      </c>
      <c r="H95" s="816" t="s">
        <v>112</v>
      </c>
      <c r="I95" s="816" t="s">
        <v>111</v>
      </c>
    </row>
    <row r="96" spans="1:9" ht="17.149999999999999" customHeight="1" thickBot="1" x14ac:dyDescent="0.35">
      <c r="A96" s="131" t="s">
        <v>113</v>
      </c>
      <c r="B96" s="810"/>
      <c r="C96" s="811"/>
      <c r="D96" s="811"/>
      <c r="E96" s="812"/>
      <c r="F96" s="815"/>
      <c r="G96" s="817"/>
      <c r="H96" s="817"/>
      <c r="I96" s="817"/>
    </row>
    <row r="97" spans="1:9" ht="17.149999999999999" customHeight="1" thickBot="1" x14ac:dyDescent="0.35">
      <c r="A97" s="540" t="s">
        <v>135</v>
      </c>
      <c r="B97" s="91">
        <f>B98+B99+B100</f>
        <v>9462.7260000000006</v>
      </c>
      <c r="C97" s="91">
        <f>C98+C99+C100</f>
        <v>8466.4359999999997</v>
      </c>
      <c r="D97" s="91">
        <f>D98+D99+D100</f>
        <v>83</v>
      </c>
      <c r="E97" s="91">
        <f>E98+E99+E100</f>
        <v>87</v>
      </c>
      <c r="F97" s="91">
        <f t="shared" ref="F97:F103" si="24">B97-C97</f>
        <v>996.29000000000087</v>
      </c>
      <c r="G97" s="92">
        <f t="shared" ref="G97:G103" si="25">IF(C97&lt;&gt;0,(B97-C97)/C97)*100</f>
        <v>11.76752531998117</v>
      </c>
      <c r="H97" s="91">
        <f t="shared" ref="H97:H103" si="26">D97-E97</f>
        <v>-4</v>
      </c>
      <c r="I97" s="92">
        <f t="shared" ref="I97:I103" si="27">IF(E97&lt;&gt;0,(D97-E97)/E97)*100</f>
        <v>-4.5977011494252871</v>
      </c>
    </row>
    <row r="98" spans="1:9" ht="17.149999999999999" customHeight="1" x14ac:dyDescent="0.3">
      <c r="A98" s="540" t="s">
        <v>136</v>
      </c>
      <c r="B98" s="543">
        <f>9462726/1000</f>
        <v>9462.7260000000006</v>
      </c>
      <c r="C98" s="543">
        <f>8466436/1000</f>
        <v>8466.4359999999997</v>
      </c>
      <c r="D98" s="543">
        <v>83</v>
      </c>
      <c r="E98" s="543">
        <v>87</v>
      </c>
      <c r="F98" s="680">
        <f t="shared" si="24"/>
        <v>996.29000000000087</v>
      </c>
      <c r="G98" s="681">
        <f t="shared" si="25"/>
        <v>11.76752531998117</v>
      </c>
      <c r="H98" s="680">
        <f t="shared" si="26"/>
        <v>-4</v>
      </c>
      <c r="I98" s="681">
        <f t="shared" si="27"/>
        <v>-4.5977011494252871</v>
      </c>
    </row>
    <row r="99" spans="1:9" ht="17.149999999999999" customHeight="1" x14ac:dyDescent="0.3">
      <c r="A99" s="540" t="s">
        <v>116</v>
      </c>
      <c r="B99" s="543">
        <v>0</v>
      </c>
      <c r="C99" s="543">
        <v>0</v>
      </c>
      <c r="D99" s="543">
        <v>0</v>
      </c>
      <c r="E99" s="543">
        <v>0</v>
      </c>
      <c r="F99" s="680">
        <f t="shared" si="24"/>
        <v>0</v>
      </c>
      <c r="G99" s="681">
        <f t="shared" si="25"/>
        <v>0</v>
      </c>
      <c r="H99" s="680">
        <f t="shared" si="26"/>
        <v>0</v>
      </c>
      <c r="I99" s="681">
        <f t="shared" si="27"/>
        <v>0</v>
      </c>
    </row>
    <row r="100" spans="1:9" ht="17.149999999999999" customHeight="1" x14ac:dyDescent="0.3">
      <c r="A100" s="540" t="s">
        <v>143</v>
      </c>
      <c r="B100" s="543">
        <v>0</v>
      </c>
      <c r="C100" s="543">
        <v>0</v>
      </c>
      <c r="D100" s="543">
        <v>0</v>
      </c>
      <c r="E100" s="543">
        <v>0</v>
      </c>
      <c r="F100" s="680">
        <f t="shared" si="24"/>
        <v>0</v>
      </c>
      <c r="G100" s="681">
        <f t="shared" si="25"/>
        <v>0</v>
      </c>
      <c r="H100" s="680">
        <f t="shared" si="26"/>
        <v>0</v>
      </c>
      <c r="I100" s="681">
        <f t="shared" si="27"/>
        <v>0</v>
      </c>
    </row>
    <row r="101" spans="1:9" ht="17.149999999999999" customHeight="1" x14ac:dyDescent="0.3">
      <c r="A101" s="540" t="s">
        <v>139</v>
      </c>
      <c r="B101" s="543">
        <v>0</v>
      </c>
      <c r="C101" s="543">
        <v>0</v>
      </c>
      <c r="D101" s="543">
        <v>0</v>
      </c>
      <c r="E101" s="543">
        <v>0</v>
      </c>
      <c r="F101" s="680">
        <f t="shared" si="24"/>
        <v>0</v>
      </c>
      <c r="G101" s="681">
        <f t="shared" si="25"/>
        <v>0</v>
      </c>
      <c r="H101" s="680">
        <f t="shared" si="26"/>
        <v>0</v>
      </c>
      <c r="I101" s="681">
        <f t="shared" si="27"/>
        <v>0</v>
      </c>
    </row>
    <row r="102" spans="1:9" ht="17.149999999999999" customHeight="1" thickBot="1" x14ac:dyDescent="0.35">
      <c r="A102" s="540" t="s">
        <v>140</v>
      </c>
      <c r="B102" s="543">
        <v>0</v>
      </c>
      <c r="C102" s="543">
        <v>0</v>
      </c>
      <c r="D102" s="543">
        <v>0</v>
      </c>
      <c r="E102" s="543">
        <v>0</v>
      </c>
      <c r="F102" s="680">
        <f t="shared" si="24"/>
        <v>0</v>
      </c>
      <c r="G102" s="681">
        <f t="shared" si="25"/>
        <v>0</v>
      </c>
      <c r="H102" s="680">
        <f t="shared" si="26"/>
        <v>0</v>
      </c>
      <c r="I102" s="681">
        <f t="shared" si="27"/>
        <v>0</v>
      </c>
    </row>
    <row r="103" spans="1:9" ht="17.149999999999999" customHeight="1" thickBot="1" x14ac:dyDescent="0.35">
      <c r="A103" s="134" t="s">
        <v>123</v>
      </c>
      <c r="B103" s="81">
        <f>B97+B101+B102</f>
        <v>9462.7260000000006</v>
      </c>
      <c r="C103" s="81">
        <f>C97+C101+C102</f>
        <v>8466.4359999999997</v>
      </c>
      <c r="D103" s="81">
        <f>D97+D101+D102</f>
        <v>83</v>
      </c>
      <c r="E103" s="82">
        <f>E97+E101+E102</f>
        <v>87</v>
      </c>
      <c r="F103" s="91">
        <f t="shared" si="24"/>
        <v>996.29000000000087</v>
      </c>
      <c r="G103" s="92">
        <f t="shared" si="25"/>
        <v>11.76752531998117</v>
      </c>
      <c r="H103" s="91">
        <f t="shared" si="26"/>
        <v>-4</v>
      </c>
      <c r="I103" s="92">
        <f t="shared" si="27"/>
        <v>-4.5977011494252871</v>
      </c>
    </row>
    <row r="104" spans="1:9" ht="17.149999999999999" customHeight="1" x14ac:dyDescent="0.3">
      <c r="A104" s="142"/>
      <c r="B104" s="107"/>
      <c r="C104" s="108"/>
      <c r="D104" s="109"/>
      <c r="E104" s="108"/>
      <c r="F104" s="110"/>
      <c r="G104" s="111"/>
      <c r="H104" s="112"/>
      <c r="I104" s="113"/>
    </row>
    <row r="105" spans="1:9" ht="17.149999999999999" customHeight="1" thickBot="1" x14ac:dyDescent="0.35">
      <c r="A105" s="143" t="s">
        <v>124</v>
      </c>
      <c r="B105" s="114"/>
      <c r="C105" s="115"/>
      <c r="D105" s="115"/>
      <c r="E105" s="115"/>
      <c r="F105" s="116"/>
      <c r="G105" s="117"/>
      <c r="H105" s="116"/>
      <c r="I105" s="118"/>
    </row>
    <row r="106" spans="1:9" ht="17.149999999999999" customHeight="1" thickBot="1" x14ac:dyDescent="0.35">
      <c r="A106" s="540" t="s">
        <v>125</v>
      </c>
      <c r="B106" s="104">
        <f>SUM(B107:B110)</f>
        <v>96.299000000000007</v>
      </c>
      <c r="C106" s="104">
        <f>SUM(C107:C110)</f>
        <v>150.33600000000001</v>
      </c>
      <c r="D106" s="104">
        <f>SUM(D107:D110)</f>
        <v>3</v>
      </c>
      <c r="E106" s="104">
        <f>SUM(E107:E110)</f>
        <v>2</v>
      </c>
      <c r="F106" s="91">
        <f t="shared" ref="F106:F111" si="28">B106-C106</f>
        <v>-54.037000000000006</v>
      </c>
      <c r="G106" s="92">
        <f t="shared" ref="G106:G111" si="29">IF(C106&lt;&gt;0,(B106-C106)/C106)*100</f>
        <v>-35.94415176670924</v>
      </c>
      <c r="H106" s="91">
        <f t="shared" ref="H106:H111" si="30">D106-E106</f>
        <v>1</v>
      </c>
      <c r="I106" s="92">
        <f t="shared" ref="I106:I111" si="31">IF(E106&lt;&gt;0,(D106-E106)/E106)*100</f>
        <v>50</v>
      </c>
    </row>
    <row r="107" spans="1:9" ht="17.149999999999999" customHeight="1" x14ac:dyDescent="0.3">
      <c r="A107" s="119" t="s">
        <v>126</v>
      </c>
      <c r="B107" s="543">
        <v>0</v>
      </c>
      <c r="C107" s="543">
        <v>0</v>
      </c>
      <c r="D107" s="543">
        <v>0</v>
      </c>
      <c r="E107" s="543">
        <v>0</v>
      </c>
      <c r="F107" s="680">
        <f t="shared" si="28"/>
        <v>0</v>
      </c>
      <c r="G107" s="681">
        <f t="shared" si="29"/>
        <v>0</v>
      </c>
      <c r="H107" s="680">
        <f t="shared" si="30"/>
        <v>0</v>
      </c>
      <c r="I107" s="681">
        <f t="shared" si="31"/>
        <v>0</v>
      </c>
    </row>
    <row r="108" spans="1:9" ht="17.149999999999999" customHeight="1" x14ac:dyDescent="0.3">
      <c r="A108" s="119" t="s">
        <v>144</v>
      </c>
      <c r="B108" s="543">
        <v>0</v>
      </c>
      <c r="C108" s="543">
        <v>0</v>
      </c>
      <c r="D108" s="543">
        <v>0</v>
      </c>
      <c r="E108" s="543">
        <v>0</v>
      </c>
      <c r="F108" s="680">
        <f t="shared" si="28"/>
        <v>0</v>
      </c>
      <c r="G108" s="681">
        <f t="shared" si="29"/>
        <v>0</v>
      </c>
      <c r="H108" s="680">
        <f t="shared" si="30"/>
        <v>0</v>
      </c>
      <c r="I108" s="681">
        <f t="shared" si="31"/>
        <v>0</v>
      </c>
    </row>
    <row r="109" spans="1:9" ht="17.149999999999999" customHeight="1" x14ac:dyDescent="0.3">
      <c r="A109" s="120" t="s">
        <v>141</v>
      </c>
      <c r="B109" s="543">
        <v>0</v>
      </c>
      <c r="C109" s="543">
        <v>0</v>
      </c>
      <c r="D109" s="543">
        <v>0</v>
      </c>
      <c r="E109" s="543">
        <v>0</v>
      </c>
      <c r="F109" s="680">
        <f t="shared" si="28"/>
        <v>0</v>
      </c>
      <c r="G109" s="681">
        <f t="shared" si="29"/>
        <v>0</v>
      </c>
      <c r="H109" s="680">
        <f t="shared" si="30"/>
        <v>0</v>
      </c>
      <c r="I109" s="681">
        <f t="shared" si="31"/>
        <v>0</v>
      </c>
    </row>
    <row r="110" spans="1:9" ht="17.149999999999999" customHeight="1" x14ac:dyDescent="0.3">
      <c r="A110" s="119" t="s">
        <v>129</v>
      </c>
      <c r="B110" s="543">
        <f>96299/1000</f>
        <v>96.299000000000007</v>
      </c>
      <c r="C110" s="543">
        <f>150336/1000</f>
        <v>150.33600000000001</v>
      </c>
      <c r="D110" s="543">
        <v>3</v>
      </c>
      <c r="E110" s="543">
        <v>2</v>
      </c>
      <c r="F110" s="680">
        <f t="shared" si="28"/>
        <v>-54.037000000000006</v>
      </c>
      <c r="G110" s="681">
        <f t="shared" si="29"/>
        <v>-35.94415176670924</v>
      </c>
      <c r="H110" s="680">
        <f t="shared" si="30"/>
        <v>1</v>
      </c>
      <c r="I110" s="681">
        <f t="shared" si="31"/>
        <v>50</v>
      </c>
    </row>
    <row r="111" spans="1:9" ht="17.149999999999999" customHeight="1" x14ac:dyDescent="0.3">
      <c r="A111" s="540" t="s">
        <v>130</v>
      </c>
      <c r="B111" s="543">
        <v>0</v>
      </c>
      <c r="C111" s="543">
        <v>0</v>
      </c>
      <c r="D111" s="543">
        <v>0</v>
      </c>
      <c r="E111" s="543">
        <v>0</v>
      </c>
      <c r="F111" s="680">
        <f t="shared" si="28"/>
        <v>0</v>
      </c>
      <c r="G111" s="681">
        <f t="shared" si="29"/>
        <v>0</v>
      </c>
      <c r="H111" s="680">
        <f t="shared" si="30"/>
        <v>0</v>
      </c>
      <c r="I111" s="681">
        <f t="shared" si="31"/>
        <v>0</v>
      </c>
    </row>
    <row r="112" spans="1:9" ht="17.149999999999999" customHeight="1" x14ac:dyDescent="0.3">
      <c r="A112" s="540"/>
      <c r="B112" s="684"/>
      <c r="C112" s="684"/>
      <c r="D112" s="684"/>
      <c r="E112" s="684"/>
      <c r="F112" s="544"/>
      <c r="G112" s="545"/>
      <c r="H112" s="544"/>
      <c r="I112" s="545"/>
    </row>
    <row r="113" spans="1:10" ht="17.149999999999999" customHeight="1" x14ac:dyDescent="0.3">
      <c r="A113" s="540"/>
      <c r="B113" s="684"/>
      <c r="C113" s="684"/>
      <c r="D113" s="684"/>
      <c r="E113" s="684"/>
      <c r="F113" s="544"/>
      <c r="G113" s="545"/>
      <c r="H113" s="544"/>
      <c r="I113" s="545"/>
    </row>
    <row r="114" spans="1:10" ht="17.149999999999999" customHeight="1" thickBot="1" x14ac:dyDescent="0.35">
      <c r="A114" s="540"/>
      <c r="B114" s="636"/>
      <c r="C114" s="636"/>
      <c r="D114" s="637"/>
      <c r="E114" s="637"/>
      <c r="F114" s="638"/>
      <c r="G114" s="639"/>
      <c r="H114" s="640"/>
      <c r="I114" s="641"/>
    </row>
    <row r="115" spans="1:10" ht="17.149999999999999" customHeight="1" thickBot="1" x14ac:dyDescent="0.35">
      <c r="A115" s="134" t="s">
        <v>131</v>
      </c>
      <c r="B115" s="104">
        <f>B106+B111</f>
        <v>96.299000000000007</v>
      </c>
      <c r="C115" s="104">
        <f>C106+C111</f>
        <v>150.33600000000001</v>
      </c>
      <c r="D115" s="104">
        <f>D106+D111</f>
        <v>3</v>
      </c>
      <c r="E115" s="104">
        <f>E106+E111</f>
        <v>2</v>
      </c>
      <c r="F115" s="657">
        <f>B115-C115</f>
        <v>-54.037000000000006</v>
      </c>
      <c r="G115" s="625">
        <f>IF(C115&lt;&gt;0,(B115-C115)/C115)*100</f>
        <v>-35.94415176670924</v>
      </c>
      <c r="H115" s="657">
        <f>D115-E115</f>
        <v>1</v>
      </c>
      <c r="I115" s="625">
        <f>IF(E115&lt;&gt;0,(D115-E115)/E115)*100</f>
        <v>50</v>
      </c>
    </row>
    <row r="116" spans="1:10" ht="17.149999999999999" customHeight="1" thickBot="1" x14ac:dyDescent="0.35">
      <c r="A116" s="540"/>
      <c r="B116" s="121"/>
      <c r="C116" s="122"/>
      <c r="D116" s="122"/>
      <c r="E116" s="122"/>
      <c r="F116" s="123"/>
      <c r="G116" s="124"/>
      <c r="H116" s="123"/>
      <c r="I116" s="125"/>
    </row>
    <row r="117" spans="1:10" ht="17.149999999999999" customHeight="1" thickBot="1" x14ac:dyDescent="0.35">
      <c r="A117" s="134" t="s">
        <v>132</v>
      </c>
      <c r="B117" s="104">
        <f>B103+B115</f>
        <v>9559.0250000000015</v>
      </c>
      <c r="C117" s="104">
        <f>C103+C115</f>
        <v>8616.771999999999</v>
      </c>
      <c r="D117" s="104">
        <f>D103+D115</f>
        <v>86</v>
      </c>
      <c r="E117" s="104">
        <f>E103+E115</f>
        <v>89</v>
      </c>
      <c r="F117" s="104">
        <f>B117-C117</f>
        <v>942.25300000000243</v>
      </c>
      <c r="G117" s="105">
        <f>IF(C117&lt;&gt;0,(B117-C117)/C117)*100</f>
        <v>10.935104236249984</v>
      </c>
      <c r="H117" s="104">
        <f>D117-E117</f>
        <v>-3</v>
      </c>
      <c r="I117" s="105">
        <f>IF(E117&lt;&gt;0,(D117-E117)/E117)*100</f>
        <v>-3.3707865168539324</v>
      </c>
    </row>
    <row r="118" spans="1:10" x14ac:dyDescent="0.3">
      <c r="J118"/>
    </row>
    <row r="119" spans="1:10" x14ac:dyDescent="0.3">
      <c r="J119"/>
    </row>
    <row r="120" spans="1:10" ht="15.5" x14ac:dyDescent="0.35">
      <c r="B120" s="217">
        <f t="shared" ref="B120:E122" si="32">B41-B69+B97</f>
        <v>-2.3646862246096134E-11</v>
      </c>
      <c r="C120" s="217">
        <f t="shared" si="32"/>
        <v>0</v>
      </c>
      <c r="D120" s="217">
        <f t="shared" si="32"/>
        <v>0</v>
      </c>
      <c r="E120" s="217">
        <f t="shared" si="32"/>
        <v>0</v>
      </c>
      <c r="J120"/>
    </row>
    <row r="121" spans="1:10" ht="15.5" x14ac:dyDescent="0.35">
      <c r="B121" s="217">
        <f t="shared" si="32"/>
        <v>-2.3646862246096134E-11</v>
      </c>
      <c r="C121" s="217">
        <f t="shared" si="32"/>
        <v>0</v>
      </c>
      <c r="D121" s="217">
        <f t="shared" si="32"/>
        <v>0</v>
      </c>
      <c r="E121" s="217">
        <f t="shared" si="32"/>
        <v>0</v>
      </c>
      <c r="J121"/>
    </row>
    <row r="122" spans="1:10" ht="15.5" x14ac:dyDescent="0.35">
      <c r="B122" s="217">
        <f t="shared" si="32"/>
        <v>0</v>
      </c>
      <c r="C122" s="217">
        <f t="shared" si="32"/>
        <v>0</v>
      </c>
      <c r="D122" s="217">
        <f t="shared" si="32"/>
        <v>0</v>
      </c>
      <c r="E122" s="217">
        <f t="shared" si="32"/>
        <v>0</v>
      </c>
      <c r="J122"/>
    </row>
    <row r="123" spans="1:10" ht="15.5" x14ac:dyDescent="0.35">
      <c r="B123" s="217">
        <f t="shared" ref="B123:E127" si="33">B45-B72+B100</f>
        <v>0</v>
      </c>
      <c r="C123" s="217">
        <f t="shared" si="33"/>
        <v>0</v>
      </c>
      <c r="D123" s="217">
        <f t="shared" si="33"/>
        <v>0</v>
      </c>
      <c r="E123" s="217">
        <f t="shared" si="33"/>
        <v>0</v>
      </c>
      <c r="J123"/>
    </row>
    <row r="124" spans="1:10" ht="15.5" x14ac:dyDescent="0.35">
      <c r="B124" s="217">
        <f t="shared" si="33"/>
        <v>0</v>
      </c>
      <c r="C124" s="217">
        <f t="shared" si="33"/>
        <v>0</v>
      </c>
      <c r="D124" s="217">
        <f t="shared" si="33"/>
        <v>0</v>
      </c>
      <c r="E124" s="217">
        <f t="shared" si="33"/>
        <v>0</v>
      </c>
      <c r="J124"/>
    </row>
    <row r="125" spans="1:10" ht="15.5" x14ac:dyDescent="0.35">
      <c r="B125" s="217">
        <f t="shared" si="33"/>
        <v>0</v>
      </c>
      <c r="C125" s="217">
        <f t="shared" si="33"/>
        <v>0</v>
      </c>
      <c r="D125" s="217">
        <f t="shared" si="33"/>
        <v>0</v>
      </c>
      <c r="E125" s="217">
        <f t="shared" si="33"/>
        <v>0</v>
      </c>
      <c r="J125"/>
    </row>
    <row r="126" spans="1:10" ht="15.5" x14ac:dyDescent="0.35">
      <c r="B126" s="217">
        <f t="shared" si="33"/>
        <v>-2.3646862246096134E-11</v>
      </c>
      <c r="C126" s="217">
        <f t="shared" si="33"/>
        <v>0</v>
      </c>
      <c r="D126" s="217">
        <f t="shared" si="33"/>
        <v>0</v>
      </c>
      <c r="E126" s="217">
        <f t="shared" si="33"/>
        <v>0</v>
      </c>
      <c r="J126"/>
    </row>
    <row r="127" spans="1:10" ht="15.5" x14ac:dyDescent="0.35">
      <c r="B127" s="217">
        <f t="shared" si="33"/>
        <v>0</v>
      </c>
      <c r="C127" s="217">
        <f t="shared" si="33"/>
        <v>0</v>
      </c>
      <c r="D127" s="217">
        <f t="shared" si="33"/>
        <v>0</v>
      </c>
      <c r="E127" s="217">
        <f t="shared" si="33"/>
        <v>0</v>
      </c>
      <c r="J127"/>
    </row>
    <row r="128" spans="1:10" ht="15.5" x14ac:dyDescent="0.35">
      <c r="B128" s="217">
        <f t="shared" ref="B128:E140" si="34">B49-B77+B105</f>
        <v>0</v>
      </c>
      <c r="C128" s="217">
        <f t="shared" si="34"/>
        <v>0</v>
      </c>
      <c r="D128" s="217">
        <f t="shared" si="34"/>
        <v>0</v>
      </c>
      <c r="E128" s="217">
        <f t="shared" si="34"/>
        <v>0</v>
      </c>
      <c r="J128"/>
    </row>
    <row r="129" spans="1:10" ht="15.5" x14ac:dyDescent="0.35">
      <c r="A129" s="347"/>
      <c r="B129" s="217">
        <f t="shared" si="34"/>
        <v>9.3791641120333225E-13</v>
      </c>
      <c r="C129" s="217">
        <f>C50-C78+C106</f>
        <v>6.8212102632969618E-13</v>
      </c>
      <c r="D129" s="217">
        <f t="shared" si="34"/>
        <v>0</v>
      </c>
      <c r="E129" s="217">
        <f t="shared" si="34"/>
        <v>0</v>
      </c>
      <c r="F129"/>
      <c r="G129"/>
      <c r="H129"/>
      <c r="I129"/>
      <c r="J129"/>
    </row>
    <row r="130" spans="1:10" ht="15.5" x14ac:dyDescent="0.35">
      <c r="A130" s="347"/>
      <c r="B130" s="217">
        <f t="shared" si="34"/>
        <v>0</v>
      </c>
      <c r="C130" s="217">
        <f t="shared" si="34"/>
        <v>0</v>
      </c>
      <c r="D130" s="217">
        <f t="shared" si="34"/>
        <v>0</v>
      </c>
      <c r="E130" s="217">
        <f t="shared" si="34"/>
        <v>0</v>
      </c>
      <c r="F130"/>
      <c r="G130"/>
      <c r="H130"/>
      <c r="I130"/>
      <c r="J130"/>
    </row>
    <row r="131" spans="1:10" ht="15.5" x14ac:dyDescent="0.35">
      <c r="A131" s="347"/>
      <c r="B131" s="217">
        <f t="shared" si="34"/>
        <v>0</v>
      </c>
      <c r="C131" s="217">
        <f t="shared" si="34"/>
        <v>0</v>
      </c>
      <c r="D131" s="217">
        <f t="shared" si="34"/>
        <v>0</v>
      </c>
      <c r="E131" s="217">
        <f t="shared" si="34"/>
        <v>0</v>
      </c>
      <c r="F131"/>
      <c r="G131"/>
      <c r="H131"/>
      <c r="I131"/>
      <c r="J131"/>
    </row>
    <row r="132" spans="1:10" ht="15.5" x14ac:dyDescent="0.35">
      <c r="A132" s="347"/>
      <c r="B132" s="217">
        <f t="shared" si="34"/>
        <v>0</v>
      </c>
      <c r="C132" s="217">
        <f t="shared" si="34"/>
        <v>0</v>
      </c>
      <c r="D132" s="217">
        <f t="shared" si="34"/>
        <v>0</v>
      </c>
      <c r="E132" s="217">
        <f t="shared" si="34"/>
        <v>0</v>
      </c>
      <c r="F132"/>
      <c r="G132"/>
      <c r="H132"/>
      <c r="I132"/>
      <c r="J132"/>
    </row>
    <row r="133" spans="1:10" ht="15.5" x14ac:dyDescent="0.35">
      <c r="A133" s="347"/>
      <c r="B133" s="217">
        <f t="shared" si="34"/>
        <v>9.3791641120333225E-13</v>
      </c>
      <c r="C133" s="217">
        <f t="shared" si="34"/>
        <v>6.8212102632969618E-13</v>
      </c>
      <c r="D133" s="217">
        <f t="shared" si="34"/>
        <v>0</v>
      </c>
      <c r="E133" s="217">
        <f t="shared" si="34"/>
        <v>0</v>
      </c>
      <c r="F133"/>
      <c r="G133"/>
      <c r="H133"/>
      <c r="I133"/>
      <c r="J133"/>
    </row>
    <row r="134" spans="1:10" ht="15.5" x14ac:dyDescent="0.35">
      <c r="A134" s="347"/>
      <c r="B134" s="217">
        <f t="shared" si="34"/>
        <v>0</v>
      </c>
      <c r="C134" s="217">
        <f>C55-C83+C111</f>
        <v>0</v>
      </c>
      <c r="D134" s="217">
        <f t="shared" si="34"/>
        <v>0</v>
      </c>
      <c r="E134" s="217">
        <f t="shared" si="34"/>
        <v>0</v>
      </c>
      <c r="F134"/>
      <c r="G134"/>
      <c r="H134"/>
      <c r="I134"/>
      <c r="J134"/>
    </row>
    <row r="135" spans="1:10" ht="15.5" x14ac:dyDescent="0.35">
      <c r="A135" s="347"/>
      <c r="B135" s="217">
        <f t="shared" si="34"/>
        <v>0</v>
      </c>
      <c r="C135" s="217">
        <f t="shared" si="34"/>
        <v>0</v>
      </c>
      <c r="D135" s="217">
        <f t="shared" si="34"/>
        <v>0</v>
      </c>
      <c r="E135" s="217">
        <f t="shared" si="34"/>
        <v>0</v>
      </c>
      <c r="F135"/>
      <c r="G135"/>
      <c r="H135"/>
      <c r="I135"/>
      <c r="J135"/>
    </row>
    <row r="136" spans="1:10" ht="15.5" x14ac:dyDescent="0.35">
      <c r="A136" s="347"/>
      <c r="B136" s="217">
        <f t="shared" si="34"/>
        <v>0</v>
      </c>
      <c r="C136" s="217">
        <f t="shared" si="34"/>
        <v>0</v>
      </c>
      <c r="D136" s="217">
        <f t="shared" si="34"/>
        <v>0</v>
      </c>
      <c r="E136" s="217">
        <f t="shared" si="34"/>
        <v>0</v>
      </c>
      <c r="F136"/>
      <c r="G136"/>
      <c r="H136"/>
      <c r="I136"/>
      <c r="J136"/>
    </row>
    <row r="137" spans="1:10" ht="15.5" x14ac:dyDescent="0.35">
      <c r="A137" s="347"/>
      <c r="B137" s="217">
        <f t="shared" si="34"/>
        <v>0</v>
      </c>
      <c r="C137" s="217">
        <f t="shared" si="34"/>
        <v>0</v>
      </c>
      <c r="D137" s="217">
        <f t="shared" si="34"/>
        <v>0</v>
      </c>
      <c r="E137" s="217">
        <f t="shared" si="34"/>
        <v>0</v>
      </c>
      <c r="F137"/>
      <c r="G137"/>
      <c r="H137"/>
      <c r="I137"/>
      <c r="J137"/>
    </row>
    <row r="138" spans="1:10" ht="15.5" x14ac:dyDescent="0.35">
      <c r="A138" s="347"/>
      <c r="B138" s="217">
        <f t="shared" si="34"/>
        <v>9.3791641120333225E-13</v>
      </c>
      <c r="C138" s="217">
        <f t="shared" si="34"/>
        <v>6.8212102632969618E-13</v>
      </c>
      <c r="D138" s="217">
        <f t="shared" si="34"/>
        <v>0</v>
      </c>
      <c r="E138" s="217">
        <f t="shared" si="34"/>
        <v>0</v>
      </c>
      <c r="F138"/>
      <c r="G138"/>
      <c r="H138"/>
      <c r="I138"/>
      <c r="J138"/>
    </row>
    <row r="139" spans="1:10" ht="15.5" x14ac:dyDescent="0.35">
      <c r="A139" s="347"/>
      <c r="B139" s="217">
        <f t="shared" si="34"/>
        <v>0</v>
      </c>
      <c r="C139" s="217">
        <f t="shared" si="34"/>
        <v>0</v>
      </c>
      <c r="D139" s="217">
        <f t="shared" si="34"/>
        <v>0</v>
      </c>
      <c r="E139" s="217">
        <f t="shared" si="34"/>
        <v>0</v>
      </c>
      <c r="F139"/>
      <c r="G139"/>
      <c r="H139"/>
      <c r="I139"/>
      <c r="J139"/>
    </row>
    <row r="140" spans="1:10" ht="15.5" x14ac:dyDescent="0.35">
      <c r="A140" s="347"/>
      <c r="B140" s="217">
        <f>B61-B89+B117</f>
        <v>-2.1827872842550278E-11</v>
      </c>
      <c r="C140" s="217">
        <f t="shared" si="34"/>
        <v>0</v>
      </c>
      <c r="D140" s="217">
        <f t="shared" si="34"/>
        <v>0</v>
      </c>
      <c r="E140" s="217">
        <f t="shared" si="34"/>
        <v>0</v>
      </c>
      <c r="F140"/>
      <c r="G140"/>
      <c r="H140"/>
      <c r="I140"/>
      <c r="J140"/>
    </row>
  </sheetData>
  <mergeCells count="49">
    <mergeCell ref="A93:A94"/>
    <mergeCell ref="F93:I93"/>
    <mergeCell ref="F94:G94"/>
    <mergeCell ref="H94:I94"/>
    <mergeCell ref="B95:E96"/>
    <mergeCell ref="F95:F96"/>
    <mergeCell ref="G95:G96"/>
    <mergeCell ref="H95:H96"/>
    <mergeCell ref="I95:I96"/>
    <mergeCell ref="B93:C93"/>
    <mergeCell ref="D93:E93"/>
    <mergeCell ref="A65:A66"/>
    <mergeCell ref="F65:I65"/>
    <mergeCell ref="F66:G66"/>
    <mergeCell ref="H66:I66"/>
    <mergeCell ref="B67:E68"/>
    <mergeCell ref="F67:F68"/>
    <mergeCell ref="G67:G68"/>
    <mergeCell ref="H67:H68"/>
    <mergeCell ref="I67:I68"/>
    <mergeCell ref="B65:C65"/>
    <mergeCell ref="D65:E65"/>
    <mergeCell ref="F39:F40"/>
    <mergeCell ref="G39:G40"/>
    <mergeCell ref="H39:H40"/>
    <mergeCell ref="I39:I40"/>
    <mergeCell ref="B64:C64"/>
    <mergeCell ref="B39:E40"/>
    <mergeCell ref="F8:F9"/>
    <mergeCell ref="G8:G9"/>
    <mergeCell ref="H8:H9"/>
    <mergeCell ref="B37:C37"/>
    <mergeCell ref="D37:E37"/>
    <mergeCell ref="B92:C92"/>
    <mergeCell ref="F6:I6"/>
    <mergeCell ref="F7:G7"/>
    <mergeCell ref="H7:I7"/>
    <mergeCell ref="A3:E3"/>
    <mergeCell ref="B5:C5"/>
    <mergeCell ref="B6:C6"/>
    <mergeCell ref="D6:E6"/>
    <mergeCell ref="I8:I9"/>
    <mergeCell ref="B36:C36"/>
    <mergeCell ref="A37:A38"/>
    <mergeCell ref="F37:I37"/>
    <mergeCell ref="F38:G38"/>
    <mergeCell ref="H38:I38"/>
    <mergeCell ref="A8:A9"/>
    <mergeCell ref="B8:E9"/>
  </mergeCells>
  <dataValidations disablePrompts="1" count="1">
    <dataValidation type="list" allowBlank="1" showInputMessage="1" showErrorMessage="1" sqref="WBR983045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B65600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B131136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B196672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B262208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B327744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B393280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B458816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B524352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B589888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B655424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B720960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B786496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B852032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B917568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B983104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B65628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B131164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B196700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B262236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B327772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B393308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B458844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B524380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B589916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B655452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B720988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B786524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B852060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B917596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B983132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VRV983045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VRV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BR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LN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WVJ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B5 B36 B64 B92" xr:uid="{00000000-0002-0000-0F00-000000000000}">
      <formula1>#REF!</formula1>
    </dataValidation>
  </dataValidations>
  <pageMargins left="0.7" right="0.7" top="0.75" bottom="0.75" header="0.3" footer="0.3"/>
  <pageSetup paperSize="9" scale="42"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tabColor rgb="FFFF0000"/>
  </sheetPr>
  <dimension ref="A1:K140"/>
  <sheetViews>
    <sheetView showGridLines="0" view="pageBreakPreview" zoomScale="85" zoomScaleNormal="80" zoomScaleSheetLayoutView="85" workbookViewId="0">
      <selection activeCell="B10" sqref="B10"/>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1" ht="14" x14ac:dyDescent="0.3">
      <c r="A1" s="364" t="s">
        <v>101</v>
      </c>
      <c r="B1" s="66"/>
      <c r="C1" s="66"/>
      <c r="D1" s="66"/>
      <c r="E1" s="66"/>
      <c r="F1" s="66"/>
      <c r="G1" s="66"/>
      <c r="H1" s="66"/>
      <c r="I1" s="66"/>
      <c r="J1"/>
    </row>
    <row r="2" spans="1:11" ht="12.5" x14ac:dyDescent="0.25">
      <c r="A2" s="365"/>
      <c r="B2" s="66"/>
      <c r="C2" s="66"/>
      <c r="D2" s="66"/>
      <c r="E2" s="66"/>
      <c r="F2" s="66"/>
      <c r="G2" s="66"/>
      <c r="H2" s="66"/>
      <c r="I2" s="66"/>
      <c r="J2"/>
    </row>
    <row r="3" spans="1:11" ht="12.5" x14ac:dyDescent="0.25">
      <c r="A3" s="800" t="s">
        <v>146</v>
      </c>
      <c r="B3" s="800"/>
      <c r="C3" s="800"/>
      <c r="D3" s="800"/>
      <c r="E3" s="800"/>
      <c r="F3" s="66"/>
      <c r="G3" s="66"/>
      <c r="H3" s="66"/>
      <c r="I3" s="66"/>
      <c r="J3"/>
    </row>
    <row r="4" spans="1:11" ht="12.5" x14ac:dyDescent="0.25">
      <c r="A4" s="365"/>
      <c r="B4" s="66"/>
      <c r="C4" s="66"/>
      <c r="D4" s="66"/>
      <c r="E4" s="66"/>
      <c r="F4" s="66"/>
      <c r="G4" s="66"/>
      <c r="H4" s="66"/>
      <c r="I4" s="66"/>
      <c r="J4"/>
    </row>
    <row r="5" spans="1:11" ht="17.149999999999999" customHeight="1" thickBot="1" x14ac:dyDescent="0.35">
      <c r="A5" s="404" t="s">
        <v>103</v>
      </c>
      <c r="B5" s="836"/>
      <c r="C5" s="836"/>
      <c r="D5" s="68"/>
      <c r="E5" s="68"/>
      <c r="F5" s="66"/>
      <c r="G5" s="66"/>
      <c r="H5" s="66"/>
      <c r="I5" s="66"/>
    </row>
    <row r="6" spans="1:11" ht="17.149999999999999" customHeight="1" thickBot="1" x14ac:dyDescent="0.35">
      <c r="A6" s="69" t="s">
        <v>104</v>
      </c>
      <c r="B6" s="818" t="s">
        <v>105</v>
      </c>
      <c r="C6" s="819"/>
      <c r="D6" s="837" t="s">
        <v>106</v>
      </c>
      <c r="E6" s="838"/>
      <c r="F6" s="818" t="s">
        <v>107</v>
      </c>
      <c r="G6" s="832"/>
      <c r="H6" s="832"/>
      <c r="I6" s="819"/>
    </row>
    <row r="7" spans="1:11" ht="17.149999999999999" customHeight="1" thickBot="1" x14ac:dyDescent="0.35">
      <c r="A7" s="70" t="s">
        <v>108</v>
      </c>
      <c r="B7" s="324" t="s">
        <v>147</v>
      </c>
      <c r="C7" s="324" t="s">
        <v>148</v>
      </c>
      <c r="D7" s="324" t="s">
        <v>147</v>
      </c>
      <c r="E7" s="324" t="s">
        <v>148</v>
      </c>
      <c r="F7" s="818" t="s">
        <v>105</v>
      </c>
      <c r="G7" s="819"/>
      <c r="H7" s="818" t="s">
        <v>106</v>
      </c>
      <c r="I7" s="819"/>
    </row>
    <row r="8" spans="1:11" ht="17.149999999999999" customHeight="1" x14ac:dyDescent="0.3">
      <c r="A8" s="839" t="s">
        <v>109</v>
      </c>
      <c r="B8" s="826"/>
      <c r="C8" s="827"/>
      <c r="D8" s="827"/>
      <c r="E8" s="828"/>
      <c r="F8" s="828" t="s">
        <v>110</v>
      </c>
      <c r="G8" s="822" t="s">
        <v>111</v>
      </c>
      <c r="H8" s="822" t="s">
        <v>112</v>
      </c>
      <c r="I8" s="822" t="s">
        <v>111</v>
      </c>
    </row>
    <row r="9" spans="1:11" ht="17.149999999999999" customHeight="1" thickBot="1" x14ac:dyDescent="0.35">
      <c r="A9" s="840"/>
      <c r="B9" s="841"/>
      <c r="C9" s="842"/>
      <c r="D9" s="842"/>
      <c r="E9" s="843"/>
      <c r="F9" s="833"/>
      <c r="G9" s="834"/>
      <c r="H9" s="834"/>
      <c r="I9" s="834"/>
    </row>
    <row r="10" spans="1:11" ht="17.149999999999999" customHeight="1" thickBot="1" x14ac:dyDescent="0.35">
      <c r="A10" s="72" t="s">
        <v>113</v>
      </c>
      <c r="B10" s="405"/>
      <c r="C10" s="406"/>
      <c r="D10" s="406"/>
      <c r="E10" s="536"/>
      <c r="F10" s="76"/>
      <c r="G10" s="76"/>
      <c r="H10" s="76"/>
      <c r="I10" s="77"/>
    </row>
    <row r="11" spans="1:11" ht="17.149999999999999" customHeight="1" x14ac:dyDescent="0.3">
      <c r="A11" s="678" t="s">
        <v>114</v>
      </c>
      <c r="B11" s="78">
        <f>B12+B13+B17</f>
        <v>655331.20600000001</v>
      </c>
      <c r="C11" s="679">
        <f>543784170/1000</f>
        <v>543784.17000000004</v>
      </c>
      <c r="D11" s="78">
        <f>D12+D13+D17</f>
        <v>2667</v>
      </c>
      <c r="E11" s="78">
        <f>E12+E13+E17</f>
        <v>2138</v>
      </c>
      <c r="F11" s="78">
        <f>B11-C11</f>
        <v>111547.03599999996</v>
      </c>
      <c r="G11" s="78">
        <f>IF(C11&lt;&gt;0,(B11-C11)/C11)*100</f>
        <v>20.513108353264485</v>
      </c>
      <c r="H11" s="78">
        <f>D11-E11</f>
        <v>529</v>
      </c>
      <c r="I11" s="79">
        <f>IF(E11&lt;&gt;0,(D11-E11)/E11)*100</f>
        <v>24.742750233863422</v>
      </c>
      <c r="K11">
        <v>1000</v>
      </c>
    </row>
    <row r="12" spans="1:11" ht="17.149999999999999" customHeight="1" x14ac:dyDescent="0.3">
      <c r="A12" s="678" t="s">
        <v>115</v>
      </c>
      <c r="B12" s="679">
        <f>234377663/1000</f>
        <v>234377.663</v>
      </c>
      <c r="C12" s="679">
        <f>168230651/1000</f>
        <v>168230.65100000001</v>
      </c>
      <c r="D12" s="679">
        <v>1003</v>
      </c>
      <c r="E12" s="679">
        <v>730</v>
      </c>
      <c r="F12" s="680">
        <f t="shared" ref="F12:F19" si="0">B12-C12</f>
        <v>66147.011999999988</v>
      </c>
      <c r="G12" s="681">
        <f>IF(C12&lt;&gt;0,(B12-C12)/C12)*100</f>
        <v>39.319239155770717</v>
      </c>
      <c r="H12" s="680">
        <f>D12-E12</f>
        <v>273</v>
      </c>
      <c r="I12" s="681">
        <f>IF(E12&lt;&gt;0,(D12-E12)/E12)*100</f>
        <v>37.397260273972606</v>
      </c>
    </row>
    <row r="13" spans="1:11" ht="17.149999999999999" customHeight="1" x14ac:dyDescent="0.3">
      <c r="A13" s="678" t="s">
        <v>116</v>
      </c>
      <c r="B13" s="680">
        <f>B14-B15-B16</f>
        <v>420953.54300000001</v>
      </c>
      <c r="C13" s="680">
        <f>C14-C15-C16</f>
        <v>375553.52</v>
      </c>
      <c r="D13" s="682">
        <v>1664</v>
      </c>
      <c r="E13" s="682">
        <v>1408</v>
      </c>
      <c r="F13" s="680">
        <f t="shared" si="0"/>
        <v>45400.022999999986</v>
      </c>
      <c r="G13" s="681">
        <f>IF(C13&lt;&gt;0,(B13-C13)/C13)*100</f>
        <v>12.088829043594101</v>
      </c>
      <c r="H13" s="680">
        <f>D13-E13</f>
        <v>256</v>
      </c>
      <c r="I13" s="681">
        <f>IF(E13&lt;&gt;0,(D13-E13)/E13)*100</f>
        <v>18.181818181818183</v>
      </c>
    </row>
    <row r="14" spans="1:11" ht="17.149999999999999" customHeight="1" x14ac:dyDescent="0.3">
      <c r="A14" s="683" t="s">
        <v>117</v>
      </c>
      <c r="B14" s="609">
        <f>658100973/1000</f>
        <v>658100.973</v>
      </c>
      <c r="C14" s="684">
        <f>610963211/1000</f>
        <v>610963.21100000001</v>
      </c>
      <c r="D14" s="679"/>
      <c r="E14" s="684"/>
      <c r="F14" s="680"/>
      <c r="G14" s="685"/>
      <c r="H14" s="680"/>
      <c r="I14" s="685"/>
    </row>
    <row r="15" spans="1:11" ht="17.149999999999999" customHeight="1" x14ac:dyDescent="0.3">
      <c r="A15" s="686" t="s">
        <v>118</v>
      </c>
      <c r="B15" s="613">
        <f>18198245/1000</f>
        <v>18198.244999999999</v>
      </c>
      <c r="C15" s="687">
        <f>17840503/1000</f>
        <v>17840.503000000001</v>
      </c>
      <c r="D15" s="679"/>
      <c r="E15" s="684"/>
      <c r="F15" s="680"/>
      <c r="G15" s="685"/>
      <c r="H15" s="680"/>
      <c r="I15" s="685"/>
    </row>
    <row r="16" spans="1:11" ht="17.149999999999999" customHeight="1" x14ac:dyDescent="0.3">
      <c r="A16" s="686" t="s">
        <v>119</v>
      </c>
      <c r="B16" s="615">
        <f>218949185/1000</f>
        <v>218949.185</v>
      </c>
      <c r="C16" s="537">
        <f>217569188/1000</f>
        <v>217569.18799999999</v>
      </c>
      <c r="D16" s="688"/>
      <c r="E16" s="684"/>
      <c r="F16" s="680"/>
      <c r="G16" s="685"/>
      <c r="H16" s="680"/>
      <c r="I16" s="685"/>
    </row>
    <row r="17" spans="1:9" ht="17.149999999999999" customHeight="1" x14ac:dyDescent="0.3">
      <c r="A17" s="617" t="s">
        <v>120</v>
      </c>
      <c r="B17" s="618">
        <v>0</v>
      </c>
      <c r="C17" s="542">
        <v>0</v>
      </c>
      <c r="D17" s="679">
        <v>0</v>
      </c>
      <c r="E17" s="679">
        <v>0</v>
      </c>
      <c r="F17" s="680">
        <f t="shared" si="0"/>
        <v>0</v>
      </c>
      <c r="G17" s="681">
        <f>IF(C17&lt;&gt;0,(B17-C17)/C17)*100</f>
        <v>0</v>
      </c>
      <c r="H17" s="680">
        <f>D17-E17</f>
        <v>0</v>
      </c>
      <c r="I17" s="681">
        <f>IF(E17&lt;&gt;0,(D17-E17)/E17)*100</f>
        <v>0</v>
      </c>
    </row>
    <row r="18" spans="1:9" ht="17.149999999999999" customHeight="1" x14ac:dyDescent="0.3">
      <c r="A18" s="678" t="s">
        <v>121</v>
      </c>
      <c r="B18" s="546">
        <f>171281/1000</f>
        <v>171.28100000000001</v>
      </c>
      <c r="C18" s="684">
        <f>766234/1000</f>
        <v>766.23400000000004</v>
      </c>
      <c r="D18" s="679">
        <v>12</v>
      </c>
      <c r="E18" s="682">
        <v>81</v>
      </c>
      <c r="F18" s="680">
        <f t="shared" si="0"/>
        <v>-594.95299999999997</v>
      </c>
      <c r="G18" s="681">
        <f>IF(C18&lt;&gt;0,(B18-C18)/C18)*100</f>
        <v>-77.646384785848696</v>
      </c>
      <c r="H18" s="680">
        <f>D18-E18</f>
        <v>-69</v>
      </c>
      <c r="I18" s="681">
        <f>IF(E18&lt;&gt;0,(D18-E18)/E18)*100</f>
        <v>-85.18518518518519</v>
      </c>
    </row>
    <row r="19" spans="1:9" ht="17.149999999999999" customHeight="1" thickBot="1" x14ac:dyDescent="0.35">
      <c r="A19" s="619" t="s">
        <v>122</v>
      </c>
      <c r="B19" s="620">
        <v>0</v>
      </c>
      <c r="C19" s="621">
        <v>0</v>
      </c>
      <c r="D19" s="620">
        <v>0</v>
      </c>
      <c r="E19" s="621">
        <v>0</v>
      </c>
      <c r="F19" s="680">
        <f t="shared" si="0"/>
        <v>0</v>
      </c>
      <c r="G19" s="622">
        <f>IF(C19&lt;&gt;0,(B19-C19)/C19)*100</f>
        <v>0</v>
      </c>
      <c r="H19" s="680">
        <f>D19-E19</f>
        <v>0</v>
      </c>
      <c r="I19" s="622">
        <f>IF(E19&lt;&gt;0,(D19-E19)/E19)*100</f>
        <v>0</v>
      </c>
    </row>
    <row r="20" spans="1:9" ht="17.149999999999999" customHeight="1" thickBot="1" x14ac:dyDescent="0.35">
      <c r="A20" s="80" t="s">
        <v>123</v>
      </c>
      <c r="B20" s="81">
        <f>B11+B18+B19</f>
        <v>655502.48699999996</v>
      </c>
      <c r="C20" s="82">
        <f>C11+C18+C19</f>
        <v>544550.4040000001</v>
      </c>
      <c r="D20" s="81">
        <f>D11+D18+D19</f>
        <v>2679</v>
      </c>
      <c r="E20" s="82">
        <f>E11+E18+E19</f>
        <v>2219</v>
      </c>
      <c r="F20" s="81">
        <f>F11+F18+F19</f>
        <v>110952.08299999997</v>
      </c>
      <c r="G20" s="83">
        <f>IF(C20&lt;&gt;0,(B20-C20)/C20)*100</f>
        <v>20.374988648433696</v>
      </c>
      <c r="H20" s="81">
        <f>H11+H18+H19</f>
        <v>460</v>
      </c>
      <c r="I20" s="83">
        <f>IF(E20&lt;&gt;0,(D20-E20)/E20)*100</f>
        <v>20.730058584948175</v>
      </c>
    </row>
    <row r="21" spans="1:9" ht="17.149999999999999" customHeight="1" thickBot="1" x14ac:dyDescent="0.35">
      <c r="A21" s="84" t="s">
        <v>109</v>
      </c>
      <c r="B21" s="85"/>
      <c r="C21" s="85"/>
      <c r="D21" s="85"/>
      <c r="E21" s="85"/>
      <c r="F21" s="86"/>
      <c r="G21" s="86"/>
      <c r="H21" s="86"/>
      <c r="I21" s="87"/>
    </row>
    <row r="22" spans="1:9" ht="17.149999999999999" customHeight="1" x14ac:dyDescent="0.3">
      <c r="A22" s="547" t="s">
        <v>124</v>
      </c>
      <c r="B22" s="548"/>
      <c r="C22" s="549"/>
      <c r="D22" s="548"/>
      <c r="E22" s="549"/>
      <c r="F22" s="550"/>
      <c r="G22" s="551"/>
      <c r="H22" s="551"/>
      <c r="I22" s="552"/>
    </row>
    <row r="23" spans="1:9" ht="17.149999999999999" customHeight="1" x14ac:dyDescent="0.3">
      <c r="A23" s="678" t="s">
        <v>125</v>
      </c>
      <c r="B23" s="657">
        <f>SUM(B24:B27)</f>
        <v>284808.21899999998</v>
      </c>
      <c r="C23" s="624">
        <f>SUM(C24:C27)</f>
        <v>375445.18700000003</v>
      </c>
      <c r="D23" s="657">
        <f>SUM(D24:D27)</f>
        <v>6125</v>
      </c>
      <c r="E23" s="624">
        <f>SUM(E24:E27)</f>
        <v>8043</v>
      </c>
      <c r="F23" s="657">
        <f t="shared" ref="F23:F28" si="1">B23-C23</f>
        <v>-90636.968000000052</v>
      </c>
      <c r="G23" s="625">
        <f t="shared" ref="G23:G28" si="2">IF(C23&lt;&gt;0,(B23-C23)/C23)*100</f>
        <v>-24.141198539322346</v>
      </c>
      <c r="H23" s="657">
        <f t="shared" ref="H23:H28" si="3">D23-E23</f>
        <v>-1918</v>
      </c>
      <c r="I23" s="625">
        <f t="shared" ref="I23:I28" si="4">IF(E23&lt;&gt;0,(D23-E23)/E23)*100</f>
        <v>-23.846823324630112</v>
      </c>
    </row>
    <row r="24" spans="1:9" ht="17.149999999999999" customHeight="1" x14ac:dyDescent="0.3">
      <c r="A24" s="678" t="s">
        <v>126</v>
      </c>
      <c r="B24" s="679">
        <f>163497436/1000</f>
        <v>163497.43599999999</v>
      </c>
      <c r="C24" s="679">
        <f>263771010/1000</f>
        <v>263771.01</v>
      </c>
      <c r="D24" s="679">
        <v>2848</v>
      </c>
      <c r="E24" s="679">
        <v>5133</v>
      </c>
      <c r="F24" s="680">
        <f t="shared" si="1"/>
        <v>-100273.57400000002</v>
      </c>
      <c r="G24" s="681">
        <f t="shared" si="2"/>
        <v>-38.015388423466256</v>
      </c>
      <c r="H24" s="680">
        <f t="shared" si="3"/>
        <v>-2285</v>
      </c>
      <c r="I24" s="681">
        <f t="shared" si="4"/>
        <v>-44.515877654393144</v>
      </c>
    </row>
    <row r="25" spans="1:9" ht="17.149999999999999" customHeight="1" x14ac:dyDescent="0.3">
      <c r="A25" s="678" t="s">
        <v>127</v>
      </c>
      <c r="B25" s="679">
        <f>44914985/1000</f>
        <v>44914.985000000001</v>
      </c>
      <c r="C25" s="679">
        <f>40598084/1000</f>
        <v>40598.084000000003</v>
      </c>
      <c r="D25" s="679">
        <v>1964</v>
      </c>
      <c r="E25" s="679">
        <v>1739</v>
      </c>
      <c r="F25" s="680">
        <f t="shared" si="1"/>
        <v>4316.900999999998</v>
      </c>
      <c r="G25" s="681">
        <f t="shared" si="2"/>
        <v>10.633262889943273</v>
      </c>
      <c r="H25" s="680">
        <f t="shared" si="3"/>
        <v>225</v>
      </c>
      <c r="I25" s="681">
        <f t="shared" si="4"/>
        <v>12.938470385278897</v>
      </c>
    </row>
    <row r="26" spans="1:9" ht="17.149999999999999" customHeight="1" x14ac:dyDescent="0.3">
      <c r="A26" s="626" t="s">
        <v>128</v>
      </c>
      <c r="B26" s="679">
        <f>17339942/1000</f>
        <v>17339.941999999999</v>
      </c>
      <c r="C26" s="679">
        <f>24016770/1000</f>
        <v>24016.77</v>
      </c>
      <c r="D26" s="679">
        <v>508</v>
      </c>
      <c r="E26" s="679">
        <v>670</v>
      </c>
      <c r="F26" s="680">
        <f t="shared" si="1"/>
        <v>-6676.8280000000013</v>
      </c>
      <c r="G26" s="681">
        <f t="shared" si="2"/>
        <v>-27.800690933876627</v>
      </c>
      <c r="H26" s="680">
        <f t="shared" si="3"/>
        <v>-162</v>
      </c>
      <c r="I26" s="681">
        <f t="shared" si="4"/>
        <v>-24.17910447761194</v>
      </c>
    </row>
    <row r="27" spans="1:9" ht="17.149999999999999" customHeight="1" x14ac:dyDescent="0.3">
      <c r="A27" s="678" t="s">
        <v>129</v>
      </c>
      <c r="B27" s="679">
        <f>59055856/1000</f>
        <v>59055.856</v>
      </c>
      <c r="C27" s="679">
        <f>47059323/1000</f>
        <v>47059.322999999997</v>
      </c>
      <c r="D27" s="679">
        <v>805</v>
      </c>
      <c r="E27" s="679">
        <v>501</v>
      </c>
      <c r="F27" s="680">
        <f t="shared" si="1"/>
        <v>11996.533000000003</v>
      </c>
      <c r="G27" s="681">
        <f t="shared" si="2"/>
        <v>25.492362055442243</v>
      </c>
      <c r="H27" s="680">
        <f t="shared" si="3"/>
        <v>304</v>
      </c>
      <c r="I27" s="681">
        <f t="shared" si="4"/>
        <v>60.678642714570863</v>
      </c>
    </row>
    <row r="28" spans="1:9" ht="17.149999999999999" customHeight="1" x14ac:dyDescent="0.3">
      <c r="A28" s="678" t="s">
        <v>130</v>
      </c>
      <c r="B28" s="679">
        <v>0</v>
      </c>
      <c r="C28" s="679">
        <v>0</v>
      </c>
      <c r="D28" s="679">
        <v>0</v>
      </c>
      <c r="E28" s="679">
        <v>0</v>
      </c>
      <c r="F28" s="680">
        <f t="shared" si="1"/>
        <v>0</v>
      </c>
      <c r="G28" s="681">
        <f t="shared" si="2"/>
        <v>0</v>
      </c>
      <c r="H28" s="680">
        <f t="shared" si="3"/>
        <v>0</v>
      </c>
      <c r="I28" s="681">
        <f t="shared" si="4"/>
        <v>0</v>
      </c>
    </row>
    <row r="29" spans="1:9" ht="17.149999999999999" customHeight="1" x14ac:dyDescent="0.3">
      <c r="A29" s="678"/>
      <c r="B29" s="627"/>
      <c r="C29" s="628"/>
      <c r="D29" s="627"/>
      <c r="E29" s="628"/>
      <c r="F29" s="657"/>
      <c r="G29" s="625"/>
      <c r="H29" s="624"/>
      <c r="I29" s="629"/>
    </row>
    <row r="30" spans="1:9" ht="17.149999999999999" customHeight="1" x14ac:dyDescent="0.3">
      <c r="A30" s="678"/>
      <c r="B30" s="627"/>
      <c r="C30" s="628"/>
      <c r="D30" s="627"/>
      <c r="E30" s="628"/>
      <c r="F30" s="657"/>
      <c r="G30" s="625"/>
      <c r="H30" s="624"/>
      <c r="I30" s="629"/>
    </row>
    <row r="31" spans="1:9" ht="17.149999999999999" customHeight="1" thickBot="1" x14ac:dyDescent="0.35">
      <c r="A31" s="88" t="s">
        <v>109</v>
      </c>
      <c r="B31" s="630"/>
      <c r="C31" s="631"/>
      <c r="D31" s="630"/>
      <c r="E31" s="631"/>
      <c r="F31" s="632"/>
      <c r="G31" s="633"/>
      <c r="H31" s="634"/>
      <c r="I31" s="635"/>
    </row>
    <row r="32" spans="1:9" ht="17.149999999999999" customHeight="1" thickBot="1" x14ac:dyDescent="0.35">
      <c r="A32" s="89" t="s">
        <v>131</v>
      </c>
      <c r="B32" s="90">
        <f>B23+B28</f>
        <v>284808.21899999998</v>
      </c>
      <c r="C32" s="91">
        <f>C23+C28</f>
        <v>375445.18700000003</v>
      </c>
      <c r="D32" s="90">
        <f>D23+D28</f>
        <v>6125</v>
      </c>
      <c r="E32" s="91">
        <f>E23+E28</f>
        <v>8043</v>
      </c>
      <c r="F32" s="91">
        <f>B32-C32</f>
        <v>-90636.968000000052</v>
      </c>
      <c r="G32" s="92">
        <f>IF(C32&lt;&gt;0,(B32-C32)/C32)*100</f>
        <v>-24.141198539322346</v>
      </c>
      <c r="H32" s="91">
        <f>D32-E32</f>
        <v>-1918</v>
      </c>
      <c r="I32" s="92">
        <f>IF(E32&lt;&gt;0,(D32-E32)/E32)*100</f>
        <v>-23.846823324630112</v>
      </c>
    </row>
    <row r="33" spans="1:9" ht="17.149999999999999" customHeight="1" thickBot="1" x14ac:dyDescent="0.35">
      <c r="A33" s="93" t="s">
        <v>132</v>
      </c>
      <c r="B33" s="90">
        <f>B20+B32</f>
        <v>940310.70600000001</v>
      </c>
      <c r="C33" s="91">
        <f>C20+C32</f>
        <v>919995.59100000013</v>
      </c>
      <c r="D33" s="90">
        <f>D20+D32</f>
        <v>8804</v>
      </c>
      <c r="E33" s="91">
        <f>E20+E32</f>
        <v>10262</v>
      </c>
      <c r="F33" s="91">
        <f>B33-C33</f>
        <v>20315.114999999874</v>
      </c>
      <c r="G33" s="92">
        <f>IF(C33&lt;&gt;0,(B33-C33)/C33)*100</f>
        <v>2.2081752563529267</v>
      </c>
      <c r="H33" s="91">
        <f>D33-E33</f>
        <v>-1458</v>
      </c>
      <c r="I33" s="92">
        <f>IF(E33&lt;&gt;0,(D33-E33)/E33)*100</f>
        <v>-14.207756772558955</v>
      </c>
    </row>
    <row r="34" spans="1:9" ht="17.149999999999999" customHeight="1" x14ac:dyDescent="0.3">
      <c r="A34" s="94"/>
      <c r="B34" s="94"/>
      <c r="C34" s="94"/>
      <c r="D34" s="94"/>
      <c r="E34" s="94"/>
      <c r="F34" s="95"/>
      <c r="G34" s="95"/>
      <c r="H34" s="95"/>
      <c r="I34" s="95"/>
    </row>
    <row r="35" spans="1:9" ht="17.149999999999999" customHeight="1" x14ac:dyDescent="0.3">
      <c r="A35" s="68"/>
      <c r="B35" s="96"/>
      <c r="C35" s="97"/>
      <c r="D35" s="97"/>
      <c r="E35" s="97"/>
      <c r="F35" s="538"/>
      <c r="G35" s="538"/>
      <c r="H35" s="538"/>
      <c r="I35" s="538"/>
    </row>
    <row r="36" spans="1:9" ht="17.149999999999999" customHeight="1" thickBot="1" x14ac:dyDescent="0.35">
      <c r="A36" s="404" t="s">
        <v>133</v>
      </c>
      <c r="B36" s="813"/>
      <c r="C36" s="813"/>
      <c r="D36" s="99"/>
      <c r="E36" s="99"/>
      <c r="F36" s="538"/>
      <c r="G36" s="538"/>
      <c r="H36" s="538"/>
      <c r="I36" s="538"/>
    </row>
    <row r="37" spans="1:9" ht="17.149999999999999" customHeight="1" thickBot="1" x14ac:dyDescent="0.35">
      <c r="A37" s="822" t="s">
        <v>134</v>
      </c>
      <c r="B37" s="818" t="s">
        <v>105</v>
      </c>
      <c r="C37" s="819"/>
      <c r="D37" s="818" t="s">
        <v>106</v>
      </c>
      <c r="E37" s="819"/>
      <c r="F37" s="804" t="s">
        <v>107</v>
      </c>
      <c r="G37" s="805"/>
      <c r="H37" s="805"/>
      <c r="I37" s="806"/>
    </row>
    <row r="38" spans="1:9" ht="17.149999999999999" customHeight="1" thickBot="1" x14ac:dyDescent="0.35">
      <c r="A38" s="823"/>
      <c r="B38" s="324" t="s">
        <v>147</v>
      </c>
      <c r="C38" s="324" t="s">
        <v>148</v>
      </c>
      <c r="D38" s="324" t="s">
        <v>147</v>
      </c>
      <c r="E38" s="324" t="s">
        <v>148</v>
      </c>
      <c r="F38" s="804" t="s">
        <v>105</v>
      </c>
      <c r="G38" s="806"/>
      <c r="H38" s="804" t="s">
        <v>106</v>
      </c>
      <c r="I38" s="806"/>
    </row>
    <row r="39" spans="1:9" ht="17.149999999999999" customHeight="1" x14ac:dyDescent="0.3">
      <c r="A39" s="100"/>
      <c r="B39" s="826"/>
      <c r="C39" s="827"/>
      <c r="D39" s="827"/>
      <c r="E39" s="828"/>
      <c r="F39" s="814" t="s">
        <v>110</v>
      </c>
      <c r="G39" s="816" t="s">
        <v>111</v>
      </c>
      <c r="H39" s="816" t="s">
        <v>112</v>
      </c>
      <c r="I39" s="816" t="s">
        <v>111</v>
      </c>
    </row>
    <row r="40" spans="1:9" ht="17.149999999999999" customHeight="1" thickBot="1" x14ac:dyDescent="0.35">
      <c r="A40" s="101" t="s">
        <v>113</v>
      </c>
      <c r="B40" s="829"/>
      <c r="C40" s="830"/>
      <c r="D40" s="830"/>
      <c r="E40" s="831"/>
      <c r="F40" s="815"/>
      <c r="G40" s="817"/>
      <c r="H40" s="817"/>
      <c r="I40" s="817"/>
    </row>
    <row r="41" spans="1:9" ht="17.149999999999999" customHeight="1" thickBot="1" x14ac:dyDescent="0.35">
      <c r="A41" s="539" t="s">
        <v>135</v>
      </c>
      <c r="B41" s="103">
        <f>B42+B43+B45</f>
        <v>5309762.3439999996</v>
      </c>
      <c r="C41" s="104">
        <f>C42+C43+C45</f>
        <v>4191614.5470000003</v>
      </c>
      <c r="D41" s="104">
        <f>D42+D43+D45</f>
        <v>20648</v>
      </c>
      <c r="E41" s="104">
        <f>E42+E43+E45</f>
        <v>16507</v>
      </c>
      <c r="F41" s="104">
        <f t="shared" ref="F41:F48" si="5">B41-C41</f>
        <v>1118147.7969999993</v>
      </c>
      <c r="G41" s="105">
        <f t="shared" ref="G41:G48" si="6">IF(C41&lt;&gt;0,(B41-C41)/C41)*100</f>
        <v>26.675825853316454</v>
      </c>
      <c r="H41" s="104">
        <f t="shared" ref="H41:H48" si="7">D41-E41</f>
        <v>4141</v>
      </c>
      <c r="I41" s="105">
        <f t="shared" ref="I41:I48" si="8">IF(E41&lt;&gt;0,(D41-E41)/E41)*100</f>
        <v>25.086327012782455</v>
      </c>
    </row>
    <row r="42" spans="1:9" ht="17.149999999999999" customHeight="1" x14ac:dyDescent="0.3">
      <c r="A42" s="539" t="s">
        <v>136</v>
      </c>
      <c r="B42" s="542">
        <f>1034633931/1000</f>
        <v>1034633.931</v>
      </c>
      <c r="C42" s="542">
        <f>689242503/1000</f>
        <v>689242.50300000003</v>
      </c>
      <c r="D42" s="543">
        <v>6337</v>
      </c>
      <c r="E42" s="543">
        <v>4520</v>
      </c>
      <c r="F42" s="680">
        <f t="shared" si="5"/>
        <v>345391.42799999996</v>
      </c>
      <c r="G42" s="681">
        <f t="shared" si="6"/>
        <v>50.111742455905961</v>
      </c>
      <c r="H42" s="680">
        <f t="shared" si="7"/>
        <v>1817</v>
      </c>
      <c r="I42" s="681">
        <f t="shared" si="8"/>
        <v>40.199115044247783</v>
      </c>
    </row>
    <row r="43" spans="1:9" ht="17.149999999999999" customHeight="1" x14ac:dyDescent="0.3">
      <c r="A43" s="539" t="s">
        <v>116</v>
      </c>
      <c r="B43" s="542">
        <f>4275128413/1000</f>
        <v>4275128.4129999997</v>
      </c>
      <c r="C43" s="542">
        <f>3502372044/1000</f>
        <v>3502372.0440000002</v>
      </c>
      <c r="D43" s="543">
        <v>14311</v>
      </c>
      <c r="E43" s="543">
        <v>11987</v>
      </c>
      <c r="F43" s="680">
        <f t="shared" si="5"/>
        <v>772756.36899999948</v>
      </c>
      <c r="G43" s="681">
        <f t="shared" si="6"/>
        <v>22.063800170054105</v>
      </c>
      <c r="H43" s="680">
        <f t="shared" si="7"/>
        <v>2324</v>
      </c>
      <c r="I43" s="681">
        <f t="shared" si="8"/>
        <v>19.387669975807125</v>
      </c>
    </row>
    <row r="44" spans="1:9" ht="17.149999999999999" customHeight="1" x14ac:dyDescent="0.3">
      <c r="A44" s="539" t="s">
        <v>137</v>
      </c>
      <c r="B44" s="542">
        <f>1992177453/1000</f>
        <v>1992177.453</v>
      </c>
      <c r="C44" s="542">
        <f>1664235348/1000</f>
        <v>1664235.348</v>
      </c>
      <c r="D44" s="543">
        <v>0</v>
      </c>
      <c r="E44" s="543">
        <v>0</v>
      </c>
      <c r="F44" s="680">
        <f t="shared" si="5"/>
        <v>327942.10499999998</v>
      </c>
      <c r="G44" s="681">
        <f t="shared" si="6"/>
        <v>19.705272177646354</v>
      </c>
      <c r="H44" s="680">
        <f t="shared" si="7"/>
        <v>0</v>
      </c>
      <c r="I44" s="681">
        <f t="shared" si="8"/>
        <v>0</v>
      </c>
    </row>
    <row r="45" spans="1:9" ht="17.149999999999999" customHeight="1" x14ac:dyDescent="0.3">
      <c r="A45" s="539" t="s">
        <v>143</v>
      </c>
      <c r="B45" s="542">
        <v>0</v>
      </c>
      <c r="C45" s="542">
        <v>0</v>
      </c>
      <c r="D45" s="543">
        <v>0</v>
      </c>
      <c r="E45" s="543">
        <v>0</v>
      </c>
      <c r="F45" s="680">
        <f t="shared" si="5"/>
        <v>0</v>
      </c>
      <c r="G45" s="681">
        <f t="shared" si="6"/>
        <v>0</v>
      </c>
      <c r="H45" s="680">
        <f t="shared" si="7"/>
        <v>0</v>
      </c>
      <c r="I45" s="681">
        <f t="shared" si="8"/>
        <v>0</v>
      </c>
    </row>
    <row r="46" spans="1:9" ht="17.149999999999999" customHeight="1" x14ac:dyDescent="0.3">
      <c r="A46" s="539" t="s">
        <v>139</v>
      </c>
      <c r="B46" s="542">
        <f>1549444/1000</f>
        <v>1549.444</v>
      </c>
      <c r="C46" s="542">
        <f>1712621/1000</f>
        <v>1712.6210000000001</v>
      </c>
      <c r="D46" s="543">
        <v>163</v>
      </c>
      <c r="E46" s="543">
        <v>217</v>
      </c>
      <c r="F46" s="680">
        <f t="shared" si="5"/>
        <v>-163.17700000000013</v>
      </c>
      <c r="G46" s="681">
        <f t="shared" si="6"/>
        <v>-9.5279107286434144</v>
      </c>
      <c r="H46" s="680">
        <f t="shared" si="7"/>
        <v>-54</v>
      </c>
      <c r="I46" s="681">
        <f t="shared" si="8"/>
        <v>-24.88479262672811</v>
      </c>
    </row>
    <row r="47" spans="1:9" ht="17.149999999999999" customHeight="1" thickBot="1" x14ac:dyDescent="0.35">
      <c r="A47" s="539" t="s">
        <v>140</v>
      </c>
      <c r="B47" s="542">
        <v>0</v>
      </c>
      <c r="C47" s="542">
        <v>0</v>
      </c>
      <c r="D47" s="543">
        <v>0</v>
      </c>
      <c r="E47" s="543">
        <v>0</v>
      </c>
      <c r="F47" s="680">
        <f t="shared" si="5"/>
        <v>0</v>
      </c>
      <c r="G47" s="681">
        <f t="shared" si="6"/>
        <v>0</v>
      </c>
      <c r="H47" s="680">
        <f t="shared" si="7"/>
        <v>0</v>
      </c>
      <c r="I47" s="681">
        <f t="shared" si="8"/>
        <v>0</v>
      </c>
    </row>
    <row r="48" spans="1:9" ht="17.149999999999999" customHeight="1" thickBot="1" x14ac:dyDescent="0.35">
      <c r="A48" s="106" t="s">
        <v>123</v>
      </c>
      <c r="B48" s="91">
        <f>B41+B46+B47</f>
        <v>5311311.7879999997</v>
      </c>
      <c r="C48" s="91">
        <f>C41+C46+C47</f>
        <v>4193327.1680000001</v>
      </c>
      <c r="D48" s="91">
        <f>D41+D46+D47</f>
        <v>20811</v>
      </c>
      <c r="E48" s="91">
        <f>E41+E46+E47</f>
        <v>16724</v>
      </c>
      <c r="F48" s="91">
        <f t="shared" si="5"/>
        <v>1117984.6199999996</v>
      </c>
      <c r="G48" s="92">
        <f t="shared" si="6"/>
        <v>26.661039675881536</v>
      </c>
      <c r="H48" s="91">
        <f t="shared" si="7"/>
        <v>4087</v>
      </c>
      <c r="I48" s="92">
        <f t="shared" si="8"/>
        <v>24.437933508729969</v>
      </c>
    </row>
    <row r="49" spans="1:9" ht="17.149999999999999" customHeight="1" thickBot="1" x14ac:dyDescent="0.35">
      <c r="A49" s="101" t="s">
        <v>124</v>
      </c>
      <c r="B49" s="114"/>
      <c r="C49" s="115"/>
      <c r="D49" s="115"/>
      <c r="E49" s="115"/>
      <c r="F49" s="116"/>
      <c r="G49" s="117"/>
      <c r="H49" s="116"/>
      <c r="I49" s="124"/>
    </row>
    <row r="50" spans="1:9" ht="17.149999999999999" customHeight="1" thickBot="1" x14ac:dyDescent="0.35">
      <c r="A50" s="539" t="s">
        <v>125</v>
      </c>
      <c r="B50" s="103">
        <f>SUM(B51:B54)</f>
        <v>4681801.3040000005</v>
      </c>
      <c r="C50" s="104">
        <f>SUM(C51:C54)</f>
        <v>4685398.05</v>
      </c>
      <c r="D50" s="104">
        <f>SUM(D51:D54)</f>
        <v>84304</v>
      </c>
      <c r="E50" s="104">
        <f>SUM(E51:E54)</f>
        <v>86464</v>
      </c>
      <c r="F50" s="104">
        <f t="shared" ref="F50:F55" si="9">B50-C50</f>
        <v>-3596.7459999993443</v>
      </c>
      <c r="G50" s="105">
        <f t="shared" ref="G50:G55" si="10">IF(C50&lt;&gt;0,(B50-C50)/C50)*100</f>
        <v>-7.6765003989348227E-2</v>
      </c>
      <c r="H50" s="104">
        <f t="shared" ref="H50:H55" si="11">D50-E50</f>
        <v>-2160</v>
      </c>
      <c r="I50" s="105">
        <f t="shared" ref="I50:I55" si="12">IF(E50&lt;&gt;0,(D50-E50)/E50)*100</f>
        <v>-2.4981495188749077</v>
      </c>
    </row>
    <row r="51" spans="1:9" ht="17.149999999999999" customHeight="1" x14ac:dyDescent="0.3">
      <c r="A51" s="119" t="s">
        <v>126</v>
      </c>
      <c r="B51" s="542">
        <f>3126697061/1000</f>
        <v>3126697.0610000002</v>
      </c>
      <c r="C51" s="542">
        <f>3131560764/1000</f>
        <v>3131560.764</v>
      </c>
      <c r="D51" s="542">
        <v>49972</v>
      </c>
      <c r="E51" s="542">
        <v>51484</v>
      </c>
      <c r="F51" s="680">
        <f t="shared" si="9"/>
        <v>-4863.7029999997467</v>
      </c>
      <c r="G51" s="681">
        <f t="shared" si="10"/>
        <v>-0.15531242618416413</v>
      </c>
      <c r="H51" s="680">
        <f t="shared" si="11"/>
        <v>-1512</v>
      </c>
      <c r="I51" s="681">
        <f t="shared" si="12"/>
        <v>-2.9368347447750756</v>
      </c>
    </row>
    <row r="52" spans="1:9" ht="17.149999999999999" customHeight="1" x14ac:dyDescent="0.3">
      <c r="A52" s="119" t="s">
        <v>127</v>
      </c>
      <c r="B52" s="542">
        <f>717890675/1000</f>
        <v>717890.67500000005</v>
      </c>
      <c r="C52" s="542">
        <f>721660787/1000</f>
        <v>721660.78700000001</v>
      </c>
      <c r="D52" s="542">
        <v>18851</v>
      </c>
      <c r="E52" s="542">
        <v>11855</v>
      </c>
      <c r="F52" s="680">
        <f t="shared" si="9"/>
        <v>-3770.1119999999646</v>
      </c>
      <c r="G52" s="681">
        <f t="shared" si="10"/>
        <v>-0.52242162355427579</v>
      </c>
      <c r="H52" s="680">
        <f t="shared" si="11"/>
        <v>6996</v>
      </c>
      <c r="I52" s="681">
        <f t="shared" si="12"/>
        <v>59.013074652045546</v>
      </c>
    </row>
    <row r="53" spans="1:9" ht="17.149999999999999" customHeight="1" x14ac:dyDescent="0.3">
      <c r="A53" s="120" t="s">
        <v>141</v>
      </c>
      <c r="B53" s="542">
        <f>435200369/1000</f>
        <v>435200.36900000001</v>
      </c>
      <c r="C53" s="542">
        <f>473860783/1000</f>
        <v>473860.783</v>
      </c>
      <c r="D53" s="542">
        <v>9126</v>
      </c>
      <c r="E53" s="542">
        <v>17182</v>
      </c>
      <c r="F53" s="680">
        <f t="shared" si="9"/>
        <v>-38660.41399999999</v>
      </c>
      <c r="G53" s="681">
        <f t="shared" si="10"/>
        <v>-8.1586017216368774</v>
      </c>
      <c r="H53" s="680">
        <f t="shared" si="11"/>
        <v>-8056</v>
      </c>
      <c r="I53" s="681">
        <f t="shared" si="12"/>
        <v>-46.886276335700153</v>
      </c>
    </row>
    <row r="54" spans="1:9" ht="17.149999999999999" customHeight="1" x14ac:dyDescent="0.3">
      <c r="A54" s="119" t="s">
        <v>129</v>
      </c>
      <c r="B54" s="542">
        <f>402013199/1000</f>
        <v>402013.19900000002</v>
      </c>
      <c r="C54" s="542">
        <f>358315716/1000</f>
        <v>358315.71600000001</v>
      </c>
      <c r="D54" s="542">
        <v>6355</v>
      </c>
      <c r="E54" s="542">
        <v>5943</v>
      </c>
      <c r="F54" s="680">
        <f t="shared" si="9"/>
        <v>43697.483000000007</v>
      </c>
      <c r="G54" s="681">
        <f t="shared" si="10"/>
        <v>12.195245993619773</v>
      </c>
      <c r="H54" s="680">
        <f t="shared" si="11"/>
        <v>412</v>
      </c>
      <c r="I54" s="681">
        <f t="shared" si="12"/>
        <v>6.9325256604408549</v>
      </c>
    </row>
    <row r="55" spans="1:9" ht="17.149999999999999" customHeight="1" x14ac:dyDescent="0.3">
      <c r="A55" s="539" t="s">
        <v>130</v>
      </c>
      <c r="B55" s="542">
        <v>0</v>
      </c>
      <c r="C55" s="542">
        <v>0</v>
      </c>
      <c r="D55" s="542">
        <v>0</v>
      </c>
      <c r="E55" s="542">
        <v>0</v>
      </c>
      <c r="F55" s="680">
        <f t="shared" si="9"/>
        <v>0</v>
      </c>
      <c r="G55" s="681">
        <f t="shared" si="10"/>
        <v>0</v>
      </c>
      <c r="H55" s="680">
        <f t="shared" si="11"/>
        <v>0</v>
      </c>
      <c r="I55" s="681">
        <f t="shared" si="12"/>
        <v>0</v>
      </c>
    </row>
    <row r="56" spans="1:9" ht="17.149999999999999" customHeight="1" x14ac:dyDescent="0.3">
      <c r="A56" s="539"/>
      <c r="B56" s="684"/>
      <c r="C56" s="684"/>
      <c r="D56" s="684"/>
      <c r="E56" s="684"/>
      <c r="F56" s="544"/>
      <c r="G56" s="545"/>
      <c r="H56" s="544"/>
      <c r="I56" s="545"/>
    </row>
    <row r="57" spans="1:9" ht="17.149999999999999" customHeight="1" x14ac:dyDescent="0.3">
      <c r="A57" s="539"/>
      <c r="B57" s="684"/>
      <c r="C57" s="684"/>
      <c r="D57" s="684"/>
      <c r="E57" s="684"/>
      <c r="F57" s="544"/>
      <c r="G57" s="545"/>
      <c r="H57" s="544"/>
      <c r="I57" s="545"/>
    </row>
    <row r="58" spans="1:9" ht="17.149999999999999" customHeight="1" thickBot="1" x14ac:dyDescent="0.35">
      <c r="A58" s="539"/>
      <c r="B58" s="636"/>
      <c r="C58" s="636"/>
      <c r="D58" s="637"/>
      <c r="E58" s="637"/>
      <c r="F58" s="638"/>
      <c r="G58" s="639"/>
      <c r="H58" s="640"/>
      <c r="I58" s="641"/>
    </row>
    <row r="59" spans="1:9" ht="17.149999999999999" customHeight="1" thickBot="1" x14ac:dyDescent="0.35">
      <c r="A59" s="106" t="s">
        <v>131</v>
      </c>
      <c r="B59" s="103">
        <f>B50+B55</f>
        <v>4681801.3040000005</v>
      </c>
      <c r="C59" s="104">
        <f>C50+C55</f>
        <v>4685398.05</v>
      </c>
      <c r="D59" s="104">
        <f>D50+D55</f>
        <v>84304</v>
      </c>
      <c r="E59" s="104">
        <f>E50+E55</f>
        <v>86464</v>
      </c>
      <c r="F59" s="657">
        <f>B59-C59</f>
        <v>-3596.7459999993443</v>
      </c>
      <c r="G59" s="625">
        <f>IF(C59&lt;&gt;0,(B59-C59)/C59)*100</f>
        <v>-7.6765003989348227E-2</v>
      </c>
      <c r="H59" s="657">
        <f>D59-E59</f>
        <v>-2160</v>
      </c>
      <c r="I59" s="625">
        <f>IF(E59&lt;&gt;0,(D59-E59)/E59)*100</f>
        <v>-2.4981495188749077</v>
      </c>
    </row>
    <row r="60" spans="1:9" ht="17.149999999999999" customHeight="1" thickBot="1" x14ac:dyDescent="0.35">
      <c r="A60" s="539"/>
      <c r="B60" s="121"/>
      <c r="C60" s="122"/>
      <c r="D60" s="122"/>
      <c r="E60" s="122"/>
      <c r="F60" s="123"/>
      <c r="G60" s="124"/>
      <c r="H60" s="123"/>
      <c r="I60" s="125"/>
    </row>
    <row r="61" spans="1:9" ht="17.149999999999999" customHeight="1" thickBot="1" x14ac:dyDescent="0.35">
      <c r="A61" s="106" t="s">
        <v>132</v>
      </c>
      <c r="B61" s="103">
        <f>B48+B59</f>
        <v>9993113.0920000002</v>
      </c>
      <c r="C61" s="104">
        <f>C48+C59</f>
        <v>8878725.2180000003</v>
      </c>
      <c r="D61" s="104">
        <f>D48+D59</f>
        <v>105115</v>
      </c>
      <c r="E61" s="104">
        <f>E48+E59</f>
        <v>103188</v>
      </c>
      <c r="F61" s="104">
        <f>B61-C61</f>
        <v>1114387.8739999998</v>
      </c>
      <c r="G61" s="105">
        <f>IF(C61&lt;&gt;0,(B61-C61)/C61)*100</f>
        <v>12.551214804359315</v>
      </c>
      <c r="H61" s="104">
        <f>D61-E61</f>
        <v>1927</v>
      </c>
      <c r="I61" s="105">
        <f>IF(E61&lt;&gt;0,(D61-E61)/E61)*100</f>
        <v>1.8674652091328448</v>
      </c>
    </row>
    <row r="62" spans="1:9" ht="17.149999999999999" customHeight="1" x14ac:dyDescent="0.3">
      <c r="A62" s="94"/>
      <c r="B62" s="94"/>
      <c r="C62" s="94"/>
      <c r="D62" s="94"/>
      <c r="E62" s="94"/>
      <c r="F62" s="95"/>
      <c r="G62" s="95"/>
      <c r="H62" s="95"/>
      <c r="I62" s="95"/>
    </row>
    <row r="63" spans="1:9" ht="17.149999999999999" customHeight="1" x14ac:dyDescent="0.3">
      <c r="A63" s="126"/>
      <c r="B63" s="127"/>
      <c r="C63" s="126"/>
      <c r="D63" s="126"/>
      <c r="E63" s="126"/>
      <c r="F63" s="538"/>
      <c r="G63" s="538"/>
      <c r="H63" s="538"/>
      <c r="I63" s="538"/>
    </row>
    <row r="64" spans="1:9" ht="17.149999999999999" customHeight="1" thickBot="1" x14ac:dyDescent="0.35">
      <c r="A64" s="404" t="s">
        <v>142</v>
      </c>
      <c r="B64" s="813"/>
      <c r="C64" s="813"/>
      <c r="D64" s="129"/>
      <c r="E64" s="129"/>
      <c r="F64" s="538"/>
      <c r="G64" s="538"/>
      <c r="H64" s="538"/>
      <c r="I64" s="538"/>
    </row>
    <row r="65" spans="1:9" ht="17.149999999999999" customHeight="1" thickBot="1" x14ac:dyDescent="0.35">
      <c r="A65" s="824" t="s">
        <v>134</v>
      </c>
      <c r="B65" s="820" t="s">
        <v>105</v>
      </c>
      <c r="C65" s="821"/>
      <c r="D65" s="820" t="s">
        <v>106</v>
      </c>
      <c r="E65" s="821"/>
      <c r="F65" s="804" t="s">
        <v>107</v>
      </c>
      <c r="G65" s="805"/>
      <c r="H65" s="805"/>
      <c r="I65" s="806"/>
    </row>
    <row r="66" spans="1:9" ht="17.149999999999999" customHeight="1" thickBot="1" x14ac:dyDescent="0.35">
      <c r="A66" s="825"/>
      <c r="B66" s="324" t="s">
        <v>147</v>
      </c>
      <c r="C66" s="324" t="s">
        <v>148</v>
      </c>
      <c r="D66" s="324" t="s">
        <v>147</v>
      </c>
      <c r="E66" s="324" t="s">
        <v>148</v>
      </c>
      <c r="F66" s="804" t="s">
        <v>105</v>
      </c>
      <c r="G66" s="806"/>
      <c r="H66" s="804" t="s">
        <v>106</v>
      </c>
      <c r="I66" s="806"/>
    </row>
    <row r="67" spans="1:9" ht="17.149999999999999" customHeight="1" x14ac:dyDescent="0.3">
      <c r="A67" s="130"/>
      <c r="B67" s="807"/>
      <c r="C67" s="808"/>
      <c r="D67" s="808"/>
      <c r="E67" s="809"/>
      <c r="F67" s="814" t="s">
        <v>110</v>
      </c>
      <c r="G67" s="816" t="s">
        <v>111</v>
      </c>
      <c r="H67" s="816" t="s">
        <v>112</v>
      </c>
      <c r="I67" s="816" t="s">
        <v>111</v>
      </c>
    </row>
    <row r="68" spans="1:9" ht="17.149999999999999" customHeight="1" thickBot="1" x14ac:dyDescent="0.35">
      <c r="A68" s="131" t="s">
        <v>113</v>
      </c>
      <c r="B68" s="810"/>
      <c r="C68" s="811"/>
      <c r="D68" s="811"/>
      <c r="E68" s="812"/>
      <c r="F68" s="815"/>
      <c r="G68" s="817"/>
      <c r="H68" s="817"/>
      <c r="I68" s="817"/>
    </row>
    <row r="69" spans="1:9" ht="17.149999999999999" customHeight="1" thickBot="1" x14ac:dyDescent="0.35">
      <c r="A69" s="540" t="s">
        <v>135</v>
      </c>
      <c r="B69" s="133">
        <f>B70+B71+B72</f>
        <v>6195648.5319999997</v>
      </c>
      <c r="C69" s="91">
        <f>C70+C71+C72</f>
        <v>5000346.716</v>
      </c>
      <c r="D69" s="91">
        <f>D70+D71+D72</f>
        <v>25581</v>
      </c>
      <c r="E69" s="91">
        <f>E70+E71+E72</f>
        <v>22057</v>
      </c>
      <c r="F69" s="91">
        <f t="shared" ref="F69:F75" si="13">B69-C69</f>
        <v>1195301.8159999996</v>
      </c>
      <c r="G69" s="92">
        <f t="shared" ref="G69:G75" si="14">IF(C69&lt;&gt;0,(B69-C69)/C69)*100</f>
        <v>23.904378713885961</v>
      </c>
      <c r="H69" s="91">
        <f t="shared" ref="H69:H75" si="15">D69-E69</f>
        <v>3524</v>
      </c>
      <c r="I69" s="92">
        <f t="shared" ref="I69:I75" si="16">IF(E69&lt;&gt;0,(D69-E69)/E69)*100</f>
        <v>15.97678741442626</v>
      </c>
    </row>
    <row r="70" spans="1:9" ht="17.149999999999999" customHeight="1" x14ac:dyDescent="0.3">
      <c r="A70" s="540" t="s">
        <v>136</v>
      </c>
      <c r="B70" s="542">
        <f t="shared" ref="B70:E71" si="17">B42+B98</f>
        <v>1533379.433</v>
      </c>
      <c r="C70" s="542">
        <f t="shared" si="17"/>
        <v>1135479.554</v>
      </c>
      <c r="D70" s="542">
        <f t="shared" si="17"/>
        <v>9151</v>
      </c>
      <c r="E70" s="542">
        <f t="shared" si="17"/>
        <v>7451</v>
      </c>
      <c r="F70" s="680">
        <f t="shared" si="13"/>
        <v>397899.87899999996</v>
      </c>
      <c r="G70" s="681">
        <f t="shared" si="14"/>
        <v>35.042452116227182</v>
      </c>
      <c r="H70" s="680">
        <f t="shared" si="15"/>
        <v>1700</v>
      </c>
      <c r="I70" s="681">
        <f t="shared" si="16"/>
        <v>22.815729432290969</v>
      </c>
    </row>
    <row r="71" spans="1:9" ht="17.149999999999999" customHeight="1" x14ac:dyDescent="0.3">
      <c r="A71" s="540" t="s">
        <v>116</v>
      </c>
      <c r="B71" s="542">
        <f t="shared" si="17"/>
        <v>4662269.0989999995</v>
      </c>
      <c r="C71" s="542">
        <f t="shared" si="17"/>
        <v>3864867.1620000005</v>
      </c>
      <c r="D71" s="542">
        <f t="shared" si="17"/>
        <v>16430</v>
      </c>
      <c r="E71" s="542">
        <f t="shared" si="17"/>
        <v>14606</v>
      </c>
      <c r="F71" s="680">
        <f t="shared" si="13"/>
        <v>797401.93699999899</v>
      </c>
      <c r="G71" s="681">
        <f t="shared" si="14"/>
        <v>20.632065827260089</v>
      </c>
      <c r="H71" s="680">
        <f t="shared" si="15"/>
        <v>1824</v>
      </c>
      <c r="I71" s="681">
        <f t="shared" si="16"/>
        <v>12.488018622483912</v>
      </c>
    </row>
    <row r="72" spans="1:9" ht="17.149999999999999" customHeight="1" x14ac:dyDescent="0.3">
      <c r="A72" s="540" t="s">
        <v>143</v>
      </c>
      <c r="B72" s="542">
        <f>B45+B100</f>
        <v>0</v>
      </c>
      <c r="C72" s="542">
        <f t="shared" ref="C72:E74" si="18">C45+C100</f>
        <v>0</v>
      </c>
      <c r="D72" s="542">
        <f t="shared" si="18"/>
        <v>0</v>
      </c>
      <c r="E72" s="542">
        <f t="shared" si="18"/>
        <v>0</v>
      </c>
      <c r="F72" s="680">
        <f t="shared" si="13"/>
        <v>0</v>
      </c>
      <c r="G72" s="681">
        <f t="shared" si="14"/>
        <v>0</v>
      </c>
      <c r="H72" s="680">
        <f t="shared" si="15"/>
        <v>0</v>
      </c>
      <c r="I72" s="681">
        <f t="shared" si="16"/>
        <v>0</v>
      </c>
    </row>
    <row r="73" spans="1:9" ht="17.149999999999999" customHeight="1" x14ac:dyDescent="0.3">
      <c r="A73" s="540" t="s">
        <v>139</v>
      </c>
      <c r="B73" s="542">
        <f>B46+B101</f>
        <v>6524.8369999999995</v>
      </c>
      <c r="C73" s="542">
        <f t="shared" si="18"/>
        <v>12614.928</v>
      </c>
      <c r="D73" s="542">
        <f t="shared" si="18"/>
        <v>263</v>
      </c>
      <c r="E73" s="542">
        <f t="shared" si="18"/>
        <v>396</v>
      </c>
      <c r="F73" s="680">
        <f t="shared" si="13"/>
        <v>-6090.0910000000003</v>
      </c>
      <c r="G73" s="681">
        <f t="shared" si="14"/>
        <v>-48.27685897216378</v>
      </c>
      <c r="H73" s="680">
        <f t="shared" si="15"/>
        <v>-133</v>
      </c>
      <c r="I73" s="681">
        <f t="shared" si="16"/>
        <v>-33.585858585858588</v>
      </c>
    </row>
    <row r="74" spans="1:9" ht="17.149999999999999" customHeight="1" thickBot="1" x14ac:dyDescent="0.35">
      <c r="A74" s="540" t="s">
        <v>140</v>
      </c>
      <c r="B74" s="542">
        <f>B47+B102</f>
        <v>0</v>
      </c>
      <c r="C74" s="542">
        <f t="shared" si="18"/>
        <v>0</v>
      </c>
      <c r="D74" s="542">
        <f t="shared" si="18"/>
        <v>0</v>
      </c>
      <c r="E74" s="542">
        <f t="shared" si="18"/>
        <v>0</v>
      </c>
      <c r="F74" s="680">
        <f t="shared" si="13"/>
        <v>0</v>
      </c>
      <c r="G74" s="681">
        <f t="shared" si="14"/>
        <v>0</v>
      </c>
      <c r="H74" s="680">
        <f t="shared" si="15"/>
        <v>0</v>
      </c>
      <c r="I74" s="681">
        <f t="shared" si="16"/>
        <v>0</v>
      </c>
    </row>
    <row r="75" spans="1:9" ht="17.149999999999999" customHeight="1" thickBot="1" x14ac:dyDescent="0.35">
      <c r="A75" s="134" t="s">
        <v>123</v>
      </c>
      <c r="B75" s="135">
        <f>B69+B73+B74</f>
        <v>6202173.3689999999</v>
      </c>
      <c r="C75" s="90">
        <f>C69+C73+C74</f>
        <v>5012961.6440000003</v>
      </c>
      <c r="D75" s="90">
        <f>D69+D73+D74</f>
        <v>25844</v>
      </c>
      <c r="E75" s="91">
        <f>E69+E73+E74</f>
        <v>22453</v>
      </c>
      <c r="F75" s="82">
        <f t="shared" si="13"/>
        <v>1189211.7249999996</v>
      </c>
      <c r="G75" s="83">
        <f t="shared" si="14"/>
        <v>23.722737364714604</v>
      </c>
      <c r="H75" s="82">
        <f t="shared" si="15"/>
        <v>3391</v>
      </c>
      <c r="I75" s="83">
        <f t="shared" si="16"/>
        <v>15.102658887453794</v>
      </c>
    </row>
    <row r="76" spans="1:9" ht="17.149999999999999" customHeight="1" x14ac:dyDescent="0.3">
      <c r="A76" s="136"/>
      <c r="B76" s="107"/>
      <c r="C76" s="108"/>
      <c r="D76" s="108"/>
      <c r="E76" s="108"/>
      <c r="F76" s="110"/>
      <c r="G76" s="110"/>
      <c r="H76" s="110"/>
      <c r="I76" s="137"/>
    </row>
    <row r="77" spans="1:9" ht="17.149999999999999" customHeight="1" thickBot="1" x14ac:dyDescent="0.35">
      <c r="A77" s="131" t="s">
        <v>124</v>
      </c>
      <c r="B77" s="114"/>
      <c r="C77" s="115"/>
      <c r="D77" s="115"/>
      <c r="E77" s="115"/>
      <c r="F77" s="116"/>
      <c r="G77" s="116"/>
      <c r="H77" s="116"/>
      <c r="I77" s="138"/>
    </row>
    <row r="78" spans="1:9" ht="17.149999999999999" customHeight="1" thickBot="1" x14ac:dyDescent="0.35">
      <c r="A78" s="540" t="s">
        <v>125</v>
      </c>
      <c r="B78" s="133">
        <f>SUM(B79:B82)</f>
        <v>5581964.875</v>
      </c>
      <c r="C78" s="91">
        <f>SUM(C79:C82)</f>
        <v>5662647.2909999993</v>
      </c>
      <c r="D78" s="91">
        <f>SUM(D79:D82)</f>
        <v>99078</v>
      </c>
      <c r="E78" s="91">
        <f>SUM(E79:E82)</f>
        <v>104570</v>
      </c>
      <c r="F78" s="91">
        <f t="shared" ref="F78:F83" si="19">B78-C78</f>
        <v>-80682.41599999927</v>
      </c>
      <c r="G78" s="92">
        <f t="shared" ref="G78:G83" si="20">IF(C78&lt;&gt;0,(B78-C78)/C78)*100</f>
        <v>-1.4248179668232719</v>
      </c>
      <c r="H78" s="91">
        <f t="shared" ref="H78:H83" si="21">D78-E78</f>
        <v>-5492</v>
      </c>
      <c r="I78" s="92">
        <f t="shared" ref="I78:I83" si="22">IF(E78&lt;&gt;0,(D78-E78)/E78)*100</f>
        <v>-5.2519843167256388</v>
      </c>
    </row>
    <row r="79" spans="1:9" ht="17.149999999999999" customHeight="1" x14ac:dyDescent="0.3">
      <c r="A79" s="119" t="s">
        <v>126</v>
      </c>
      <c r="B79" s="542">
        <f t="shared" ref="B79:E83" si="23">B51+B107</f>
        <v>3590843.12</v>
      </c>
      <c r="C79" s="542">
        <f t="shared" si="23"/>
        <v>3644287.36</v>
      </c>
      <c r="D79" s="542">
        <f t="shared" si="23"/>
        <v>56287</v>
      </c>
      <c r="E79" s="542">
        <f t="shared" si="23"/>
        <v>58888</v>
      </c>
      <c r="F79" s="680">
        <f t="shared" si="19"/>
        <v>-53444.239999999758</v>
      </c>
      <c r="G79" s="681">
        <f t="shared" si="20"/>
        <v>-1.4665210155106911</v>
      </c>
      <c r="H79" s="680">
        <f t="shared" si="21"/>
        <v>-2601</v>
      </c>
      <c r="I79" s="681">
        <f t="shared" si="22"/>
        <v>-4.4168591224018474</v>
      </c>
    </row>
    <row r="80" spans="1:9" ht="17.149999999999999" customHeight="1" x14ac:dyDescent="0.3">
      <c r="A80" s="119" t="s">
        <v>144</v>
      </c>
      <c r="B80" s="684">
        <f t="shared" si="23"/>
        <v>760728.01</v>
      </c>
      <c r="C80" s="684">
        <f t="shared" si="23"/>
        <v>766792.55700000003</v>
      </c>
      <c r="D80" s="684">
        <f t="shared" si="23"/>
        <v>20110</v>
      </c>
      <c r="E80" s="684">
        <f t="shared" si="23"/>
        <v>17156</v>
      </c>
      <c r="F80" s="680">
        <f t="shared" si="19"/>
        <v>-6064.5470000000205</v>
      </c>
      <c r="G80" s="681">
        <f t="shared" si="20"/>
        <v>-0.79089800033100999</v>
      </c>
      <c r="H80" s="680">
        <f t="shared" si="21"/>
        <v>2954</v>
      </c>
      <c r="I80" s="681">
        <f t="shared" si="22"/>
        <v>17.21846584285381</v>
      </c>
    </row>
    <row r="81" spans="1:9" ht="17.149999999999999" customHeight="1" x14ac:dyDescent="0.3">
      <c r="A81" s="120" t="s">
        <v>141</v>
      </c>
      <c r="B81" s="542">
        <f t="shared" si="23"/>
        <v>583672.01800000004</v>
      </c>
      <c r="C81" s="542">
        <f t="shared" si="23"/>
        <v>653853.005</v>
      </c>
      <c r="D81" s="542">
        <f t="shared" si="23"/>
        <v>12705</v>
      </c>
      <c r="E81" s="542">
        <f t="shared" si="23"/>
        <v>18687</v>
      </c>
      <c r="F81" s="680">
        <f t="shared" si="19"/>
        <v>-70180.986999999965</v>
      </c>
      <c r="G81" s="681">
        <f t="shared" si="20"/>
        <v>-10.733450250029817</v>
      </c>
      <c r="H81" s="680">
        <f t="shared" si="21"/>
        <v>-5982</v>
      </c>
      <c r="I81" s="681">
        <f t="shared" si="22"/>
        <v>-32.01155883769465</v>
      </c>
    </row>
    <row r="82" spans="1:9" ht="17.149999999999999" customHeight="1" x14ac:dyDescent="0.3">
      <c r="A82" s="119" t="s">
        <v>129</v>
      </c>
      <c r="B82" s="542">
        <f t="shared" si="23"/>
        <v>646721.72699999996</v>
      </c>
      <c r="C82" s="542">
        <f t="shared" si="23"/>
        <v>597714.36899999995</v>
      </c>
      <c r="D82" s="542">
        <f t="shared" si="23"/>
        <v>9976</v>
      </c>
      <c r="E82" s="542">
        <f t="shared" si="23"/>
        <v>9839</v>
      </c>
      <c r="F82" s="680">
        <f t="shared" si="19"/>
        <v>49007.358000000007</v>
      </c>
      <c r="G82" s="681">
        <f t="shared" si="20"/>
        <v>8.1991266299974157</v>
      </c>
      <c r="H82" s="680">
        <f t="shared" si="21"/>
        <v>137</v>
      </c>
      <c r="I82" s="681">
        <f t="shared" si="22"/>
        <v>1.3924179286512857</v>
      </c>
    </row>
    <row r="83" spans="1:9" ht="17.149999999999999" customHeight="1" x14ac:dyDescent="0.3">
      <c r="A83" s="540" t="s">
        <v>130</v>
      </c>
      <c r="B83" s="542">
        <f t="shared" si="23"/>
        <v>0</v>
      </c>
      <c r="C83" s="542">
        <f t="shared" si="23"/>
        <v>0</v>
      </c>
      <c r="D83" s="542">
        <f t="shared" si="23"/>
        <v>0</v>
      </c>
      <c r="E83" s="542">
        <f t="shared" si="23"/>
        <v>0</v>
      </c>
      <c r="F83" s="680">
        <f t="shared" si="19"/>
        <v>0</v>
      </c>
      <c r="G83" s="681">
        <f t="shared" si="20"/>
        <v>0</v>
      </c>
      <c r="H83" s="680">
        <f t="shared" si="21"/>
        <v>0</v>
      </c>
      <c r="I83" s="681">
        <f t="shared" si="22"/>
        <v>0</v>
      </c>
    </row>
    <row r="84" spans="1:9" ht="17.149999999999999" customHeight="1" x14ac:dyDescent="0.3">
      <c r="A84" s="540"/>
      <c r="B84" s="542"/>
      <c r="C84" s="542"/>
      <c r="D84" s="542"/>
      <c r="E84" s="542"/>
      <c r="F84" s="544"/>
      <c r="G84" s="545"/>
      <c r="H84" s="544"/>
      <c r="I84" s="545"/>
    </row>
    <row r="85" spans="1:9" ht="17.149999999999999" customHeight="1" x14ac:dyDescent="0.3">
      <c r="A85" s="540"/>
      <c r="B85" s="542"/>
      <c r="C85" s="542"/>
      <c r="D85" s="542"/>
      <c r="E85" s="542"/>
      <c r="F85" s="544"/>
      <c r="G85" s="545"/>
      <c r="H85" s="544"/>
      <c r="I85" s="545"/>
    </row>
    <row r="86" spans="1:9" ht="17.149999999999999" customHeight="1" thickBot="1" x14ac:dyDescent="0.35">
      <c r="A86" s="540"/>
      <c r="B86" s="642"/>
      <c r="C86" s="636"/>
      <c r="D86" s="637"/>
      <c r="E86" s="637"/>
      <c r="F86" s="638"/>
      <c r="G86" s="639"/>
      <c r="H86" s="640"/>
      <c r="I86" s="641"/>
    </row>
    <row r="87" spans="1:9" ht="17.149999999999999" customHeight="1" thickBot="1" x14ac:dyDescent="0.35">
      <c r="A87" s="134" t="s">
        <v>131</v>
      </c>
      <c r="B87" s="103">
        <f>B78+B83</f>
        <v>5581964.875</v>
      </c>
      <c r="C87" s="104">
        <f>C78+C83</f>
        <v>5662647.2909999993</v>
      </c>
      <c r="D87" s="104">
        <f>D78+D83</f>
        <v>99078</v>
      </c>
      <c r="E87" s="104">
        <f>E78+E83</f>
        <v>104570</v>
      </c>
      <c r="F87" s="657">
        <f>B87-C87</f>
        <v>-80682.41599999927</v>
      </c>
      <c r="G87" s="625">
        <f>IF(C87&lt;&gt;0,(B87-C87)/C87)*100</f>
        <v>-1.4248179668232719</v>
      </c>
      <c r="H87" s="657">
        <f>D87-E87</f>
        <v>-5492</v>
      </c>
      <c r="I87" s="625">
        <f>IF(E87&lt;&gt;0,(D87-E87)/E87)*100</f>
        <v>-5.2519843167256388</v>
      </c>
    </row>
    <row r="88" spans="1:9" ht="17.149999999999999" customHeight="1" thickBot="1" x14ac:dyDescent="0.35">
      <c r="A88" s="540"/>
      <c r="B88" s="121"/>
      <c r="C88" s="122"/>
      <c r="D88" s="122"/>
      <c r="E88" s="122"/>
      <c r="F88" s="123"/>
      <c r="G88" s="124"/>
      <c r="H88" s="123"/>
      <c r="I88" s="125"/>
    </row>
    <row r="89" spans="1:9" ht="17.149999999999999" customHeight="1" thickBot="1" x14ac:dyDescent="0.35">
      <c r="A89" s="134" t="s">
        <v>132</v>
      </c>
      <c r="B89" s="139">
        <f>B75+B87</f>
        <v>11784138.243999999</v>
      </c>
      <c r="C89" s="140">
        <f>C75+C87</f>
        <v>10675608.934999999</v>
      </c>
      <c r="D89" s="140">
        <f>D75+D87</f>
        <v>124922</v>
      </c>
      <c r="E89" s="140">
        <f>E75+E87</f>
        <v>127023</v>
      </c>
      <c r="F89" s="104">
        <f>B89-C89</f>
        <v>1108529.3090000004</v>
      </c>
      <c r="G89" s="105">
        <f>IF(C89&lt;&gt;0,(B89-C89)/C89)*100</f>
        <v>10.383757177219985</v>
      </c>
      <c r="H89" s="104">
        <f>D89-E89</f>
        <v>-2101</v>
      </c>
      <c r="I89" s="105">
        <f>IF(E89&lt;&gt;0,(D89-E89)/E89)*100</f>
        <v>-1.6540311597112334</v>
      </c>
    </row>
    <row r="90" spans="1:9" ht="17.149999999999999" customHeight="1" x14ac:dyDescent="0.3">
      <c r="A90" s="94"/>
      <c r="B90" s="94"/>
      <c r="C90" s="94"/>
      <c r="D90" s="94"/>
      <c r="E90" s="94"/>
      <c r="F90" s="541"/>
      <c r="G90" s="541"/>
      <c r="H90" s="541"/>
      <c r="I90" s="541"/>
    </row>
    <row r="91" spans="1:9" ht="17.149999999999999" customHeight="1" x14ac:dyDescent="0.3">
      <c r="A91" s="126"/>
      <c r="B91" s="97"/>
      <c r="C91" s="97"/>
      <c r="D91" s="97"/>
      <c r="E91" s="97"/>
      <c r="F91" s="541"/>
      <c r="G91" s="541"/>
      <c r="H91" s="541"/>
      <c r="I91" s="541"/>
    </row>
    <row r="92" spans="1:9" ht="17.149999999999999" customHeight="1" thickBot="1" x14ac:dyDescent="0.35">
      <c r="A92" s="404" t="s">
        <v>145</v>
      </c>
      <c r="B92" s="813"/>
      <c r="C92" s="813"/>
      <c r="D92" s="129"/>
      <c r="E92" s="129"/>
      <c r="F92" s="541"/>
      <c r="G92" s="541"/>
      <c r="H92" s="541"/>
      <c r="I92" s="541"/>
    </row>
    <row r="93" spans="1:9" ht="17.149999999999999" customHeight="1" thickBot="1" x14ac:dyDescent="0.35">
      <c r="A93" s="824" t="s">
        <v>134</v>
      </c>
      <c r="B93" s="820" t="s">
        <v>105</v>
      </c>
      <c r="C93" s="835"/>
      <c r="D93" s="820" t="s">
        <v>106</v>
      </c>
      <c r="E93" s="821"/>
      <c r="F93" s="804" t="s">
        <v>107</v>
      </c>
      <c r="G93" s="805"/>
      <c r="H93" s="805"/>
      <c r="I93" s="806"/>
    </row>
    <row r="94" spans="1:9" ht="17.149999999999999" customHeight="1" thickBot="1" x14ac:dyDescent="0.35">
      <c r="A94" s="825"/>
      <c r="B94" s="324" t="s">
        <v>147</v>
      </c>
      <c r="C94" s="324" t="s">
        <v>148</v>
      </c>
      <c r="D94" s="324" t="s">
        <v>147</v>
      </c>
      <c r="E94" s="324" t="s">
        <v>148</v>
      </c>
      <c r="F94" s="804" t="s">
        <v>105</v>
      </c>
      <c r="G94" s="806"/>
      <c r="H94" s="804" t="s">
        <v>106</v>
      </c>
      <c r="I94" s="806"/>
    </row>
    <row r="95" spans="1:9" ht="17.149999999999999" customHeight="1" x14ac:dyDescent="0.3">
      <c r="A95" s="130"/>
      <c r="B95" s="807"/>
      <c r="C95" s="808"/>
      <c r="D95" s="808"/>
      <c r="E95" s="809"/>
      <c r="F95" s="814" t="s">
        <v>110</v>
      </c>
      <c r="G95" s="816" t="s">
        <v>111</v>
      </c>
      <c r="H95" s="816" t="s">
        <v>112</v>
      </c>
      <c r="I95" s="816" t="s">
        <v>111</v>
      </c>
    </row>
    <row r="96" spans="1:9" ht="17.149999999999999" customHeight="1" thickBot="1" x14ac:dyDescent="0.35">
      <c r="A96" s="131" t="s">
        <v>113</v>
      </c>
      <c r="B96" s="810"/>
      <c r="C96" s="811"/>
      <c r="D96" s="811"/>
      <c r="E96" s="812"/>
      <c r="F96" s="815"/>
      <c r="G96" s="817"/>
      <c r="H96" s="817"/>
      <c r="I96" s="817"/>
    </row>
    <row r="97" spans="1:9" ht="17.149999999999999" customHeight="1" thickBot="1" x14ac:dyDescent="0.35">
      <c r="A97" s="540" t="s">
        <v>135</v>
      </c>
      <c r="B97" s="91">
        <f>B98+B99+B100</f>
        <v>885886.18799999997</v>
      </c>
      <c r="C97" s="91">
        <f>C98+C99+C100</f>
        <v>808732.16899999999</v>
      </c>
      <c r="D97" s="91">
        <f>D98+D99+D100</f>
        <v>4933</v>
      </c>
      <c r="E97" s="91">
        <f>E98+E99+E100</f>
        <v>5550</v>
      </c>
      <c r="F97" s="91">
        <f t="shared" ref="F97:F103" si="24">B97-C97</f>
        <v>77154.018999999971</v>
      </c>
      <c r="G97" s="92">
        <f t="shared" ref="G97:G103" si="25">IF(C97&lt;&gt;0,(B97-C97)/C97)*100</f>
        <v>9.5401199503911371</v>
      </c>
      <c r="H97" s="91">
        <f t="shared" ref="H97:H103" si="26">D97-E97</f>
        <v>-617</v>
      </c>
      <c r="I97" s="92">
        <f t="shared" ref="I97:I103" si="27">IF(E97&lt;&gt;0,(D97-E97)/E97)*100</f>
        <v>-11.117117117117118</v>
      </c>
    </row>
    <row r="98" spans="1:9" ht="17.149999999999999" customHeight="1" x14ac:dyDescent="0.3">
      <c r="A98" s="540" t="s">
        <v>136</v>
      </c>
      <c r="B98" s="543">
        <f>498745502/1000</f>
        <v>498745.50199999998</v>
      </c>
      <c r="C98" s="543">
        <f>446237051/1000</f>
        <v>446237.05099999998</v>
      </c>
      <c r="D98" s="543">
        <v>2814</v>
      </c>
      <c r="E98" s="543">
        <v>2931</v>
      </c>
      <c r="F98" s="680">
        <f t="shared" si="24"/>
        <v>52508.451000000001</v>
      </c>
      <c r="G98" s="681">
        <f t="shared" si="25"/>
        <v>11.766941109513562</v>
      </c>
      <c r="H98" s="680">
        <f t="shared" si="26"/>
        <v>-117</v>
      </c>
      <c r="I98" s="681">
        <f t="shared" si="27"/>
        <v>-3.9918116683725691</v>
      </c>
    </row>
    <row r="99" spans="1:9" ht="17.149999999999999" customHeight="1" x14ac:dyDescent="0.3">
      <c r="A99" s="540" t="s">
        <v>116</v>
      </c>
      <c r="B99" s="543">
        <f>387140686/1000</f>
        <v>387140.68599999999</v>
      </c>
      <c r="C99" s="543">
        <f>362495118/1000</f>
        <v>362495.11800000002</v>
      </c>
      <c r="D99" s="543">
        <v>2119</v>
      </c>
      <c r="E99" s="543">
        <v>2619</v>
      </c>
      <c r="F99" s="680">
        <f t="shared" si="24"/>
        <v>24645.56799999997</v>
      </c>
      <c r="G99" s="681">
        <f t="shared" si="25"/>
        <v>6.798868943663944</v>
      </c>
      <c r="H99" s="680">
        <f t="shared" si="26"/>
        <v>-500</v>
      </c>
      <c r="I99" s="681">
        <f t="shared" si="27"/>
        <v>-19.091256204658265</v>
      </c>
    </row>
    <row r="100" spans="1:9" ht="17.149999999999999" customHeight="1" x14ac:dyDescent="0.3">
      <c r="A100" s="540" t="s">
        <v>143</v>
      </c>
      <c r="B100" s="543">
        <v>0</v>
      </c>
      <c r="C100" s="543">
        <v>0</v>
      </c>
      <c r="D100" s="543">
        <v>0</v>
      </c>
      <c r="E100" s="543">
        <v>0</v>
      </c>
      <c r="F100" s="680">
        <f t="shared" si="24"/>
        <v>0</v>
      </c>
      <c r="G100" s="681">
        <f t="shared" si="25"/>
        <v>0</v>
      </c>
      <c r="H100" s="680">
        <f t="shared" si="26"/>
        <v>0</v>
      </c>
      <c r="I100" s="681">
        <f t="shared" si="27"/>
        <v>0</v>
      </c>
    </row>
    <row r="101" spans="1:9" ht="17.149999999999999" customHeight="1" x14ac:dyDescent="0.3">
      <c r="A101" s="540" t="s">
        <v>139</v>
      </c>
      <c r="B101" s="543">
        <f>4975393/1000</f>
        <v>4975.393</v>
      </c>
      <c r="C101" s="543">
        <f>10902307/1000</f>
        <v>10902.307000000001</v>
      </c>
      <c r="D101" s="543">
        <v>100</v>
      </c>
      <c r="E101" s="543">
        <v>179</v>
      </c>
      <c r="F101" s="680">
        <f t="shared" si="24"/>
        <v>-5926.9140000000007</v>
      </c>
      <c r="G101" s="681">
        <f t="shared" si="25"/>
        <v>-54.363851614158364</v>
      </c>
      <c r="H101" s="680">
        <f t="shared" si="26"/>
        <v>-79</v>
      </c>
      <c r="I101" s="681">
        <f t="shared" si="27"/>
        <v>-44.134078212290504</v>
      </c>
    </row>
    <row r="102" spans="1:9" ht="17.149999999999999" customHeight="1" thickBot="1" x14ac:dyDescent="0.35">
      <c r="A102" s="540" t="s">
        <v>140</v>
      </c>
      <c r="B102" s="543">
        <v>0</v>
      </c>
      <c r="C102" s="543">
        <v>0</v>
      </c>
      <c r="D102" s="543">
        <v>0</v>
      </c>
      <c r="E102" s="543">
        <v>0</v>
      </c>
      <c r="F102" s="680">
        <f t="shared" si="24"/>
        <v>0</v>
      </c>
      <c r="G102" s="681">
        <f t="shared" si="25"/>
        <v>0</v>
      </c>
      <c r="H102" s="680">
        <f t="shared" si="26"/>
        <v>0</v>
      </c>
      <c r="I102" s="681">
        <f t="shared" si="27"/>
        <v>0</v>
      </c>
    </row>
    <row r="103" spans="1:9" ht="17.149999999999999" customHeight="1" thickBot="1" x14ac:dyDescent="0.35">
      <c r="A103" s="134" t="s">
        <v>123</v>
      </c>
      <c r="B103" s="81">
        <f>B97+B101+B102</f>
        <v>890861.58100000001</v>
      </c>
      <c r="C103" s="81">
        <f>C97+C101+C102</f>
        <v>819634.47600000002</v>
      </c>
      <c r="D103" s="81">
        <f>D97+D101+D102</f>
        <v>5033</v>
      </c>
      <c r="E103" s="82">
        <f>E97+E101+E102</f>
        <v>5729</v>
      </c>
      <c r="F103" s="91">
        <f t="shared" si="24"/>
        <v>71227.104999999981</v>
      </c>
      <c r="G103" s="92">
        <f t="shared" si="25"/>
        <v>8.6901060272140125</v>
      </c>
      <c r="H103" s="91">
        <f t="shared" si="26"/>
        <v>-696</v>
      </c>
      <c r="I103" s="92">
        <f t="shared" si="27"/>
        <v>-12.148717053587013</v>
      </c>
    </row>
    <row r="104" spans="1:9" ht="17.149999999999999" customHeight="1" x14ac:dyDescent="0.3">
      <c r="A104" s="142"/>
      <c r="B104" s="107"/>
      <c r="C104" s="108"/>
      <c r="D104" s="109"/>
      <c r="E104" s="108"/>
      <c r="F104" s="110"/>
      <c r="G104" s="111"/>
      <c r="H104" s="112"/>
      <c r="I104" s="113"/>
    </row>
    <row r="105" spans="1:9" ht="17.149999999999999" customHeight="1" thickBot="1" x14ac:dyDescent="0.35">
      <c r="A105" s="143" t="s">
        <v>124</v>
      </c>
      <c r="B105" s="114"/>
      <c r="C105" s="115"/>
      <c r="D105" s="115"/>
      <c r="E105" s="115"/>
      <c r="F105" s="116"/>
      <c r="G105" s="117"/>
      <c r="H105" s="116"/>
      <c r="I105" s="118"/>
    </row>
    <row r="106" spans="1:9" ht="17.149999999999999" customHeight="1" thickBot="1" x14ac:dyDescent="0.35">
      <c r="A106" s="540" t="s">
        <v>125</v>
      </c>
      <c r="B106" s="104">
        <f>SUM(B107:B110)</f>
        <v>900163.571</v>
      </c>
      <c r="C106" s="104">
        <f>SUM(C107:C110)</f>
        <v>977249.24099999992</v>
      </c>
      <c r="D106" s="104">
        <f>SUM(D107:D110)</f>
        <v>14774</v>
      </c>
      <c r="E106" s="104">
        <f>SUM(E107:E110)</f>
        <v>18106</v>
      </c>
      <c r="F106" s="91">
        <f t="shared" ref="F106:F111" si="28">B106-C106</f>
        <v>-77085.669999999925</v>
      </c>
      <c r="G106" s="92">
        <f t="shared" ref="G106:G111" si="29">IF(C106&lt;&gt;0,(B106-C106)/C106)*100</f>
        <v>-7.8880255686993097</v>
      </c>
      <c r="H106" s="91">
        <f t="shared" ref="H106:H111" si="30">D106-E106</f>
        <v>-3332</v>
      </c>
      <c r="I106" s="92">
        <f t="shared" ref="I106:I111" si="31">IF(E106&lt;&gt;0,(D106-E106)/E106)*100</f>
        <v>-18.402739423395559</v>
      </c>
    </row>
    <row r="107" spans="1:9" ht="17.149999999999999" customHeight="1" x14ac:dyDescent="0.3">
      <c r="A107" s="119" t="s">
        <v>126</v>
      </c>
      <c r="B107" s="543">
        <f>464146059/1000</f>
        <v>464146.05900000001</v>
      </c>
      <c r="C107" s="543">
        <f>512726596/1000</f>
        <v>512726.59600000002</v>
      </c>
      <c r="D107" s="543">
        <v>6315</v>
      </c>
      <c r="E107" s="543">
        <v>7404</v>
      </c>
      <c r="F107" s="680">
        <f t="shared" si="28"/>
        <v>-48580.537000000011</v>
      </c>
      <c r="G107" s="681">
        <f t="shared" si="29"/>
        <v>-9.4749399346547669</v>
      </c>
      <c r="H107" s="680">
        <f t="shared" si="30"/>
        <v>-1089</v>
      </c>
      <c r="I107" s="681">
        <f t="shared" si="31"/>
        <v>-14.708265802269043</v>
      </c>
    </row>
    <row r="108" spans="1:9" ht="17.149999999999999" customHeight="1" x14ac:dyDescent="0.3">
      <c r="A108" s="119" t="s">
        <v>144</v>
      </c>
      <c r="B108" s="543">
        <f>42837335/1000</f>
        <v>42837.334999999999</v>
      </c>
      <c r="C108" s="543">
        <f>45131770/1000</f>
        <v>45131.77</v>
      </c>
      <c r="D108" s="543">
        <v>1259</v>
      </c>
      <c r="E108" s="543">
        <v>5301</v>
      </c>
      <c r="F108" s="680">
        <f t="shared" si="28"/>
        <v>-2294.4349999999977</v>
      </c>
      <c r="G108" s="681">
        <f t="shared" si="29"/>
        <v>-5.0838577791210007</v>
      </c>
      <c r="H108" s="680">
        <f t="shared" si="30"/>
        <v>-4042</v>
      </c>
      <c r="I108" s="681">
        <f t="shared" si="31"/>
        <v>-76.249764195434821</v>
      </c>
    </row>
    <row r="109" spans="1:9" ht="17.149999999999999" customHeight="1" x14ac:dyDescent="0.3">
      <c r="A109" s="120" t="s">
        <v>141</v>
      </c>
      <c r="B109" s="543">
        <f>148471649/1000</f>
        <v>148471.649</v>
      </c>
      <c r="C109" s="543">
        <f>179992222/1000</f>
        <v>179992.22200000001</v>
      </c>
      <c r="D109" s="543">
        <v>3579</v>
      </c>
      <c r="E109" s="543">
        <v>1505</v>
      </c>
      <c r="F109" s="680">
        <f t="shared" si="28"/>
        <v>-31520.573000000004</v>
      </c>
      <c r="G109" s="681">
        <f t="shared" si="29"/>
        <v>-17.512186165466641</v>
      </c>
      <c r="H109" s="680">
        <f t="shared" si="30"/>
        <v>2074</v>
      </c>
      <c r="I109" s="681">
        <f t="shared" si="31"/>
        <v>137.80730897009968</v>
      </c>
    </row>
    <row r="110" spans="1:9" ht="17.149999999999999" customHeight="1" x14ac:dyDescent="0.3">
      <c r="A110" s="119" t="s">
        <v>129</v>
      </c>
      <c r="B110" s="543">
        <f>244708528/1000</f>
        <v>244708.52799999999</v>
      </c>
      <c r="C110" s="543">
        <f>239398653/1000</f>
        <v>239398.65299999999</v>
      </c>
      <c r="D110" s="543">
        <v>3621</v>
      </c>
      <c r="E110" s="543">
        <v>3896</v>
      </c>
      <c r="F110" s="680">
        <f t="shared" si="28"/>
        <v>5309.875</v>
      </c>
      <c r="G110" s="681">
        <f t="shared" si="29"/>
        <v>2.2180053786685257</v>
      </c>
      <c r="H110" s="680">
        <f t="shared" si="30"/>
        <v>-275</v>
      </c>
      <c r="I110" s="681">
        <f t="shared" si="31"/>
        <v>-7.0585215605749489</v>
      </c>
    </row>
    <row r="111" spans="1:9" ht="17.149999999999999" customHeight="1" x14ac:dyDescent="0.3">
      <c r="A111" s="540" t="s">
        <v>130</v>
      </c>
      <c r="B111" s="543">
        <v>0</v>
      </c>
      <c r="C111" s="543">
        <v>0</v>
      </c>
      <c r="D111" s="543">
        <v>0</v>
      </c>
      <c r="E111" s="543">
        <v>0</v>
      </c>
      <c r="F111" s="680">
        <f t="shared" si="28"/>
        <v>0</v>
      </c>
      <c r="G111" s="681">
        <f t="shared" si="29"/>
        <v>0</v>
      </c>
      <c r="H111" s="680">
        <f t="shared" si="30"/>
        <v>0</v>
      </c>
      <c r="I111" s="681">
        <f t="shared" si="31"/>
        <v>0</v>
      </c>
    </row>
    <row r="112" spans="1:9" ht="17.149999999999999" customHeight="1" x14ac:dyDescent="0.3">
      <c r="A112" s="540"/>
      <c r="B112" s="684"/>
      <c r="C112" s="684"/>
      <c r="D112" s="684"/>
      <c r="E112" s="684"/>
      <c r="F112" s="544"/>
      <c r="G112" s="545"/>
      <c r="H112" s="544"/>
      <c r="I112" s="545"/>
    </row>
    <row r="113" spans="1:10" ht="17.149999999999999" customHeight="1" x14ac:dyDescent="0.3">
      <c r="A113" s="540"/>
      <c r="B113" s="684"/>
      <c r="C113" s="684"/>
      <c r="D113" s="684"/>
      <c r="E113" s="684"/>
      <c r="F113" s="544"/>
      <c r="G113" s="545"/>
      <c r="H113" s="544"/>
      <c r="I113" s="545"/>
    </row>
    <row r="114" spans="1:10" ht="17.149999999999999" customHeight="1" thickBot="1" x14ac:dyDescent="0.35">
      <c r="A114" s="540"/>
      <c r="B114" s="636"/>
      <c r="C114" s="636"/>
      <c r="D114" s="637"/>
      <c r="E114" s="637"/>
      <c r="F114" s="638"/>
      <c r="G114" s="639"/>
      <c r="H114" s="640"/>
      <c r="I114" s="641"/>
    </row>
    <row r="115" spans="1:10" ht="17.149999999999999" customHeight="1" thickBot="1" x14ac:dyDescent="0.35">
      <c r="A115" s="134" t="s">
        <v>131</v>
      </c>
      <c r="B115" s="104">
        <f>B106+B111</f>
        <v>900163.571</v>
      </c>
      <c r="C115" s="104">
        <f>C106+C111</f>
        <v>977249.24099999992</v>
      </c>
      <c r="D115" s="104">
        <f>D106+D111</f>
        <v>14774</v>
      </c>
      <c r="E115" s="104">
        <f>E106+E111</f>
        <v>18106</v>
      </c>
      <c r="F115" s="657">
        <f>B115-C115</f>
        <v>-77085.669999999925</v>
      </c>
      <c r="G115" s="625">
        <f>IF(C115&lt;&gt;0,(B115-C115)/C115)*100</f>
        <v>-7.8880255686993097</v>
      </c>
      <c r="H115" s="657">
        <f>D115-E115</f>
        <v>-3332</v>
      </c>
      <c r="I115" s="625">
        <f>IF(E115&lt;&gt;0,(D115-E115)/E115)*100</f>
        <v>-18.402739423395559</v>
      </c>
    </row>
    <row r="116" spans="1:10" ht="17.149999999999999" customHeight="1" thickBot="1" x14ac:dyDescent="0.35">
      <c r="A116" s="540"/>
      <c r="B116" s="121"/>
      <c r="C116" s="122"/>
      <c r="D116" s="122"/>
      <c r="E116" s="122"/>
      <c r="F116" s="123"/>
      <c r="G116" s="124"/>
      <c r="H116" s="123"/>
      <c r="I116" s="125"/>
    </row>
    <row r="117" spans="1:10" ht="17.149999999999999" customHeight="1" thickBot="1" x14ac:dyDescent="0.35">
      <c r="A117" s="134" t="s">
        <v>132</v>
      </c>
      <c r="B117" s="104">
        <f>B103+B115</f>
        <v>1791025.152</v>
      </c>
      <c r="C117" s="104">
        <f>C103+C115</f>
        <v>1796883.7169999999</v>
      </c>
      <c r="D117" s="104">
        <f>D103+D115</f>
        <v>19807</v>
      </c>
      <c r="E117" s="104">
        <f>E103+E115</f>
        <v>23835</v>
      </c>
      <c r="F117" s="104">
        <f>B117-C117</f>
        <v>-5858.5649999999441</v>
      </c>
      <c r="G117" s="105">
        <f>IF(C117&lt;&gt;0,(B117-C117)/C117)*100</f>
        <v>-0.32604029657417971</v>
      </c>
      <c r="H117" s="104">
        <f>D117-E117</f>
        <v>-4028</v>
      </c>
      <c r="I117" s="105">
        <f>IF(E117&lt;&gt;0,(D117-E117)/E117)*100</f>
        <v>-16.899517516257603</v>
      </c>
    </row>
    <row r="118" spans="1:10" thickBot="1" x14ac:dyDescent="0.3">
      <c r="A118" s="134" t="s">
        <v>132</v>
      </c>
      <c r="B118" s="104">
        <f t="shared" ref="B118:E118" si="32">B104+B116</f>
        <v>0</v>
      </c>
      <c r="C118" s="104">
        <f t="shared" si="32"/>
        <v>0</v>
      </c>
      <c r="D118" s="104">
        <f t="shared" si="32"/>
        <v>0</v>
      </c>
      <c r="E118" s="104">
        <f t="shared" si="32"/>
        <v>0</v>
      </c>
      <c r="F118" s="104">
        <f>B118-C118</f>
        <v>0</v>
      </c>
      <c r="G118" s="105">
        <f>IF(C118&lt;&gt;0,(B118-C118)/C118)*100</f>
        <v>0</v>
      </c>
      <c r="H118" s="104">
        <f>D118-E118</f>
        <v>0</v>
      </c>
      <c r="I118" s="105">
        <f>IF(E118&lt;&gt;0,(D118-E118)/E118)*100</f>
        <v>0</v>
      </c>
      <c r="J118"/>
    </row>
    <row r="119" spans="1:10" x14ac:dyDescent="0.3">
      <c r="J119"/>
    </row>
    <row r="120" spans="1:10" ht="15.5" x14ac:dyDescent="0.35">
      <c r="B120" s="217">
        <f t="shared" ref="B120:E122" si="33">B41-B69+B97</f>
        <v>0</v>
      </c>
      <c r="C120" s="217">
        <f t="shared" si="33"/>
        <v>0</v>
      </c>
      <c r="D120" s="217">
        <f t="shared" si="33"/>
        <v>0</v>
      </c>
      <c r="E120" s="217">
        <f t="shared" si="33"/>
        <v>0</v>
      </c>
      <c r="J120"/>
    </row>
    <row r="121" spans="1:10" ht="15.5" x14ac:dyDescent="0.35">
      <c r="B121" s="217">
        <f t="shared" si="33"/>
        <v>0</v>
      </c>
      <c r="C121" s="217">
        <f t="shared" si="33"/>
        <v>0</v>
      </c>
      <c r="D121" s="217">
        <f t="shared" si="33"/>
        <v>0</v>
      </c>
      <c r="E121" s="217">
        <f t="shared" si="33"/>
        <v>0</v>
      </c>
      <c r="J121"/>
    </row>
    <row r="122" spans="1:10" ht="15.5" x14ac:dyDescent="0.35">
      <c r="B122" s="217">
        <f t="shared" si="33"/>
        <v>0</v>
      </c>
      <c r="C122" s="217">
        <f t="shared" si="33"/>
        <v>0</v>
      </c>
      <c r="D122" s="217">
        <f t="shared" si="33"/>
        <v>0</v>
      </c>
      <c r="E122" s="217">
        <f t="shared" si="33"/>
        <v>0</v>
      </c>
      <c r="J122"/>
    </row>
    <row r="123" spans="1:10" ht="15.5" x14ac:dyDescent="0.35">
      <c r="B123" s="217">
        <f t="shared" ref="B123:E127" si="34">B45-B72+B100</f>
        <v>0</v>
      </c>
      <c r="C123" s="217">
        <f t="shared" si="34"/>
        <v>0</v>
      </c>
      <c r="D123" s="217">
        <f t="shared" si="34"/>
        <v>0</v>
      </c>
      <c r="E123" s="217">
        <f t="shared" si="34"/>
        <v>0</v>
      </c>
      <c r="J123"/>
    </row>
    <row r="124" spans="1:10" ht="15.5" x14ac:dyDescent="0.35">
      <c r="B124" s="217">
        <f t="shared" si="34"/>
        <v>0</v>
      </c>
      <c r="C124" s="217">
        <f t="shared" si="34"/>
        <v>0</v>
      </c>
      <c r="D124" s="217">
        <f t="shared" si="34"/>
        <v>0</v>
      </c>
      <c r="E124" s="217">
        <f t="shared" si="34"/>
        <v>0</v>
      </c>
      <c r="J124"/>
    </row>
    <row r="125" spans="1:10" ht="15.5" x14ac:dyDescent="0.35">
      <c r="B125" s="217">
        <f t="shared" si="34"/>
        <v>0</v>
      </c>
      <c r="C125" s="217">
        <f t="shared" si="34"/>
        <v>0</v>
      </c>
      <c r="D125" s="217">
        <f t="shared" si="34"/>
        <v>0</v>
      </c>
      <c r="E125" s="217">
        <f t="shared" si="34"/>
        <v>0</v>
      </c>
      <c r="J125"/>
    </row>
    <row r="126" spans="1:10" ht="15.5" x14ac:dyDescent="0.35">
      <c r="B126" s="217">
        <f t="shared" si="34"/>
        <v>0</v>
      </c>
      <c r="C126" s="217">
        <f t="shared" si="34"/>
        <v>0</v>
      </c>
      <c r="D126" s="217">
        <f t="shared" si="34"/>
        <v>0</v>
      </c>
      <c r="E126" s="217">
        <f t="shared" si="34"/>
        <v>0</v>
      </c>
      <c r="J126"/>
    </row>
    <row r="127" spans="1:10" ht="15.5" x14ac:dyDescent="0.35">
      <c r="B127" s="217">
        <f t="shared" si="34"/>
        <v>0</v>
      </c>
      <c r="C127" s="217">
        <f t="shared" si="34"/>
        <v>0</v>
      </c>
      <c r="D127" s="217">
        <f t="shared" si="34"/>
        <v>0</v>
      </c>
      <c r="E127" s="217">
        <f t="shared" si="34"/>
        <v>0</v>
      </c>
      <c r="J127"/>
    </row>
    <row r="128" spans="1:10" ht="15.5" x14ac:dyDescent="0.35">
      <c r="B128" s="217">
        <f t="shared" ref="B128:E140" si="35">B49-B77+B105</f>
        <v>0</v>
      </c>
      <c r="C128" s="217">
        <f t="shared" si="35"/>
        <v>0</v>
      </c>
      <c r="D128" s="217">
        <f t="shared" si="35"/>
        <v>0</v>
      </c>
      <c r="E128" s="217">
        <f t="shared" si="35"/>
        <v>0</v>
      </c>
      <c r="J128"/>
    </row>
    <row r="129" spans="1:5" customFormat="1" ht="15.5" x14ac:dyDescent="0.35">
      <c r="A129" s="347"/>
      <c r="B129" s="217">
        <f t="shared" si="35"/>
        <v>0</v>
      </c>
      <c r="C129" s="217">
        <f>C50-C78+C106</f>
        <v>0</v>
      </c>
      <c r="D129" s="217">
        <f t="shared" si="35"/>
        <v>0</v>
      </c>
      <c r="E129" s="217">
        <f t="shared" si="35"/>
        <v>0</v>
      </c>
    </row>
    <row r="130" spans="1:5" customFormat="1" ht="15.5" x14ac:dyDescent="0.35">
      <c r="A130" s="347"/>
      <c r="B130" s="217">
        <f t="shared" si="35"/>
        <v>0</v>
      </c>
      <c r="C130" s="217">
        <f t="shared" si="35"/>
        <v>0</v>
      </c>
      <c r="D130" s="217">
        <f t="shared" si="35"/>
        <v>0</v>
      </c>
      <c r="E130" s="217">
        <f t="shared" si="35"/>
        <v>0</v>
      </c>
    </row>
    <row r="131" spans="1:5" customFormat="1" ht="15.5" x14ac:dyDescent="0.35">
      <c r="A131" s="347"/>
      <c r="B131" s="217">
        <f t="shared" si="35"/>
        <v>0</v>
      </c>
      <c r="C131" s="217">
        <f t="shared" si="35"/>
        <v>0</v>
      </c>
      <c r="D131" s="217">
        <f t="shared" si="35"/>
        <v>0</v>
      </c>
      <c r="E131" s="217">
        <f t="shared" si="35"/>
        <v>0</v>
      </c>
    </row>
    <row r="132" spans="1:5" customFormat="1" ht="15.5" x14ac:dyDescent="0.35">
      <c r="A132" s="347"/>
      <c r="B132" s="217">
        <f t="shared" si="35"/>
        <v>0</v>
      </c>
      <c r="C132" s="217">
        <f t="shared" si="35"/>
        <v>0</v>
      </c>
      <c r="D132" s="217">
        <f t="shared" si="35"/>
        <v>0</v>
      </c>
      <c r="E132" s="217">
        <f t="shared" si="35"/>
        <v>0</v>
      </c>
    </row>
    <row r="133" spans="1:5" customFormat="1" ht="15.5" x14ac:dyDescent="0.35">
      <c r="A133" s="347"/>
      <c r="B133" s="217">
        <f t="shared" si="35"/>
        <v>0</v>
      </c>
      <c r="C133" s="217">
        <f t="shared" si="35"/>
        <v>0</v>
      </c>
      <c r="D133" s="217">
        <f t="shared" si="35"/>
        <v>0</v>
      </c>
      <c r="E133" s="217">
        <f t="shared" si="35"/>
        <v>0</v>
      </c>
    </row>
    <row r="134" spans="1:5" customFormat="1" ht="15.5" x14ac:dyDescent="0.35">
      <c r="A134" s="347"/>
      <c r="B134" s="217">
        <f t="shared" si="35"/>
        <v>0</v>
      </c>
      <c r="C134" s="217">
        <f>C55-C83+C111</f>
        <v>0</v>
      </c>
      <c r="D134" s="217">
        <f t="shared" si="35"/>
        <v>0</v>
      </c>
      <c r="E134" s="217">
        <f t="shared" si="35"/>
        <v>0</v>
      </c>
    </row>
    <row r="135" spans="1:5" customFormat="1" ht="15.5" x14ac:dyDescent="0.35">
      <c r="A135" s="347"/>
      <c r="B135" s="217">
        <f t="shared" si="35"/>
        <v>0</v>
      </c>
      <c r="C135" s="217">
        <f t="shared" si="35"/>
        <v>0</v>
      </c>
      <c r="D135" s="217">
        <f t="shared" si="35"/>
        <v>0</v>
      </c>
      <c r="E135" s="217">
        <f t="shared" si="35"/>
        <v>0</v>
      </c>
    </row>
    <row r="136" spans="1:5" customFormat="1" ht="15.5" x14ac:dyDescent="0.35">
      <c r="A136" s="347"/>
      <c r="B136" s="217">
        <f t="shared" si="35"/>
        <v>0</v>
      </c>
      <c r="C136" s="217">
        <f t="shared" si="35"/>
        <v>0</v>
      </c>
      <c r="D136" s="217">
        <f t="shared" si="35"/>
        <v>0</v>
      </c>
      <c r="E136" s="217">
        <f t="shared" si="35"/>
        <v>0</v>
      </c>
    </row>
    <row r="137" spans="1:5" customFormat="1" ht="15.5" x14ac:dyDescent="0.35">
      <c r="A137" s="347"/>
      <c r="B137" s="217">
        <f t="shared" si="35"/>
        <v>0</v>
      </c>
      <c r="C137" s="217">
        <f t="shared" si="35"/>
        <v>0</v>
      </c>
      <c r="D137" s="217">
        <f t="shared" si="35"/>
        <v>0</v>
      </c>
      <c r="E137" s="217">
        <f t="shared" si="35"/>
        <v>0</v>
      </c>
    </row>
    <row r="138" spans="1:5" customFormat="1" ht="15.5" x14ac:dyDescent="0.35">
      <c r="A138" s="347"/>
      <c r="B138" s="217">
        <f t="shared" si="35"/>
        <v>0</v>
      </c>
      <c r="C138" s="217">
        <f t="shared" si="35"/>
        <v>0</v>
      </c>
      <c r="D138" s="217">
        <f t="shared" si="35"/>
        <v>0</v>
      </c>
      <c r="E138" s="217">
        <f t="shared" si="35"/>
        <v>0</v>
      </c>
    </row>
    <row r="139" spans="1:5" customFormat="1" ht="15.5" x14ac:dyDescent="0.35">
      <c r="A139" s="347"/>
      <c r="B139" s="217">
        <f t="shared" si="35"/>
        <v>0</v>
      </c>
      <c r="C139" s="217">
        <f t="shared" si="35"/>
        <v>0</v>
      </c>
      <c r="D139" s="217">
        <f t="shared" si="35"/>
        <v>0</v>
      </c>
      <c r="E139" s="217">
        <f t="shared" si="35"/>
        <v>0</v>
      </c>
    </row>
    <row r="140" spans="1:5" customFormat="1" ht="15.5" x14ac:dyDescent="0.35">
      <c r="A140" s="347"/>
      <c r="B140" s="217">
        <f>B61-B89+B117</f>
        <v>0</v>
      </c>
      <c r="C140" s="217">
        <f t="shared" si="35"/>
        <v>0</v>
      </c>
      <c r="D140" s="217">
        <f t="shared" si="35"/>
        <v>0</v>
      </c>
      <c r="E140" s="217">
        <f t="shared" si="35"/>
        <v>0</v>
      </c>
    </row>
  </sheetData>
  <mergeCells count="49">
    <mergeCell ref="B92:C92"/>
    <mergeCell ref="F6:I6"/>
    <mergeCell ref="F7:G7"/>
    <mergeCell ref="H7:I7"/>
    <mergeCell ref="A3:E3"/>
    <mergeCell ref="B5:C5"/>
    <mergeCell ref="B6:C6"/>
    <mergeCell ref="D6:E6"/>
    <mergeCell ref="I8:I9"/>
    <mergeCell ref="B36:C36"/>
    <mergeCell ref="A37:A38"/>
    <mergeCell ref="F37:I37"/>
    <mergeCell ref="F38:G38"/>
    <mergeCell ref="H38:I38"/>
    <mergeCell ref="A8:A9"/>
    <mergeCell ref="B8:E9"/>
    <mergeCell ref="F8:F9"/>
    <mergeCell ref="G8:G9"/>
    <mergeCell ref="H8:H9"/>
    <mergeCell ref="B37:C37"/>
    <mergeCell ref="D37:E37"/>
    <mergeCell ref="F39:F40"/>
    <mergeCell ref="G39:G40"/>
    <mergeCell ref="H39:H40"/>
    <mergeCell ref="I39:I40"/>
    <mergeCell ref="B64:C64"/>
    <mergeCell ref="B39:E40"/>
    <mergeCell ref="A65:A66"/>
    <mergeCell ref="F65:I65"/>
    <mergeCell ref="F66:G66"/>
    <mergeCell ref="H66:I66"/>
    <mergeCell ref="B67:E68"/>
    <mergeCell ref="F67:F68"/>
    <mergeCell ref="G67:G68"/>
    <mergeCell ref="H67:H68"/>
    <mergeCell ref="I67:I68"/>
    <mergeCell ref="B65:C65"/>
    <mergeCell ref="D65:E65"/>
    <mergeCell ref="A93:A94"/>
    <mergeCell ref="F93:I93"/>
    <mergeCell ref="F94:G94"/>
    <mergeCell ref="H94:I94"/>
    <mergeCell ref="B95:E96"/>
    <mergeCell ref="F95:F96"/>
    <mergeCell ref="G95:G96"/>
    <mergeCell ref="H95:H96"/>
    <mergeCell ref="I95:I96"/>
    <mergeCell ref="B93:C93"/>
    <mergeCell ref="D93:E93"/>
  </mergeCells>
  <dataValidations disablePrompts="1" count="1">
    <dataValidation type="list" allowBlank="1" showInputMessage="1" showErrorMessage="1" sqref="WBR983045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B65600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B131136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B196672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B262208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B327744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B393280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B458816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B524352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B589888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B655424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B720960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B786496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B852032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B917568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B983104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B65628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B131164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B196700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B262236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B327772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B393308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B458844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B524380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B589916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B655452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B720988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B786524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B852060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B917596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B983132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VRV983045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VRV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BR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LN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WVJ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B5 B36 B64 B92" xr:uid="{00000000-0002-0000-1000-000000000000}">
      <formula1>#REF!</formula1>
    </dataValidation>
  </dataValidations>
  <pageMargins left="0.7" right="0.7" top="0.75" bottom="0.75" header="0.3" footer="0.3"/>
  <pageSetup paperSize="9" scale="43"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tabColor rgb="FFFF0000"/>
  </sheetPr>
  <dimension ref="A1:J140"/>
  <sheetViews>
    <sheetView showGridLines="0" view="pageBreakPreview" zoomScale="80" zoomScaleNormal="80" zoomScaleSheetLayoutView="80" workbookViewId="0">
      <selection activeCell="B12" sqref="B12"/>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0" ht="14" x14ac:dyDescent="0.3">
      <c r="A1" s="364" t="s">
        <v>101</v>
      </c>
      <c r="B1" s="66"/>
      <c r="C1" s="66"/>
      <c r="D1" s="66"/>
      <c r="E1" s="66"/>
      <c r="F1" s="66"/>
      <c r="G1" s="66"/>
      <c r="H1" s="66"/>
      <c r="I1" s="66"/>
      <c r="J1"/>
    </row>
    <row r="2" spans="1:10" ht="12.5" x14ac:dyDescent="0.25">
      <c r="A2" s="365"/>
      <c r="B2" s="66"/>
      <c r="C2" s="66"/>
      <c r="D2" s="66"/>
      <c r="E2" s="66"/>
      <c r="F2" s="66"/>
      <c r="G2" s="66"/>
      <c r="H2" s="66"/>
      <c r="I2" s="66"/>
      <c r="J2"/>
    </row>
    <row r="3" spans="1:10" ht="12.5" x14ac:dyDescent="0.25">
      <c r="A3" s="800" t="s">
        <v>151</v>
      </c>
      <c r="B3" s="800"/>
      <c r="C3" s="800"/>
      <c r="D3" s="800"/>
      <c r="E3" s="800"/>
      <c r="F3" s="66"/>
      <c r="G3" s="66"/>
      <c r="H3" s="66"/>
      <c r="I3" s="66"/>
      <c r="J3"/>
    </row>
    <row r="4" spans="1:10" ht="12.5" x14ac:dyDescent="0.25">
      <c r="A4" s="365"/>
      <c r="B4" s="66"/>
      <c r="C4" s="66"/>
      <c r="D4" s="66"/>
      <c r="E4" s="66"/>
      <c r="F4" s="66"/>
      <c r="G4" s="66"/>
      <c r="H4" s="66"/>
      <c r="I4" s="66"/>
      <c r="J4"/>
    </row>
    <row r="5" spans="1:10" ht="17.149999999999999" customHeight="1" thickBot="1" x14ac:dyDescent="0.35">
      <c r="A5" s="404" t="s">
        <v>103</v>
      </c>
      <c r="B5" s="836"/>
      <c r="C5" s="836"/>
      <c r="D5" s="68"/>
      <c r="E5" s="68"/>
      <c r="F5" s="66"/>
      <c r="G5" s="66"/>
      <c r="H5" s="66"/>
      <c r="I5" s="66"/>
    </row>
    <row r="6" spans="1:10" ht="17.149999999999999" customHeight="1" thickBot="1" x14ac:dyDescent="0.35">
      <c r="A6" s="69" t="s">
        <v>104</v>
      </c>
      <c r="B6" s="818" t="s">
        <v>105</v>
      </c>
      <c r="C6" s="819"/>
      <c r="D6" s="837" t="s">
        <v>106</v>
      </c>
      <c r="E6" s="838"/>
      <c r="F6" s="818" t="s">
        <v>107</v>
      </c>
      <c r="G6" s="832"/>
      <c r="H6" s="832"/>
      <c r="I6" s="819"/>
    </row>
    <row r="7" spans="1:10" ht="17.149999999999999" customHeight="1" thickBot="1" x14ac:dyDescent="0.35">
      <c r="A7" s="70" t="s">
        <v>108</v>
      </c>
      <c r="B7" s="324" t="s">
        <v>148</v>
      </c>
      <c r="C7" s="324" t="s">
        <v>149</v>
      </c>
      <c r="D7" s="324" t="s">
        <v>148</v>
      </c>
      <c r="E7" s="324" t="s">
        <v>149</v>
      </c>
      <c r="F7" s="818" t="s">
        <v>105</v>
      </c>
      <c r="G7" s="819"/>
      <c r="H7" s="818" t="s">
        <v>106</v>
      </c>
      <c r="I7" s="819"/>
    </row>
    <row r="8" spans="1:10" ht="17.149999999999999" customHeight="1" x14ac:dyDescent="0.3">
      <c r="A8" s="839" t="s">
        <v>109</v>
      </c>
      <c r="B8" s="826"/>
      <c r="C8" s="827"/>
      <c r="D8" s="827"/>
      <c r="E8" s="828"/>
      <c r="F8" s="828" t="s">
        <v>110</v>
      </c>
      <c r="G8" s="822" t="s">
        <v>111</v>
      </c>
      <c r="H8" s="822" t="s">
        <v>112</v>
      </c>
      <c r="I8" s="822" t="s">
        <v>111</v>
      </c>
    </row>
    <row r="9" spans="1:10" ht="17.149999999999999" customHeight="1" thickBot="1" x14ac:dyDescent="0.35">
      <c r="A9" s="840"/>
      <c r="B9" s="841"/>
      <c r="C9" s="842"/>
      <c r="D9" s="842"/>
      <c r="E9" s="843"/>
      <c r="F9" s="833"/>
      <c r="G9" s="834"/>
      <c r="H9" s="834"/>
      <c r="I9" s="834"/>
    </row>
    <row r="10" spans="1:10" ht="17.149999999999999" customHeight="1" thickBot="1" x14ac:dyDescent="0.35">
      <c r="A10" s="72" t="s">
        <v>113</v>
      </c>
      <c r="B10" s="405"/>
      <c r="C10" s="406"/>
      <c r="D10" s="406"/>
      <c r="E10" s="407"/>
      <c r="F10" s="76"/>
      <c r="G10" s="76"/>
      <c r="H10" s="76"/>
      <c r="I10" s="77"/>
    </row>
    <row r="11" spans="1:10" ht="17.149999999999999" customHeight="1" x14ac:dyDescent="0.3">
      <c r="A11" s="678" t="s">
        <v>114</v>
      </c>
      <c r="B11" s="78">
        <f>B12+B13+B17</f>
        <v>0.29499999999999998</v>
      </c>
      <c r="C11" s="644">
        <v>0</v>
      </c>
      <c r="D11" s="78">
        <f>D12+D13+D17</f>
        <v>1</v>
      </c>
      <c r="E11" s="78">
        <f>E12+E13+E17</f>
        <v>0</v>
      </c>
      <c r="F11" s="78">
        <f>B11-C11</f>
        <v>0.29499999999999998</v>
      </c>
      <c r="G11" s="78">
        <f>IF(C11&lt;&gt;0,(B11-C11)/C11)*100</f>
        <v>0</v>
      </c>
      <c r="H11" s="78">
        <f>D11-E11</f>
        <v>1</v>
      </c>
      <c r="I11" s="79">
        <f>IF(E11&lt;&gt;0,(D11-E11)/E11)*100</f>
        <v>0</v>
      </c>
      <c r="J11" s="141">
        <v>1000</v>
      </c>
    </row>
    <row r="12" spans="1:10" ht="17.149999999999999" customHeight="1" x14ac:dyDescent="0.3">
      <c r="A12" s="678" t="s">
        <v>115</v>
      </c>
      <c r="B12" s="644">
        <v>0.29499999999999998</v>
      </c>
      <c r="C12" s="644">
        <v>0</v>
      </c>
      <c r="D12" s="644">
        <v>1</v>
      </c>
      <c r="E12" s="644">
        <v>0</v>
      </c>
      <c r="F12" s="646">
        <f t="shared" ref="F12:F19" si="0">B12-C12</f>
        <v>0.29499999999999998</v>
      </c>
      <c r="G12" s="647">
        <f>IF(C12&lt;&gt;0,(B12-C12)/C12)*100</f>
        <v>0</v>
      </c>
      <c r="H12" s="646">
        <f>D12-E12</f>
        <v>1</v>
      </c>
      <c r="I12" s="647">
        <f>IF(E12&lt;&gt;0,(D12-E12)/E12)*100</f>
        <v>0</v>
      </c>
    </row>
    <row r="13" spans="1:10" ht="17.149999999999999" customHeight="1" x14ac:dyDescent="0.3">
      <c r="A13" s="678" t="s">
        <v>116</v>
      </c>
      <c r="B13" s="646">
        <f>B14-B15-B16</f>
        <v>0</v>
      </c>
      <c r="C13" s="646">
        <f>C14-C15-C16</f>
        <v>0</v>
      </c>
      <c r="D13" s="648">
        <v>0</v>
      </c>
      <c r="E13" s="648">
        <v>0</v>
      </c>
      <c r="F13" s="646">
        <f t="shared" si="0"/>
        <v>0</v>
      </c>
      <c r="G13" s="647">
        <f>IF(C13&lt;&gt;0,(B13-C13)/C13)*100</f>
        <v>0</v>
      </c>
      <c r="H13" s="646">
        <f>D13-E13</f>
        <v>0</v>
      </c>
      <c r="I13" s="647">
        <f>IF(E13&lt;&gt;0,(D13-E13)/E13)*100</f>
        <v>0</v>
      </c>
    </row>
    <row r="14" spans="1:10" ht="17.149999999999999" customHeight="1" x14ac:dyDescent="0.3">
      <c r="A14" s="683" t="s">
        <v>117</v>
      </c>
      <c r="B14" s="663">
        <v>0</v>
      </c>
      <c r="C14" s="645">
        <v>0</v>
      </c>
      <c r="D14" s="644"/>
      <c r="E14" s="645"/>
      <c r="F14" s="646"/>
      <c r="G14" s="650"/>
      <c r="H14" s="646"/>
      <c r="I14" s="650"/>
    </row>
    <row r="15" spans="1:10" ht="17.149999999999999" customHeight="1" x14ac:dyDescent="0.3">
      <c r="A15" s="686" t="s">
        <v>118</v>
      </c>
      <c r="B15" s="689">
        <v>0</v>
      </c>
      <c r="C15" s="662">
        <v>0</v>
      </c>
      <c r="D15" s="644"/>
      <c r="E15" s="645"/>
      <c r="F15" s="646"/>
      <c r="G15" s="650"/>
      <c r="H15" s="646"/>
      <c r="I15" s="650"/>
    </row>
    <row r="16" spans="1:10" ht="17.149999999999999" customHeight="1" x14ac:dyDescent="0.3">
      <c r="A16" s="686" t="s">
        <v>119</v>
      </c>
      <c r="B16" s="690">
        <v>0</v>
      </c>
      <c r="C16" s="409">
        <v>0</v>
      </c>
      <c r="D16" s="691"/>
      <c r="E16" s="645"/>
      <c r="F16" s="646"/>
      <c r="G16" s="650"/>
      <c r="H16" s="646"/>
      <c r="I16" s="650"/>
    </row>
    <row r="17" spans="1:9" ht="17.149999999999999" customHeight="1" x14ac:dyDescent="0.3">
      <c r="A17" s="617" t="s">
        <v>120</v>
      </c>
      <c r="B17" s="692">
        <v>0</v>
      </c>
      <c r="C17" s="659">
        <v>0</v>
      </c>
      <c r="D17" s="644">
        <v>0</v>
      </c>
      <c r="E17" s="644">
        <v>0</v>
      </c>
      <c r="F17" s="646">
        <f t="shared" si="0"/>
        <v>0</v>
      </c>
      <c r="G17" s="647">
        <f>IF(C17&lt;&gt;0,(B17-C17)/C17)*100</f>
        <v>0</v>
      </c>
      <c r="H17" s="646">
        <f>D17-E17</f>
        <v>0</v>
      </c>
      <c r="I17" s="647">
        <f>IF(E17&lt;&gt;0,(D17-E17)/E17)*100</f>
        <v>0</v>
      </c>
    </row>
    <row r="18" spans="1:9" ht="17.149999999999999" customHeight="1" x14ac:dyDescent="0.3">
      <c r="A18" s="678" t="s">
        <v>121</v>
      </c>
      <c r="B18" s="693">
        <v>0</v>
      </c>
      <c r="C18" s="645">
        <v>0</v>
      </c>
      <c r="D18" s="644">
        <v>0</v>
      </c>
      <c r="E18" s="648">
        <v>0</v>
      </c>
      <c r="F18" s="646">
        <f t="shared" si="0"/>
        <v>0</v>
      </c>
      <c r="G18" s="647">
        <f>IF(C18&lt;&gt;0,(B18-C18)/C18)*100</f>
        <v>0</v>
      </c>
      <c r="H18" s="646">
        <f>D18-E18</f>
        <v>0</v>
      </c>
      <c r="I18" s="647">
        <f>IF(E18&lt;&gt;0,(D18-E18)/E18)*100</f>
        <v>0</v>
      </c>
    </row>
    <row r="19" spans="1:9" ht="17.149999999999999" customHeight="1" thickBot="1" x14ac:dyDescent="0.35">
      <c r="A19" s="619" t="s">
        <v>122</v>
      </c>
      <c r="B19" s="653">
        <v>0</v>
      </c>
      <c r="C19" s="654">
        <v>0</v>
      </c>
      <c r="D19" s="653">
        <v>0</v>
      </c>
      <c r="E19" s="654">
        <v>0</v>
      </c>
      <c r="F19" s="646">
        <f t="shared" si="0"/>
        <v>0</v>
      </c>
      <c r="G19" s="655">
        <f>IF(C19&lt;&gt;0,(B19-C19)/C19)*100</f>
        <v>0</v>
      </c>
      <c r="H19" s="646">
        <f>D19-E19</f>
        <v>0</v>
      </c>
      <c r="I19" s="655">
        <f>IF(E19&lt;&gt;0,(D19-E19)/E19)*100</f>
        <v>0</v>
      </c>
    </row>
    <row r="20" spans="1:9" ht="17.149999999999999" customHeight="1" thickBot="1" x14ac:dyDescent="0.35">
      <c r="A20" s="80" t="s">
        <v>123</v>
      </c>
      <c r="B20" s="81">
        <f>B11+B18+B19</f>
        <v>0.29499999999999998</v>
      </c>
      <c r="C20" s="82">
        <f>C11+C18+C19</f>
        <v>0</v>
      </c>
      <c r="D20" s="81">
        <f>D11+D18+D19</f>
        <v>1</v>
      </c>
      <c r="E20" s="82">
        <f>E11+E18+E19</f>
        <v>0</v>
      </c>
      <c r="F20" s="81">
        <f>F11+F18+F19</f>
        <v>0.29499999999999998</v>
      </c>
      <c r="G20" s="83">
        <f>IF(C20&lt;&gt;0,(B20-C20)/C20)*100</f>
        <v>0</v>
      </c>
      <c r="H20" s="81">
        <f>H11+H18+H19</f>
        <v>1</v>
      </c>
      <c r="I20" s="83">
        <f>IF(E20&lt;&gt;0,(D20-E20)/E20)*100</f>
        <v>0</v>
      </c>
    </row>
    <row r="21" spans="1:9" ht="17.149999999999999" customHeight="1" thickBot="1" x14ac:dyDescent="0.35">
      <c r="A21" s="84" t="s">
        <v>109</v>
      </c>
      <c r="B21" s="85"/>
      <c r="C21" s="85"/>
      <c r="D21" s="85"/>
      <c r="E21" s="85"/>
      <c r="F21" s="86"/>
      <c r="G21" s="86"/>
      <c r="H21" s="86"/>
      <c r="I21" s="87"/>
    </row>
    <row r="22" spans="1:9" ht="17.149999999999999" customHeight="1" x14ac:dyDescent="0.3">
      <c r="A22" s="547" t="s">
        <v>124</v>
      </c>
      <c r="B22" s="548"/>
      <c r="C22" s="549"/>
      <c r="D22" s="548"/>
      <c r="E22" s="549"/>
      <c r="F22" s="550"/>
      <c r="G22" s="551"/>
      <c r="H22" s="551"/>
      <c r="I22" s="552"/>
    </row>
    <row r="23" spans="1:9" ht="17.149999999999999" customHeight="1" x14ac:dyDescent="0.3">
      <c r="A23" s="678" t="s">
        <v>125</v>
      </c>
      <c r="B23" s="657">
        <f>SUM(B24:B27)</f>
        <v>0</v>
      </c>
      <c r="C23" s="624">
        <f>SUM(C24:C27)</f>
        <v>0</v>
      </c>
      <c r="D23" s="657">
        <f>SUM(D24:D27)</f>
        <v>0</v>
      </c>
      <c r="E23" s="624">
        <f>SUM(E24:E27)</f>
        <v>0</v>
      </c>
      <c r="F23" s="657">
        <f t="shared" ref="F23:F28" si="1">B23-C23</f>
        <v>0</v>
      </c>
      <c r="G23" s="625">
        <f t="shared" ref="G23:G28" si="2">IF(C23&lt;&gt;0,(B23-C23)/C23)*100</f>
        <v>0</v>
      </c>
      <c r="H23" s="657">
        <f t="shared" ref="H23:H28" si="3">D23-E23</f>
        <v>0</v>
      </c>
      <c r="I23" s="625">
        <f t="shared" ref="I23:I28" si="4">IF(E23&lt;&gt;0,(D23-E23)/E23)*100</f>
        <v>0</v>
      </c>
    </row>
    <row r="24" spans="1:9" ht="17.149999999999999" customHeight="1" x14ac:dyDescent="0.3">
      <c r="A24" s="678" t="s">
        <v>126</v>
      </c>
      <c r="B24" s="644">
        <v>0</v>
      </c>
      <c r="C24" s="644">
        <v>0</v>
      </c>
      <c r="D24" s="644">
        <v>0</v>
      </c>
      <c r="E24" s="644">
        <v>0</v>
      </c>
      <c r="F24" s="646">
        <f t="shared" si="1"/>
        <v>0</v>
      </c>
      <c r="G24" s="647">
        <f t="shared" si="2"/>
        <v>0</v>
      </c>
      <c r="H24" s="646">
        <f t="shared" si="3"/>
        <v>0</v>
      </c>
      <c r="I24" s="647">
        <f t="shared" si="4"/>
        <v>0</v>
      </c>
    </row>
    <row r="25" spans="1:9" ht="17.149999999999999" customHeight="1" x14ac:dyDescent="0.3">
      <c r="A25" s="678" t="s">
        <v>127</v>
      </c>
      <c r="B25" s="644">
        <v>0</v>
      </c>
      <c r="C25" s="644">
        <v>0</v>
      </c>
      <c r="D25" s="644">
        <v>0</v>
      </c>
      <c r="E25" s="644">
        <v>0</v>
      </c>
      <c r="F25" s="646">
        <f t="shared" si="1"/>
        <v>0</v>
      </c>
      <c r="G25" s="647">
        <f t="shared" si="2"/>
        <v>0</v>
      </c>
      <c r="H25" s="646">
        <f t="shared" si="3"/>
        <v>0</v>
      </c>
      <c r="I25" s="647">
        <f t="shared" si="4"/>
        <v>0</v>
      </c>
    </row>
    <row r="26" spans="1:9" ht="17.149999999999999" customHeight="1" x14ac:dyDescent="0.3">
      <c r="A26" s="626" t="s">
        <v>128</v>
      </c>
      <c r="B26" s="644">
        <v>0</v>
      </c>
      <c r="C26" s="644">
        <v>0</v>
      </c>
      <c r="D26" s="644">
        <v>0</v>
      </c>
      <c r="E26" s="644">
        <v>0</v>
      </c>
      <c r="F26" s="646">
        <f t="shared" si="1"/>
        <v>0</v>
      </c>
      <c r="G26" s="647">
        <f t="shared" si="2"/>
        <v>0</v>
      </c>
      <c r="H26" s="646">
        <f t="shared" si="3"/>
        <v>0</v>
      </c>
      <c r="I26" s="647">
        <f t="shared" si="4"/>
        <v>0</v>
      </c>
    </row>
    <row r="27" spans="1:9" ht="17.149999999999999" customHeight="1" x14ac:dyDescent="0.3">
      <c r="A27" s="678" t="s">
        <v>129</v>
      </c>
      <c r="B27" s="644">
        <v>0</v>
      </c>
      <c r="C27" s="644">
        <v>0</v>
      </c>
      <c r="D27" s="644">
        <v>0</v>
      </c>
      <c r="E27" s="644">
        <v>0</v>
      </c>
      <c r="F27" s="646">
        <f t="shared" si="1"/>
        <v>0</v>
      </c>
      <c r="G27" s="647">
        <f t="shared" si="2"/>
        <v>0</v>
      </c>
      <c r="H27" s="646">
        <f t="shared" si="3"/>
        <v>0</v>
      </c>
      <c r="I27" s="647">
        <f t="shared" si="4"/>
        <v>0</v>
      </c>
    </row>
    <row r="28" spans="1:9" ht="17.149999999999999" customHeight="1" x14ac:dyDescent="0.3">
      <c r="A28" s="678" t="s">
        <v>130</v>
      </c>
      <c r="B28" s="644">
        <v>0</v>
      </c>
      <c r="C28" s="644">
        <v>0</v>
      </c>
      <c r="D28" s="644">
        <v>0</v>
      </c>
      <c r="E28" s="644">
        <v>0</v>
      </c>
      <c r="F28" s="646">
        <f t="shared" si="1"/>
        <v>0</v>
      </c>
      <c r="G28" s="647">
        <f t="shared" si="2"/>
        <v>0</v>
      </c>
      <c r="H28" s="646">
        <f t="shared" si="3"/>
        <v>0</v>
      </c>
      <c r="I28" s="647">
        <f t="shared" si="4"/>
        <v>0</v>
      </c>
    </row>
    <row r="29" spans="1:9" ht="17.149999999999999" customHeight="1" x14ac:dyDescent="0.3">
      <c r="A29" s="678"/>
      <c r="B29" s="627">
        <v>0</v>
      </c>
      <c r="C29" s="628">
        <v>0</v>
      </c>
      <c r="D29" s="627"/>
      <c r="E29" s="628"/>
      <c r="F29" s="657"/>
      <c r="G29" s="625"/>
      <c r="H29" s="624"/>
      <c r="I29" s="629"/>
    </row>
    <row r="30" spans="1:9" ht="17.149999999999999" customHeight="1" x14ac:dyDescent="0.3">
      <c r="A30" s="678"/>
      <c r="B30" s="627"/>
      <c r="C30" s="628"/>
      <c r="D30" s="627"/>
      <c r="E30" s="628"/>
      <c r="F30" s="657"/>
      <c r="G30" s="625"/>
      <c r="H30" s="624"/>
      <c r="I30" s="629"/>
    </row>
    <row r="31" spans="1:9" ht="17.149999999999999" customHeight="1" thickBot="1" x14ac:dyDescent="0.35">
      <c r="A31" s="88" t="s">
        <v>109</v>
      </c>
      <c r="B31" s="630"/>
      <c r="C31" s="631"/>
      <c r="D31" s="630"/>
      <c r="E31" s="631"/>
      <c r="F31" s="632"/>
      <c r="G31" s="633"/>
      <c r="H31" s="634"/>
      <c r="I31" s="635"/>
    </row>
    <row r="32" spans="1:9" ht="17.149999999999999" customHeight="1" thickBot="1" x14ac:dyDescent="0.35">
      <c r="A32" s="89" t="s">
        <v>131</v>
      </c>
      <c r="B32" s="90">
        <f>B23+B28</f>
        <v>0</v>
      </c>
      <c r="C32" s="91">
        <f>C23+C28</f>
        <v>0</v>
      </c>
      <c r="D32" s="90">
        <f>D23+D28</f>
        <v>0</v>
      </c>
      <c r="E32" s="91">
        <f>E23+E28</f>
        <v>0</v>
      </c>
      <c r="F32" s="91">
        <f>B32-C32</f>
        <v>0</v>
      </c>
      <c r="G32" s="92">
        <f>IF(C32&lt;&gt;0,(B32-C32)/C32)*100</f>
        <v>0</v>
      </c>
      <c r="H32" s="91">
        <f>D32-E32</f>
        <v>0</v>
      </c>
      <c r="I32" s="92">
        <f>IF(E32&lt;&gt;0,(D32-E32)/E32)*100</f>
        <v>0</v>
      </c>
    </row>
    <row r="33" spans="1:9" ht="17.149999999999999" customHeight="1" thickBot="1" x14ac:dyDescent="0.35">
      <c r="A33" s="93" t="s">
        <v>132</v>
      </c>
      <c r="B33" s="90">
        <f>B20+B32</f>
        <v>0.29499999999999998</v>
      </c>
      <c r="C33" s="91">
        <f>C20+C32</f>
        <v>0</v>
      </c>
      <c r="D33" s="90">
        <f>D20+D32</f>
        <v>1</v>
      </c>
      <c r="E33" s="91">
        <f>E20+E32</f>
        <v>0</v>
      </c>
      <c r="F33" s="91">
        <f>B33-C33</f>
        <v>0.29499999999999998</v>
      </c>
      <c r="G33" s="92">
        <f>IF(C33&lt;&gt;0,(B33-C33)/C33)*100</f>
        <v>0</v>
      </c>
      <c r="H33" s="91">
        <f>D33-E33</f>
        <v>1</v>
      </c>
      <c r="I33" s="92">
        <f>IF(E33&lt;&gt;0,(D33-E33)/E33)*100</f>
        <v>0</v>
      </c>
    </row>
    <row r="34" spans="1:9" ht="17.149999999999999" customHeight="1" x14ac:dyDescent="0.3">
      <c r="A34" s="94"/>
      <c r="B34" s="94"/>
      <c r="C34" s="94"/>
      <c r="D34" s="94"/>
      <c r="E34" s="94"/>
      <c r="F34" s="95"/>
      <c r="G34" s="95"/>
      <c r="H34" s="95"/>
      <c r="I34" s="95"/>
    </row>
    <row r="35" spans="1:9" ht="17.149999999999999" customHeight="1" x14ac:dyDescent="0.3">
      <c r="A35" s="68"/>
      <c r="B35" s="96"/>
      <c r="C35" s="97"/>
      <c r="D35" s="97"/>
      <c r="E35" s="97"/>
      <c r="F35" s="66"/>
      <c r="G35" s="66"/>
      <c r="H35" s="66"/>
      <c r="I35" s="66"/>
    </row>
    <row r="36" spans="1:9" ht="17.149999999999999" customHeight="1" thickBot="1" x14ac:dyDescent="0.35">
      <c r="A36" s="404" t="s">
        <v>133</v>
      </c>
      <c r="B36" s="836"/>
      <c r="C36" s="836"/>
      <c r="D36" s="99"/>
      <c r="E36" s="99"/>
      <c r="F36" s="66"/>
      <c r="G36" s="66"/>
      <c r="H36" s="66"/>
      <c r="I36" s="66"/>
    </row>
    <row r="37" spans="1:9" ht="17.149999999999999" customHeight="1" thickBot="1" x14ac:dyDescent="0.35">
      <c r="A37" s="822" t="s">
        <v>134</v>
      </c>
      <c r="B37" s="818" t="s">
        <v>105</v>
      </c>
      <c r="C37" s="819"/>
      <c r="D37" s="818" t="s">
        <v>106</v>
      </c>
      <c r="E37" s="819"/>
      <c r="F37" s="804" t="s">
        <v>107</v>
      </c>
      <c r="G37" s="805"/>
      <c r="H37" s="805"/>
      <c r="I37" s="806"/>
    </row>
    <row r="38" spans="1:9" ht="17.149999999999999" customHeight="1" thickBot="1" x14ac:dyDescent="0.35">
      <c r="A38" s="823"/>
      <c r="B38" s="324" t="s">
        <v>148</v>
      </c>
      <c r="C38" s="324" t="s">
        <v>149</v>
      </c>
      <c r="D38" s="324" t="s">
        <v>148</v>
      </c>
      <c r="E38" s="324" t="s">
        <v>149</v>
      </c>
      <c r="F38" s="804" t="s">
        <v>105</v>
      </c>
      <c r="G38" s="806"/>
      <c r="H38" s="804" t="s">
        <v>106</v>
      </c>
      <c r="I38" s="806"/>
    </row>
    <row r="39" spans="1:9" ht="17.149999999999999" customHeight="1" x14ac:dyDescent="0.3">
      <c r="A39" s="100"/>
      <c r="B39" s="826"/>
      <c r="C39" s="827"/>
      <c r="D39" s="827"/>
      <c r="E39" s="828"/>
      <c r="F39" s="814" t="s">
        <v>110</v>
      </c>
      <c r="G39" s="816" t="s">
        <v>111</v>
      </c>
      <c r="H39" s="816" t="s">
        <v>112</v>
      </c>
      <c r="I39" s="816" t="s">
        <v>111</v>
      </c>
    </row>
    <row r="40" spans="1:9" ht="17.149999999999999" customHeight="1" thickBot="1" x14ac:dyDescent="0.35">
      <c r="A40" s="101" t="s">
        <v>113</v>
      </c>
      <c r="B40" s="829"/>
      <c r="C40" s="830"/>
      <c r="D40" s="830"/>
      <c r="E40" s="831"/>
      <c r="F40" s="815"/>
      <c r="G40" s="817"/>
      <c r="H40" s="817"/>
      <c r="I40" s="817"/>
    </row>
    <row r="41" spans="1:9" ht="17.149999999999999" customHeight="1" thickBot="1" x14ac:dyDescent="0.35">
      <c r="A41" s="102" t="s">
        <v>135</v>
      </c>
      <c r="B41" s="103">
        <f>B42+B43+B45</f>
        <v>2.2440000000000002</v>
      </c>
      <c r="C41" s="104">
        <f>C42+C43+C45</f>
        <v>0</v>
      </c>
      <c r="D41" s="104">
        <f>D42+D43+D45</f>
        <v>4</v>
      </c>
      <c r="E41" s="104">
        <f>E42+E43+E45</f>
        <v>0</v>
      </c>
      <c r="F41" s="104">
        <f t="shared" ref="F41:F48" si="5">B41-C41</f>
        <v>2.2440000000000002</v>
      </c>
      <c r="G41" s="105">
        <f t="shared" ref="G41:G48" si="6">IF(C41&lt;&gt;0,(B41-C41)/C41)*100</f>
        <v>0</v>
      </c>
      <c r="H41" s="104">
        <f t="shared" ref="H41:H48" si="7">D41-E41</f>
        <v>4</v>
      </c>
      <c r="I41" s="105">
        <f t="shared" ref="I41:I48" si="8">IF(E41&lt;&gt;0,(D41-E41)/E41)*100</f>
        <v>0</v>
      </c>
    </row>
    <row r="42" spans="1:9" ht="17.149999999999999" customHeight="1" x14ac:dyDescent="0.3">
      <c r="A42" s="102" t="s">
        <v>136</v>
      </c>
      <c r="B42" s="659">
        <v>2.2440000000000002</v>
      </c>
      <c r="C42" s="659">
        <v>0</v>
      </c>
      <c r="D42" s="660">
        <v>4</v>
      </c>
      <c r="E42" s="660">
        <v>0</v>
      </c>
      <c r="F42" s="646">
        <f t="shared" si="5"/>
        <v>2.2440000000000002</v>
      </c>
      <c r="G42" s="647">
        <f t="shared" si="6"/>
        <v>0</v>
      </c>
      <c r="H42" s="646">
        <f t="shared" si="7"/>
        <v>4</v>
      </c>
      <c r="I42" s="647">
        <f t="shared" si="8"/>
        <v>0</v>
      </c>
    </row>
    <row r="43" spans="1:9" ht="17.149999999999999" customHeight="1" x14ac:dyDescent="0.3">
      <c r="A43" s="102" t="s">
        <v>116</v>
      </c>
      <c r="B43" s="659">
        <v>0</v>
      </c>
      <c r="C43" s="659">
        <v>0</v>
      </c>
      <c r="D43" s="660">
        <v>0</v>
      </c>
      <c r="E43" s="660">
        <v>0</v>
      </c>
      <c r="F43" s="646">
        <f t="shared" si="5"/>
        <v>0</v>
      </c>
      <c r="G43" s="647">
        <f t="shared" si="6"/>
        <v>0</v>
      </c>
      <c r="H43" s="646">
        <f t="shared" si="7"/>
        <v>0</v>
      </c>
      <c r="I43" s="647">
        <f t="shared" si="8"/>
        <v>0</v>
      </c>
    </row>
    <row r="44" spans="1:9" ht="17.149999999999999" customHeight="1" x14ac:dyDescent="0.3">
      <c r="A44" s="102" t="s">
        <v>137</v>
      </c>
      <c r="B44" s="659">
        <v>0</v>
      </c>
      <c r="C44" s="659">
        <v>0</v>
      </c>
      <c r="D44" s="660">
        <v>0</v>
      </c>
      <c r="E44" s="660">
        <v>0</v>
      </c>
      <c r="F44" s="646">
        <f t="shared" si="5"/>
        <v>0</v>
      </c>
      <c r="G44" s="647">
        <f t="shared" si="6"/>
        <v>0</v>
      </c>
      <c r="H44" s="646">
        <f t="shared" si="7"/>
        <v>0</v>
      </c>
      <c r="I44" s="647">
        <f t="shared" si="8"/>
        <v>0</v>
      </c>
    </row>
    <row r="45" spans="1:9" ht="17.149999999999999" customHeight="1" x14ac:dyDescent="0.3">
      <c r="A45" s="102" t="s">
        <v>143</v>
      </c>
      <c r="B45" s="659">
        <v>0</v>
      </c>
      <c r="C45" s="659">
        <v>0</v>
      </c>
      <c r="D45" s="660">
        <v>0</v>
      </c>
      <c r="E45" s="660">
        <v>0</v>
      </c>
      <c r="F45" s="646">
        <f t="shared" si="5"/>
        <v>0</v>
      </c>
      <c r="G45" s="647">
        <f t="shared" si="6"/>
        <v>0</v>
      </c>
      <c r="H45" s="646">
        <f t="shared" si="7"/>
        <v>0</v>
      </c>
      <c r="I45" s="647">
        <f t="shared" si="8"/>
        <v>0</v>
      </c>
    </row>
    <row r="46" spans="1:9" ht="17.149999999999999" customHeight="1" x14ac:dyDescent="0.3">
      <c r="A46" s="102" t="s">
        <v>139</v>
      </c>
      <c r="B46" s="659">
        <v>0</v>
      </c>
      <c r="C46" s="659">
        <v>0</v>
      </c>
      <c r="D46" s="660">
        <v>0</v>
      </c>
      <c r="E46" s="660">
        <v>0</v>
      </c>
      <c r="F46" s="646">
        <f t="shared" si="5"/>
        <v>0</v>
      </c>
      <c r="G46" s="647">
        <f t="shared" si="6"/>
        <v>0</v>
      </c>
      <c r="H46" s="646">
        <f t="shared" si="7"/>
        <v>0</v>
      </c>
      <c r="I46" s="647">
        <f t="shared" si="8"/>
        <v>0</v>
      </c>
    </row>
    <row r="47" spans="1:9" ht="17.149999999999999" customHeight="1" thickBot="1" x14ac:dyDescent="0.35">
      <c r="A47" s="102" t="s">
        <v>140</v>
      </c>
      <c r="B47" s="659">
        <v>0</v>
      </c>
      <c r="C47" s="659">
        <v>0</v>
      </c>
      <c r="D47" s="660">
        <v>0</v>
      </c>
      <c r="E47" s="660">
        <v>0</v>
      </c>
      <c r="F47" s="646">
        <f t="shared" si="5"/>
        <v>0</v>
      </c>
      <c r="G47" s="647">
        <f t="shared" si="6"/>
        <v>0</v>
      </c>
      <c r="H47" s="646">
        <f t="shared" si="7"/>
        <v>0</v>
      </c>
      <c r="I47" s="647">
        <f t="shared" si="8"/>
        <v>0</v>
      </c>
    </row>
    <row r="48" spans="1:9" ht="17.149999999999999" customHeight="1" thickBot="1" x14ac:dyDescent="0.35">
      <c r="A48" s="106" t="s">
        <v>123</v>
      </c>
      <c r="B48" s="91">
        <f>B41+B46+B47</f>
        <v>2.2440000000000002</v>
      </c>
      <c r="C48" s="91">
        <f>C41+C46+C47</f>
        <v>0</v>
      </c>
      <c r="D48" s="91">
        <f>D41+D46+D47</f>
        <v>4</v>
      </c>
      <c r="E48" s="91">
        <f>E41+E46+E47</f>
        <v>0</v>
      </c>
      <c r="F48" s="91">
        <f t="shared" si="5"/>
        <v>2.2440000000000002</v>
      </c>
      <c r="G48" s="92">
        <f t="shared" si="6"/>
        <v>0</v>
      </c>
      <c r="H48" s="91">
        <f t="shared" si="7"/>
        <v>4</v>
      </c>
      <c r="I48" s="92">
        <f t="shared" si="8"/>
        <v>0</v>
      </c>
    </row>
    <row r="49" spans="1:9" ht="17.149999999999999" customHeight="1" thickBot="1" x14ac:dyDescent="0.35">
      <c r="A49" s="101" t="s">
        <v>124</v>
      </c>
      <c r="B49" s="114"/>
      <c r="C49" s="115"/>
      <c r="D49" s="115"/>
      <c r="E49" s="115"/>
      <c r="F49" s="116"/>
      <c r="G49" s="117"/>
      <c r="H49" s="116"/>
      <c r="I49" s="124"/>
    </row>
    <row r="50" spans="1:9" ht="17.149999999999999" customHeight="1" thickBot="1" x14ac:dyDescent="0.35">
      <c r="A50" s="102" t="s">
        <v>125</v>
      </c>
      <c r="B50" s="103">
        <f>SUM(B51:B54)</f>
        <v>0.85799999999999998</v>
      </c>
      <c r="C50" s="104">
        <f>SUM(C51:C54)</f>
        <v>0</v>
      </c>
      <c r="D50" s="104">
        <f>SUM(D51:D54)</f>
        <v>6</v>
      </c>
      <c r="E50" s="104">
        <f>SUM(E51:E54)</f>
        <v>0</v>
      </c>
      <c r="F50" s="104">
        <f t="shared" ref="F50:F55" si="9">B50-C50</f>
        <v>0.85799999999999998</v>
      </c>
      <c r="G50" s="105">
        <f t="shared" ref="G50:G55" si="10">IF(C50&lt;&gt;0,(B50-C50)/C50)*100</f>
        <v>0</v>
      </c>
      <c r="H50" s="104">
        <f t="shared" ref="H50:H55" si="11">D50-E50</f>
        <v>6</v>
      </c>
      <c r="I50" s="105">
        <f t="shared" ref="I50:I55" si="12">IF(E50&lt;&gt;0,(D50-E50)/E50)*100</f>
        <v>0</v>
      </c>
    </row>
    <row r="51" spans="1:9" ht="17.149999999999999" customHeight="1" x14ac:dyDescent="0.3">
      <c r="A51" s="119" t="s">
        <v>126</v>
      </c>
      <c r="B51" s="659">
        <v>0.42899999999999999</v>
      </c>
      <c r="C51" s="659">
        <v>0</v>
      </c>
      <c r="D51" s="659">
        <v>3</v>
      </c>
      <c r="E51" s="659">
        <v>0</v>
      </c>
      <c r="F51" s="646">
        <f t="shared" si="9"/>
        <v>0.42899999999999999</v>
      </c>
      <c r="G51" s="647">
        <f t="shared" si="10"/>
        <v>0</v>
      </c>
      <c r="H51" s="646">
        <f t="shared" si="11"/>
        <v>3</v>
      </c>
      <c r="I51" s="647">
        <f t="shared" si="12"/>
        <v>0</v>
      </c>
    </row>
    <row r="52" spans="1:9" ht="17.149999999999999" customHeight="1" x14ac:dyDescent="0.3">
      <c r="A52" s="119" t="s">
        <v>127</v>
      </c>
      <c r="B52" s="659">
        <v>0</v>
      </c>
      <c r="C52" s="659">
        <v>0</v>
      </c>
      <c r="D52" s="659">
        <v>0</v>
      </c>
      <c r="E52" s="659">
        <v>0</v>
      </c>
      <c r="F52" s="646">
        <f t="shared" si="9"/>
        <v>0</v>
      </c>
      <c r="G52" s="647">
        <f t="shared" si="10"/>
        <v>0</v>
      </c>
      <c r="H52" s="646">
        <f t="shared" si="11"/>
        <v>0</v>
      </c>
      <c r="I52" s="647">
        <f t="shared" si="12"/>
        <v>0</v>
      </c>
    </row>
    <row r="53" spans="1:9" ht="17.149999999999999" customHeight="1" x14ac:dyDescent="0.3">
      <c r="A53" s="120" t="s">
        <v>141</v>
      </c>
      <c r="B53" s="659">
        <v>0</v>
      </c>
      <c r="C53" s="659">
        <v>0</v>
      </c>
      <c r="D53" s="659">
        <v>0</v>
      </c>
      <c r="E53" s="659">
        <v>0</v>
      </c>
      <c r="F53" s="646">
        <f t="shared" si="9"/>
        <v>0</v>
      </c>
      <c r="G53" s="647">
        <f t="shared" si="10"/>
        <v>0</v>
      </c>
      <c r="H53" s="646">
        <f t="shared" si="11"/>
        <v>0</v>
      </c>
      <c r="I53" s="647">
        <f t="shared" si="12"/>
        <v>0</v>
      </c>
    </row>
    <row r="54" spans="1:9" ht="17.149999999999999" customHeight="1" x14ac:dyDescent="0.3">
      <c r="A54" s="119" t="s">
        <v>129</v>
      </c>
      <c r="B54" s="659">
        <v>0.42899999999999999</v>
      </c>
      <c r="C54" s="659">
        <v>0</v>
      </c>
      <c r="D54" s="659">
        <v>3</v>
      </c>
      <c r="E54" s="659">
        <v>0</v>
      </c>
      <c r="F54" s="646">
        <f t="shared" si="9"/>
        <v>0.42899999999999999</v>
      </c>
      <c r="G54" s="647">
        <f t="shared" si="10"/>
        <v>0</v>
      </c>
      <c r="H54" s="646">
        <f t="shared" si="11"/>
        <v>3</v>
      </c>
      <c r="I54" s="647">
        <f t="shared" si="12"/>
        <v>0</v>
      </c>
    </row>
    <row r="55" spans="1:9" ht="17.149999999999999" customHeight="1" x14ac:dyDescent="0.3">
      <c r="A55" s="102" t="s">
        <v>130</v>
      </c>
      <c r="B55" s="659">
        <v>0</v>
      </c>
      <c r="C55" s="659">
        <v>0</v>
      </c>
      <c r="D55" s="659">
        <v>0</v>
      </c>
      <c r="E55" s="659">
        <v>0</v>
      </c>
      <c r="F55" s="646">
        <f t="shared" si="9"/>
        <v>0</v>
      </c>
      <c r="G55" s="647">
        <f t="shared" si="10"/>
        <v>0</v>
      </c>
      <c r="H55" s="646">
        <f t="shared" si="11"/>
        <v>0</v>
      </c>
      <c r="I55" s="647">
        <f t="shared" si="12"/>
        <v>0</v>
      </c>
    </row>
    <row r="56" spans="1:9" ht="17.149999999999999" customHeight="1" x14ac:dyDescent="0.3">
      <c r="A56" s="102"/>
      <c r="B56" s="645">
        <v>0</v>
      </c>
      <c r="C56" s="645">
        <v>0</v>
      </c>
      <c r="D56" s="645"/>
      <c r="E56" s="645"/>
      <c r="F56" s="666"/>
      <c r="G56" s="667"/>
      <c r="H56" s="666"/>
      <c r="I56" s="667"/>
    </row>
    <row r="57" spans="1:9" ht="17.149999999999999" customHeight="1" x14ac:dyDescent="0.3">
      <c r="A57" s="102"/>
      <c r="B57" s="645">
        <v>0</v>
      </c>
      <c r="C57" s="645">
        <v>0</v>
      </c>
      <c r="D57" s="645"/>
      <c r="E57" s="645"/>
      <c r="F57" s="666"/>
      <c r="G57" s="667"/>
      <c r="H57" s="666"/>
      <c r="I57" s="667"/>
    </row>
    <row r="58" spans="1:9" ht="17.149999999999999" customHeight="1" thickBot="1" x14ac:dyDescent="0.35">
      <c r="A58" s="102"/>
      <c r="B58" s="668"/>
      <c r="C58" s="668"/>
      <c r="D58" s="669"/>
      <c r="E58" s="669"/>
      <c r="F58" s="670"/>
      <c r="G58" s="671"/>
      <c r="H58" s="672"/>
      <c r="I58" s="673"/>
    </row>
    <row r="59" spans="1:9" ht="17.149999999999999" customHeight="1" thickBot="1" x14ac:dyDescent="0.35">
      <c r="A59" s="106" t="s">
        <v>131</v>
      </c>
      <c r="B59" s="103">
        <f>B50+B55</f>
        <v>0.85799999999999998</v>
      </c>
      <c r="C59" s="104">
        <f>C50+C55</f>
        <v>0</v>
      </c>
      <c r="D59" s="104">
        <f>D50+D55</f>
        <v>6</v>
      </c>
      <c r="E59" s="104">
        <f>E50+E55</f>
        <v>0</v>
      </c>
      <c r="F59" s="657">
        <f>B59-C59</f>
        <v>0.85799999999999998</v>
      </c>
      <c r="G59" s="625">
        <f>IF(C59&lt;&gt;0,(B59-C59)/C59)*100</f>
        <v>0</v>
      </c>
      <c r="H59" s="657">
        <f>D59-E59</f>
        <v>6</v>
      </c>
      <c r="I59" s="625">
        <f>IF(E59&lt;&gt;0,(D59-E59)/E59)*100</f>
        <v>0</v>
      </c>
    </row>
    <row r="60" spans="1:9" ht="17.149999999999999" customHeight="1" thickBot="1" x14ac:dyDescent="0.35">
      <c r="A60" s="102"/>
      <c r="B60" s="121"/>
      <c r="C60" s="122"/>
      <c r="D60" s="122"/>
      <c r="E60" s="122"/>
      <c r="F60" s="123"/>
      <c r="G60" s="124"/>
      <c r="H60" s="123"/>
      <c r="I60" s="125"/>
    </row>
    <row r="61" spans="1:9" ht="17.149999999999999" customHeight="1" thickBot="1" x14ac:dyDescent="0.35">
      <c r="A61" s="106" t="s">
        <v>132</v>
      </c>
      <c r="B61" s="103">
        <f>B48+B59</f>
        <v>3.1020000000000003</v>
      </c>
      <c r="C61" s="104">
        <f>C48+C59</f>
        <v>0</v>
      </c>
      <c r="D61" s="104">
        <f>D48+D59</f>
        <v>10</v>
      </c>
      <c r="E61" s="104">
        <f>E48+E59</f>
        <v>0</v>
      </c>
      <c r="F61" s="104">
        <f>B61-C61</f>
        <v>3.1020000000000003</v>
      </c>
      <c r="G61" s="105">
        <f>IF(C61&lt;&gt;0,(B61-C61)/C61)*100</f>
        <v>0</v>
      </c>
      <c r="H61" s="104">
        <f>D61-E61</f>
        <v>10</v>
      </c>
      <c r="I61" s="105">
        <f>IF(E61&lt;&gt;0,(D61-E61)/E61)*100</f>
        <v>0</v>
      </c>
    </row>
    <row r="62" spans="1:9" ht="17.149999999999999" customHeight="1" x14ac:dyDescent="0.3">
      <c r="A62" s="94"/>
      <c r="B62" s="94"/>
      <c r="C62" s="94"/>
      <c r="D62" s="94"/>
      <c r="E62" s="94"/>
      <c r="F62" s="95"/>
      <c r="G62" s="95"/>
      <c r="H62" s="95"/>
      <c r="I62" s="95"/>
    </row>
    <row r="63" spans="1:9" ht="17.149999999999999" customHeight="1" x14ac:dyDescent="0.3">
      <c r="A63" s="126"/>
      <c r="B63" s="127"/>
      <c r="C63" s="126"/>
      <c r="D63" s="126"/>
      <c r="E63" s="126"/>
      <c r="F63" s="66"/>
      <c r="G63" s="66"/>
      <c r="H63" s="66"/>
      <c r="I63" s="66"/>
    </row>
    <row r="64" spans="1:9" ht="17.149999999999999" customHeight="1" thickBot="1" x14ac:dyDescent="0.35">
      <c r="A64" s="404" t="s">
        <v>142</v>
      </c>
      <c r="B64" s="836"/>
      <c r="C64" s="836"/>
      <c r="D64" s="129"/>
      <c r="E64" s="129"/>
      <c r="F64" s="66"/>
      <c r="G64" s="66"/>
      <c r="H64" s="66"/>
      <c r="I64" s="66"/>
    </row>
    <row r="65" spans="1:9" ht="17.149999999999999" customHeight="1" thickBot="1" x14ac:dyDescent="0.35">
      <c r="A65" s="824" t="s">
        <v>134</v>
      </c>
      <c r="B65" s="820" t="s">
        <v>105</v>
      </c>
      <c r="C65" s="821"/>
      <c r="D65" s="820" t="s">
        <v>106</v>
      </c>
      <c r="E65" s="821"/>
      <c r="F65" s="804" t="s">
        <v>107</v>
      </c>
      <c r="G65" s="805"/>
      <c r="H65" s="805"/>
      <c r="I65" s="806"/>
    </row>
    <row r="66" spans="1:9" ht="17.149999999999999" customHeight="1" thickBot="1" x14ac:dyDescent="0.35">
      <c r="A66" s="825"/>
      <c r="B66" s="324" t="s">
        <v>148</v>
      </c>
      <c r="C66" s="324" t="s">
        <v>149</v>
      </c>
      <c r="D66" s="324" t="s">
        <v>148</v>
      </c>
      <c r="E66" s="324" t="s">
        <v>149</v>
      </c>
      <c r="F66" s="804" t="s">
        <v>105</v>
      </c>
      <c r="G66" s="806"/>
      <c r="H66" s="804" t="s">
        <v>106</v>
      </c>
      <c r="I66" s="806"/>
    </row>
    <row r="67" spans="1:9" ht="17.149999999999999" customHeight="1" x14ac:dyDescent="0.3">
      <c r="A67" s="130"/>
      <c r="B67" s="807"/>
      <c r="C67" s="808"/>
      <c r="D67" s="808"/>
      <c r="E67" s="809"/>
      <c r="F67" s="814" t="s">
        <v>110</v>
      </c>
      <c r="G67" s="816" t="s">
        <v>111</v>
      </c>
      <c r="H67" s="816" t="s">
        <v>112</v>
      </c>
      <c r="I67" s="816" t="s">
        <v>111</v>
      </c>
    </row>
    <row r="68" spans="1:9" ht="17.149999999999999" customHeight="1" thickBot="1" x14ac:dyDescent="0.35">
      <c r="A68" s="131" t="s">
        <v>113</v>
      </c>
      <c r="B68" s="810"/>
      <c r="C68" s="811"/>
      <c r="D68" s="811"/>
      <c r="E68" s="812"/>
      <c r="F68" s="815"/>
      <c r="G68" s="817"/>
      <c r="H68" s="817"/>
      <c r="I68" s="817"/>
    </row>
    <row r="69" spans="1:9" ht="17.149999999999999" customHeight="1" thickBot="1" x14ac:dyDescent="0.35">
      <c r="A69" s="132" t="s">
        <v>135</v>
      </c>
      <c r="B69" s="133">
        <f>B70+B71+B72</f>
        <v>2.2440000000000002</v>
      </c>
      <c r="C69" s="91">
        <f>C70+C71+C72</f>
        <v>0</v>
      </c>
      <c r="D69" s="91">
        <f>D70+D71+D72</f>
        <v>4</v>
      </c>
      <c r="E69" s="91">
        <f>E70+E71+E72</f>
        <v>0</v>
      </c>
      <c r="F69" s="91">
        <f t="shared" ref="F69:F75" si="13">B69-C69</f>
        <v>2.2440000000000002</v>
      </c>
      <c r="G69" s="92">
        <f t="shared" ref="G69:G75" si="14">IF(C69&lt;&gt;0,(B69-C69)/C69)*100</f>
        <v>0</v>
      </c>
      <c r="H69" s="91">
        <f t="shared" ref="H69:H75" si="15">D69-E69</f>
        <v>4</v>
      </c>
      <c r="I69" s="92">
        <f t="shared" ref="I69:I75" si="16">IF(E69&lt;&gt;0,(D69-E69)/E69)*100</f>
        <v>0</v>
      </c>
    </row>
    <row r="70" spans="1:9" ht="17.149999999999999" customHeight="1" x14ac:dyDescent="0.3">
      <c r="A70" s="132" t="s">
        <v>136</v>
      </c>
      <c r="B70" s="659">
        <f t="shared" ref="B70:E71" si="17">B42+B98</f>
        <v>2.2440000000000002</v>
      </c>
      <c r="C70" s="659">
        <f t="shared" si="17"/>
        <v>0</v>
      </c>
      <c r="D70" s="659">
        <f t="shared" si="17"/>
        <v>4</v>
      </c>
      <c r="E70" s="659">
        <f t="shared" si="17"/>
        <v>0</v>
      </c>
      <c r="F70" s="646">
        <f t="shared" si="13"/>
        <v>2.2440000000000002</v>
      </c>
      <c r="G70" s="647">
        <f t="shared" si="14"/>
        <v>0</v>
      </c>
      <c r="H70" s="646">
        <f t="shared" si="15"/>
        <v>4</v>
      </c>
      <c r="I70" s="647">
        <f t="shared" si="16"/>
        <v>0</v>
      </c>
    </row>
    <row r="71" spans="1:9" ht="17.149999999999999" customHeight="1" x14ac:dyDescent="0.3">
      <c r="A71" s="132" t="s">
        <v>116</v>
      </c>
      <c r="B71" s="659">
        <f t="shared" si="17"/>
        <v>0</v>
      </c>
      <c r="C71" s="659">
        <f t="shared" si="17"/>
        <v>0</v>
      </c>
      <c r="D71" s="659">
        <f t="shared" si="17"/>
        <v>0</v>
      </c>
      <c r="E71" s="659">
        <f t="shared" si="17"/>
        <v>0</v>
      </c>
      <c r="F71" s="646">
        <f t="shared" si="13"/>
        <v>0</v>
      </c>
      <c r="G71" s="647">
        <f t="shared" si="14"/>
        <v>0</v>
      </c>
      <c r="H71" s="646">
        <f t="shared" si="15"/>
        <v>0</v>
      </c>
      <c r="I71" s="647">
        <f t="shared" si="16"/>
        <v>0</v>
      </c>
    </row>
    <row r="72" spans="1:9" ht="17.149999999999999" customHeight="1" x14ac:dyDescent="0.3">
      <c r="A72" s="132" t="s">
        <v>143</v>
      </c>
      <c r="B72" s="659">
        <f>B45+B100</f>
        <v>0</v>
      </c>
      <c r="C72" s="659">
        <f t="shared" ref="C72:E74" si="18">C45+C100</f>
        <v>0</v>
      </c>
      <c r="D72" s="659">
        <f t="shared" si="18"/>
        <v>0</v>
      </c>
      <c r="E72" s="659">
        <f t="shared" si="18"/>
        <v>0</v>
      </c>
      <c r="F72" s="646">
        <f t="shared" si="13"/>
        <v>0</v>
      </c>
      <c r="G72" s="647">
        <f t="shared" si="14"/>
        <v>0</v>
      </c>
      <c r="H72" s="646">
        <f t="shared" si="15"/>
        <v>0</v>
      </c>
      <c r="I72" s="647">
        <f t="shared" si="16"/>
        <v>0</v>
      </c>
    </row>
    <row r="73" spans="1:9" ht="17.149999999999999" customHeight="1" x14ac:dyDescent="0.3">
      <c r="A73" s="132" t="s">
        <v>139</v>
      </c>
      <c r="B73" s="659">
        <f>B46+B101</f>
        <v>0</v>
      </c>
      <c r="C73" s="659">
        <f t="shared" si="18"/>
        <v>0</v>
      </c>
      <c r="D73" s="659">
        <f t="shared" si="18"/>
        <v>0</v>
      </c>
      <c r="E73" s="659">
        <f t="shared" si="18"/>
        <v>0</v>
      </c>
      <c r="F73" s="646">
        <f t="shared" si="13"/>
        <v>0</v>
      </c>
      <c r="G73" s="647">
        <f t="shared" si="14"/>
        <v>0</v>
      </c>
      <c r="H73" s="646">
        <f t="shared" si="15"/>
        <v>0</v>
      </c>
      <c r="I73" s="647">
        <f t="shared" si="16"/>
        <v>0</v>
      </c>
    </row>
    <row r="74" spans="1:9" ht="17.149999999999999" customHeight="1" thickBot="1" x14ac:dyDescent="0.35">
      <c r="A74" s="132" t="s">
        <v>140</v>
      </c>
      <c r="B74" s="659">
        <f>B47+B102</f>
        <v>0</v>
      </c>
      <c r="C74" s="659">
        <f t="shared" si="18"/>
        <v>0</v>
      </c>
      <c r="D74" s="659">
        <f t="shared" si="18"/>
        <v>0</v>
      </c>
      <c r="E74" s="659">
        <f t="shared" si="18"/>
        <v>0</v>
      </c>
      <c r="F74" s="646">
        <f t="shared" si="13"/>
        <v>0</v>
      </c>
      <c r="G74" s="647">
        <f t="shared" si="14"/>
        <v>0</v>
      </c>
      <c r="H74" s="646">
        <f t="shared" si="15"/>
        <v>0</v>
      </c>
      <c r="I74" s="647">
        <f t="shared" si="16"/>
        <v>0</v>
      </c>
    </row>
    <row r="75" spans="1:9" ht="17.149999999999999" customHeight="1" thickBot="1" x14ac:dyDescent="0.35">
      <c r="A75" s="134" t="s">
        <v>123</v>
      </c>
      <c r="B75" s="135">
        <f>B69+B73+B74</f>
        <v>2.2440000000000002</v>
      </c>
      <c r="C75" s="90">
        <f>C69+C73+C74</f>
        <v>0</v>
      </c>
      <c r="D75" s="90">
        <f>D69+D73+D74</f>
        <v>4</v>
      </c>
      <c r="E75" s="91">
        <f>E69+E73+E74</f>
        <v>0</v>
      </c>
      <c r="F75" s="82">
        <f t="shared" si="13"/>
        <v>2.2440000000000002</v>
      </c>
      <c r="G75" s="83">
        <f t="shared" si="14"/>
        <v>0</v>
      </c>
      <c r="H75" s="82">
        <f t="shared" si="15"/>
        <v>4</v>
      </c>
      <c r="I75" s="83">
        <f t="shared" si="16"/>
        <v>0</v>
      </c>
    </row>
    <row r="76" spans="1:9" ht="17.149999999999999" customHeight="1" x14ac:dyDescent="0.3">
      <c r="A76" s="136"/>
      <c r="B76" s="107"/>
      <c r="C76" s="108"/>
      <c r="D76" s="108"/>
      <c r="E76" s="108"/>
      <c r="F76" s="110"/>
      <c r="G76" s="110"/>
      <c r="H76" s="110"/>
      <c r="I76" s="137"/>
    </row>
    <row r="77" spans="1:9" ht="17.149999999999999" customHeight="1" thickBot="1" x14ac:dyDescent="0.35">
      <c r="A77" s="131" t="s">
        <v>124</v>
      </c>
      <c r="B77" s="114"/>
      <c r="C77" s="115"/>
      <c r="D77" s="115"/>
      <c r="E77" s="115"/>
      <c r="F77" s="116"/>
      <c r="G77" s="116"/>
      <c r="H77" s="116"/>
      <c r="I77" s="138"/>
    </row>
    <row r="78" spans="1:9" ht="17.149999999999999" customHeight="1" thickBot="1" x14ac:dyDescent="0.35">
      <c r="A78" s="132" t="s">
        <v>125</v>
      </c>
      <c r="B78" s="133">
        <f>SUM(B79:B82)</f>
        <v>0.85799999999999998</v>
      </c>
      <c r="C78" s="91">
        <f>SUM(C79:C82)</f>
        <v>0</v>
      </c>
      <c r="D78" s="91">
        <f>SUM(D79:D82)</f>
        <v>6</v>
      </c>
      <c r="E78" s="91">
        <f>SUM(E79:E82)</f>
        <v>0</v>
      </c>
      <c r="F78" s="91">
        <f t="shared" ref="F78:F83" si="19">B78-C78</f>
        <v>0.85799999999999998</v>
      </c>
      <c r="G78" s="92">
        <f t="shared" ref="G78:G83" si="20">IF(C78&lt;&gt;0,(B78-C78)/C78)*100</f>
        <v>0</v>
      </c>
      <c r="H78" s="91">
        <f t="shared" ref="H78:H83" si="21">D78-E78</f>
        <v>6</v>
      </c>
      <c r="I78" s="92">
        <f t="shared" ref="I78:I83" si="22">IF(E78&lt;&gt;0,(D78-E78)/E78)*100</f>
        <v>0</v>
      </c>
    </row>
    <row r="79" spans="1:9" ht="17.149999999999999" customHeight="1" x14ac:dyDescent="0.3">
      <c r="A79" s="119" t="s">
        <v>126</v>
      </c>
      <c r="B79" s="659">
        <f t="shared" ref="B79:E83" si="23">B51+B107</f>
        <v>0.42899999999999999</v>
      </c>
      <c r="C79" s="659">
        <f t="shared" si="23"/>
        <v>0</v>
      </c>
      <c r="D79" s="659">
        <f t="shared" si="23"/>
        <v>3</v>
      </c>
      <c r="E79" s="659">
        <f t="shared" si="23"/>
        <v>0</v>
      </c>
      <c r="F79" s="646">
        <f t="shared" si="19"/>
        <v>0.42899999999999999</v>
      </c>
      <c r="G79" s="647">
        <f t="shared" si="20"/>
        <v>0</v>
      </c>
      <c r="H79" s="646">
        <f t="shared" si="21"/>
        <v>3</v>
      </c>
      <c r="I79" s="647">
        <f t="shared" si="22"/>
        <v>0</v>
      </c>
    </row>
    <row r="80" spans="1:9" ht="17.149999999999999" customHeight="1" x14ac:dyDescent="0.3">
      <c r="A80" s="119" t="s">
        <v>144</v>
      </c>
      <c r="B80" s="645">
        <f t="shared" si="23"/>
        <v>0</v>
      </c>
      <c r="C80" s="645">
        <f t="shared" si="23"/>
        <v>0</v>
      </c>
      <c r="D80" s="645">
        <f t="shared" si="23"/>
        <v>0</v>
      </c>
      <c r="E80" s="645">
        <f t="shared" si="23"/>
        <v>0</v>
      </c>
      <c r="F80" s="646">
        <f t="shared" si="19"/>
        <v>0</v>
      </c>
      <c r="G80" s="647">
        <f t="shared" si="20"/>
        <v>0</v>
      </c>
      <c r="H80" s="646">
        <f t="shared" si="21"/>
        <v>0</v>
      </c>
      <c r="I80" s="647">
        <f t="shared" si="22"/>
        <v>0</v>
      </c>
    </row>
    <row r="81" spans="1:9" ht="17.149999999999999" customHeight="1" x14ac:dyDescent="0.3">
      <c r="A81" s="120" t="s">
        <v>141</v>
      </c>
      <c r="B81" s="659">
        <f t="shared" si="23"/>
        <v>0</v>
      </c>
      <c r="C81" s="659">
        <f t="shared" si="23"/>
        <v>0</v>
      </c>
      <c r="D81" s="659">
        <f t="shared" si="23"/>
        <v>0</v>
      </c>
      <c r="E81" s="659">
        <f t="shared" si="23"/>
        <v>0</v>
      </c>
      <c r="F81" s="646">
        <f t="shared" si="19"/>
        <v>0</v>
      </c>
      <c r="G81" s="647">
        <f t="shared" si="20"/>
        <v>0</v>
      </c>
      <c r="H81" s="646">
        <f t="shared" si="21"/>
        <v>0</v>
      </c>
      <c r="I81" s="647">
        <f t="shared" si="22"/>
        <v>0</v>
      </c>
    </row>
    <row r="82" spans="1:9" ht="17.149999999999999" customHeight="1" x14ac:dyDescent="0.3">
      <c r="A82" s="119" t="s">
        <v>129</v>
      </c>
      <c r="B82" s="659">
        <f t="shared" si="23"/>
        <v>0.42899999999999999</v>
      </c>
      <c r="C82" s="659">
        <f t="shared" si="23"/>
        <v>0</v>
      </c>
      <c r="D82" s="659">
        <f t="shared" si="23"/>
        <v>3</v>
      </c>
      <c r="E82" s="659">
        <f t="shared" si="23"/>
        <v>0</v>
      </c>
      <c r="F82" s="646">
        <f t="shared" si="19"/>
        <v>0.42899999999999999</v>
      </c>
      <c r="G82" s="647">
        <f t="shared" si="20"/>
        <v>0</v>
      </c>
      <c r="H82" s="646">
        <f t="shared" si="21"/>
        <v>3</v>
      </c>
      <c r="I82" s="647">
        <f t="shared" si="22"/>
        <v>0</v>
      </c>
    </row>
    <row r="83" spans="1:9" ht="17.149999999999999" customHeight="1" x14ac:dyDescent="0.3">
      <c r="A83" s="132" t="s">
        <v>130</v>
      </c>
      <c r="B83" s="659">
        <f t="shared" si="23"/>
        <v>0</v>
      </c>
      <c r="C83" s="659">
        <f t="shared" si="23"/>
        <v>0</v>
      </c>
      <c r="D83" s="659">
        <f t="shared" si="23"/>
        <v>0</v>
      </c>
      <c r="E83" s="659">
        <f t="shared" si="23"/>
        <v>0</v>
      </c>
      <c r="F83" s="646">
        <f t="shared" si="19"/>
        <v>0</v>
      </c>
      <c r="G83" s="647">
        <f t="shared" si="20"/>
        <v>0</v>
      </c>
      <c r="H83" s="646">
        <f t="shared" si="21"/>
        <v>0</v>
      </c>
      <c r="I83" s="647">
        <f t="shared" si="22"/>
        <v>0</v>
      </c>
    </row>
    <row r="84" spans="1:9" ht="17.149999999999999" customHeight="1" x14ac:dyDescent="0.3">
      <c r="A84" s="132"/>
      <c r="B84" s="659"/>
      <c r="C84" s="659"/>
      <c r="D84" s="659"/>
      <c r="E84" s="659"/>
      <c r="F84" s="666"/>
      <c r="G84" s="667"/>
      <c r="H84" s="666"/>
      <c r="I84" s="667"/>
    </row>
    <row r="85" spans="1:9" ht="17.149999999999999" customHeight="1" x14ac:dyDescent="0.3">
      <c r="A85" s="132"/>
      <c r="B85" s="659"/>
      <c r="C85" s="659"/>
      <c r="D85" s="659"/>
      <c r="E85" s="659"/>
      <c r="F85" s="666"/>
      <c r="G85" s="667"/>
      <c r="H85" s="666"/>
      <c r="I85" s="667"/>
    </row>
    <row r="86" spans="1:9" ht="17.149999999999999" customHeight="1" thickBot="1" x14ac:dyDescent="0.35">
      <c r="A86" s="132"/>
      <c r="B86" s="674"/>
      <c r="C86" s="668"/>
      <c r="D86" s="669"/>
      <c r="E86" s="669"/>
      <c r="F86" s="670"/>
      <c r="G86" s="671"/>
      <c r="H86" s="672"/>
      <c r="I86" s="673"/>
    </row>
    <row r="87" spans="1:9" ht="17.149999999999999" customHeight="1" thickBot="1" x14ac:dyDescent="0.35">
      <c r="A87" s="134" t="s">
        <v>131</v>
      </c>
      <c r="B87" s="103">
        <f>B78+B83</f>
        <v>0.85799999999999998</v>
      </c>
      <c r="C87" s="104">
        <f>C78+C83</f>
        <v>0</v>
      </c>
      <c r="D87" s="104">
        <f>D78+D83</f>
        <v>6</v>
      </c>
      <c r="E87" s="104">
        <f>E78+E83</f>
        <v>0</v>
      </c>
      <c r="F87" s="657">
        <f>B87-C87</f>
        <v>0.85799999999999998</v>
      </c>
      <c r="G87" s="625">
        <f>IF(C87&lt;&gt;0,(B87-C87)/C87)*100</f>
        <v>0</v>
      </c>
      <c r="H87" s="657">
        <f>D87-E87</f>
        <v>6</v>
      </c>
      <c r="I87" s="625">
        <f>IF(E87&lt;&gt;0,(D87-E87)/E87)*100</f>
        <v>0</v>
      </c>
    </row>
    <row r="88" spans="1:9" ht="17.149999999999999" customHeight="1" thickBot="1" x14ac:dyDescent="0.35">
      <c r="A88" s="132"/>
      <c r="B88" s="121"/>
      <c r="C88" s="122"/>
      <c r="D88" s="122"/>
      <c r="E88" s="122"/>
      <c r="F88" s="123"/>
      <c r="G88" s="124"/>
      <c r="H88" s="123"/>
      <c r="I88" s="125"/>
    </row>
    <row r="89" spans="1:9" ht="17.149999999999999" customHeight="1" thickBot="1" x14ac:dyDescent="0.35">
      <c r="A89" s="134" t="s">
        <v>132</v>
      </c>
      <c r="B89" s="139">
        <f>B75+B87</f>
        <v>3.1020000000000003</v>
      </c>
      <c r="C89" s="140">
        <f>C75+C87</f>
        <v>0</v>
      </c>
      <c r="D89" s="140">
        <f>D75+D87</f>
        <v>10</v>
      </c>
      <c r="E89" s="140">
        <f>E75+E87</f>
        <v>0</v>
      </c>
      <c r="F89" s="104">
        <f>B89-C89</f>
        <v>3.1020000000000003</v>
      </c>
      <c r="G89" s="105">
        <f>IF(C89&lt;&gt;0,(B89-C89)/C89)*100</f>
        <v>0</v>
      </c>
      <c r="H89" s="104">
        <f>D89-E89</f>
        <v>10</v>
      </c>
      <c r="I89" s="105">
        <f>IF(E89&lt;&gt;0,(D89-E89)/E89)*100</f>
        <v>0</v>
      </c>
    </row>
    <row r="90" spans="1:9" ht="17.149999999999999" customHeight="1" x14ac:dyDescent="0.3">
      <c r="A90" s="94"/>
      <c r="B90" s="94"/>
      <c r="C90" s="94"/>
      <c r="D90" s="94"/>
      <c r="E90" s="94"/>
    </row>
    <row r="91" spans="1:9" ht="17.149999999999999" customHeight="1" x14ac:dyDescent="0.3">
      <c r="A91" s="126"/>
      <c r="B91" s="97"/>
      <c r="C91" s="97"/>
      <c r="D91" s="97"/>
      <c r="E91" s="97"/>
    </row>
    <row r="92" spans="1:9" ht="17.149999999999999" customHeight="1" thickBot="1" x14ac:dyDescent="0.35">
      <c r="A92" s="404" t="s">
        <v>145</v>
      </c>
      <c r="B92" s="836"/>
      <c r="C92" s="836"/>
      <c r="D92" s="129"/>
      <c r="E92" s="129"/>
    </row>
    <row r="93" spans="1:9" ht="17.149999999999999" customHeight="1" thickBot="1" x14ac:dyDescent="0.35">
      <c r="A93" s="824" t="s">
        <v>134</v>
      </c>
      <c r="B93" s="820" t="s">
        <v>105</v>
      </c>
      <c r="C93" s="835"/>
      <c r="D93" s="820" t="s">
        <v>106</v>
      </c>
      <c r="E93" s="821"/>
      <c r="F93" s="804" t="s">
        <v>107</v>
      </c>
      <c r="G93" s="805"/>
      <c r="H93" s="805"/>
      <c r="I93" s="806"/>
    </row>
    <row r="94" spans="1:9" ht="17.149999999999999" customHeight="1" thickBot="1" x14ac:dyDescent="0.35">
      <c r="A94" s="825"/>
      <c r="B94" s="324" t="s">
        <v>148</v>
      </c>
      <c r="C94" s="324" t="s">
        <v>149</v>
      </c>
      <c r="D94" s="324" t="s">
        <v>148</v>
      </c>
      <c r="E94" s="324" t="s">
        <v>149</v>
      </c>
      <c r="F94" s="804" t="s">
        <v>105</v>
      </c>
      <c r="G94" s="806"/>
      <c r="H94" s="804" t="s">
        <v>106</v>
      </c>
      <c r="I94" s="806"/>
    </row>
    <row r="95" spans="1:9" ht="17.149999999999999" customHeight="1" x14ac:dyDescent="0.3">
      <c r="A95" s="130"/>
      <c r="B95" s="807"/>
      <c r="C95" s="808"/>
      <c r="D95" s="808"/>
      <c r="E95" s="809"/>
      <c r="F95" s="814" t="s">
        <v>110</v>
      </c>
      <c r="G95" s="816" t="s">
        <v>111</v>
      </c>
      <c r="H95" s="816" t="s">
        <v>112</v>
      </c>
      <c r="I95" s="816" t="s">
        <v>111</v>
      </c>
    </row>
    <row r="96" spans="1:9" ht="17.149999999999999" customHeight="1" thickBot="1" x14ac:dyDescent="0.35">
      <c r="A96" s="131" t="s">
        <v>113</v>
      </c>
      <c r="B96" s="810"/>
      <c r="C96" s="811"/>
      <c r="D96" s="811"/>
      <c r="E96" s="812"/>
      <c r="F96" s="815"/>
      <c r="G96" s="817"/>
      <c r="H96" s="817"/>
      <c r="I96" s="817"/>
    </row>
    <row r="97" spans="1:9" ht="17.149999999999999" customHeight="1" thickBot="1" x14ac:dyDescent="0.35">
      <c r="A97" s="132" t="s">
        <v>135</v>
      </c>
      <c r="B97" s="91">
        <f>B98+B99+B100</f>
        <v>0</v>
      </c>
      <c r="C97" s="91">
        <f>C98+C99+C100</f>
        <v>0</v>
      </c>
      <c r="D97" s="91">
        <f>D98+D99+D100</f>
        <v>0</v>
      </c>
      <c r="E97" s="91">
        <f>E98+E99+E100</f>
        <v>0</v>
      </c>
      <c r="F97" s="91">
        <f t="shared" ref="F97:F103" si="24">B97-C97</f>
        <v>0</v>
      </c>
      <c r="G97" s="92">
        <f t="shared" ref="G97:G103" si="25">IF(C97&lt;&gt;0,(B97-C97)/C97)*100</f>
        <v>0</v>
      </c>
      <c r="H97" s="91">
        <f t="shared" ref="H97:H103" si="26">D97-E97</f>
        <v>0</v>
      </c>
      <c r="I97" s="92">
        <f t="shared" ref="I97:I103" si="27">IF(E97&lt;&gt;0,(D97-E97)/E97)*100</f>
        <v>0</v>
      </c>
    </row>
    <row r="98" spans="1:9" ht="17.149999999999999" customHeight="1" x14ac:dyDescent="0.3">
      <c r="A98" s="132" t="s">
        <v>136</v>
      </c>
      <c r="B98" s="660">
        <v>0</v>
      </c>
      <c r="C98" s="660">
        <v>0</v>
      </c>
      <c r="D98" s="660">
        <v>0</v>
      </c>
      <c r="E98" s="660">
        <v>0</v>
      </c>
      <c r="F98" s="646">
        <f t="shared" si="24"/>
        <v>0</v>
      </c>
      <c r="G98" s="647">
        <f t="shared" si="25"/>
        <v>0</v>
      </c>
      <c r="H98" s="646">
        <f t="shared" si="26"/>
        <v>0</v>
      </c>
      <c r="I98" s="647">
        <f t="shared" si="27"/>
        <v>0</v>
      </c>
    </row>
    <row r="99" spans="1:9" ht="17.149999999999999" customHeight="1" x14ac:dyDescent="0.3">
      <c r="A99" s="132" t="s">
        <v>116</v>
      </c>
      <c r="B99" s="660">
        <v>0</v>
      </c>
      <c r="C99" s="660">
        <v>0</v>
      </c>
      <c r="D99" s="660">
        <v>0</v>
      </c>
      <c r="E99" s="660">
        <v>0</v>
      </c>
      <c r="F99" s="646">
        <f t="shared" si="24"/>
        <v>0</v>
      </c>
      <c r="G99" s="647">
        <f t="shared" si="25"/>
        <v>0</v>
      </c>
      <c r="H99" s="646">
        <f t="shared" si="26"/>
        <v>0</v>
      </c>
      <c r="I99" s="647">
        <f t="shared" si="27"/>
        <v>0</v>
      </c>
    </row>
    <row r="100" spans="1:9" ht="17.149999999999999" customHeight="1" x14ac:dyDescent="0.3">
      <c r="A100" s="132" t="s">
        <v>143</v>
      </c>
      <c r="B100" s="660">
        <v>0</v>
      </c>
      <c r="C100" s="660">
        <v>0</v>
      </c>
      <c r="D100" s="660">
        <v>0</v>
      </c>
      <c r="E100" s="660">
        <v>0</v>
      </c>
      <c r="F100" s="646">
        <f t="shared" si="24"/>
        <v>0</v>
      </c>
      <c r="G100" s="647">
        <f t="shared" si="25"/>
        <v>0</v>
      </c>
      <c r="H100" s="646">
        <f t="shared" si="26"/>
        <v>0</v>
      </c>
      <c r="I100" s="647">
        <f t="shared" si="27"/>
        <v>0</v>
      </c>
    </row>
    <row r="101" spans="1:9" ht="17.149999999999999" customHeight="1" x14ac:dyDescent="0.3">
      <c r="A101" s="132" t="s">
        <v>139</v>
      </c>
      <c r="B101" s="660">
        <v>0</v>
      </c>
      <c r="C101" s="660">
        <v>0</v>
      </c>
      <c r="D101" s="660">
        <v>0</v>
      </c>
      <c r="E101" s="660">
        <v>0</v>
      </c>
      <c r="F101" s="646">
        <f t="shared" si="24"/>
        <v>0</v>
      </c>
      <c r="G101" s="647">
        <f t="shared" si="25"/>
        <v>0</v>
      </c>
      <c r="H101" s="646">
        <f t="shared" si="26"/>
        <v>0</v>
      </c>
      <c r="I101" s="647">
        <f t="shared" si="27"/>
        <v>0</v>
      </c>
    </row>
    <row r="102" spans="1:9" ht="17.149999999999999" customHeight="1" thickBot="1" x14ac:dyDescent="0.35">
      <c r="A102" s="132" t="s">
        <v>140</v>
      </c>
      <c r="B102" s="660">
        <v>0</v>
      </c>
      <c r="C102" s="660">
        <v>0</v>
      </c>
      <c r="D102" s="660">
        <v>0</v>
      </c>
      <c r="E102" s="660">
        <v>0</v>
      </c>
      <c r="F102" s="646">
        <f t="shared" si="24"/>
        <v>0</v>
      </c>
      <c r="G102" s="647">
        <f t="shared" si="25"/>
        <v>0</v>
      </c>
      <c r="H102" s="646">
        <f t="shared" si="26"/>
        <v>0</v>
      </c>
      <c r="I102" s="647">
        <f t="shared" si="27"/>
        <v>0</v>
      </c>
    </row>
    <row r="103" spans="1:9" ht="17.149999999999999" customHeight="1" thickBot="1" x14ac:dyDescent="0.35">
      <c r="A103" s="134" t="s">
        <v>123</v>
      </c>
      <c r="B103" s="81">
        <f>B97+B101+B102</f>
        <v>0</v>
      </c>
      <c r="C103" s="81">
        <f>C97+C101+C102</f>
        <v>0</v>
      </c>
      <c r="D103" s="81">
        <f>D97+D101+D102</f>
        <v>0</v>
      </c>
      <c r="E103" s="82">
        <f>E97+E101+E102</f>
        <v>0</v>
      </c>
      <c r="F103" s="91">
        <f t="shared" si="24"/>
        <v>0</v>
      </c>
      <c r="G103" s="92">
        <f t="shared" si="25"/>
        <v>0</v>
      </c>
      <c r="H103" s="91">
        <f t="shared" si="26"/>
        <v>0</v>
      </c>
      <c r="I103" s="92">
        <f t="shared" si="27"/>
        <v>0</v>
      </c>
    </row>
    <row r="104" spans="1:9" ht="17.149999999999999" customHeight="1" x14ac:dyDescent="0.3">
      <c r="A104" s="142"/>
      <c r="B104" s="107"/>
      <c r="C104" s="108"/>
      <c r="D104" s="109"/>
      <c r="E104" s="108"/>
      <c r="F104" s="110"/>
      <c r="G104" s="111"/>
      <c r="H104" s="112"/>
      <c r="I104" s="113"/>
    </row>
    <row r="105" spans="1:9" ht="17.149999999999999" customHeight="1" thickBot="1" x14ac:dyDescent="0.35">
      <c r="A105" s="143" t="s">
        <v>124</v>
      </c>
      <c r="B105" s="114"/>
      <c r="C105" s="115"/>
      <c r="D105" s="115"/>
      <c r="E105" s="115"/>
      <c r="F105" s="116"/>
      <c r="G105" s="117"/>
      <c r="H105" s="116"/>
      <c r="I105" s="118"/>
    </row>
    <row r="106" spans="1:9" ht="17.149999999999999" customHeight="1" thickBot="1" x14ac:dyDescent="0.35">
      <c r="A106" s="132" t="s">
        <v>125</v>
      </c>
      <c r="B106" s="104">
        <f>SUM(B107:B110)</f>
        <v>0</v>
      </c>
      <c r="C106" s="104">
        <f>SUM(C107:C110)</f>
        <v>0</v>
      </c>
      <c r="D106" s="104">
        <f>SUM(D107:D110)</f>
        <v>0</v>
      </c>
      <c r="E106" s="104">
        <f>SUM(E107:E110)</f>
        <v>0</v>
      </c>
      <c r="F106" s="91">
        <f t="shared" ref="F106:F111" si="28">B106-C106</f>
        <v>0</v>
      </c>
      <c r="G106" s="92">
        <f t="shared" ref="G106:G111" si="29">IF(C106&lt;&gt;0,(B106-C106)/C106)*100</f>
        <v>0</v>
      </c>
      <c r="H106" s="91">
        <f t="shared" ref="H106:H111" si="30">D106-E106</f>
        <v>0</v>
      </c>
      <c r="I106" s="92">
        <f t="shared" ref="I106:I111" si="31">IF(E106&lt;&gt;0,(D106-E106)/E106)*100</f>
        <v>0</v>
      </c>
    </row>
    <row r="107" spans="1:9" ht="17.149999999999999" customHeight="1" x14ac:dyDescent="0.3">
      <c r="A107" s="119" t="s">
        <v>126</v>
      </c>
      <c r="B107" s="660">
        <v>0</v>
      </c>
      <c r="C107" s="660">
        <v>0</v>
      </c>
      <c r="D107" s="660">
        <v>0</v>
      </c>
      <c r="E107" s="660">
        <v>0</v>
      </c>
      <c r="F107" s="646">
        <f t="shared" si="28"/>
        <v>0</v>
      </c>
      <c r="G107" s="647">
        <f t="shared" si="29"/>
        <v>0</v>
      </c>
      <c r="H107" s="646">
        <f t="shared" si="30"/>
        <v>0</v>
      </c>
      <c r="I107" s="647">
        <f t="shared" si="31"/>
        <v>0</v>
      </c>
    </row>
    <row r="108" spans="1:9" ht="17.149999999999999" customHeight="1" x14ac:dyDescent="0.3">
      <c r="A108" s="119" t="s">
        <v>144</v>
      </c>
      <c r="B108" s="660">
        <v>0</v>
      </c>
      <c r="C108" s="660">
        <v>0</v>
      </c>
      <c r="D108" s="660">
        <v>0</v>
      </c>
      <c r="E108" s="660">
        <v>0</v>
      </c>
      <c r="F108" s="646">
        <f t="shared" si="28"/>
        <v>0</v>
      </c>
      <c r="G108" s="647">
        <f t="shared" si="29"/>
        <v>0</v>
      </c>
      <c r="H108" s="646">
        <f t="shared" si="30"/>
        <v>0</v>
      </c>
      <c r="I108" s="647">
        <f t="shared" si="31"/>
        <v>0</v>
      </c>
    </row>
    <row r="109" spans="1:9" ht="17.149999999999999" customHeight="1" x14ac:dyDescent="0.3">
      <c r="A109" s="120" t="s">
        <v>141</v>
      </c>
      <c r="B109" s="660">
        <v>0</v>
      </c>
      <c r="C109" s="660">
        <v>0</v>
      </c>
      <c r="D109" s="660">
        <v>0</v>
      </c>
      <c r="E109" s="660">
        <v>0</v>
      </c>
      <c r="F109" s="646">
        <f t="shared" si="28"/>
        <v>0</v>
      </c>
      <c r="G109" s="647">
        <f t="shared" si="29"/>
        <v>0</v>
      </c>
      <c r="H109" s="646">
        <f t="shared" si="30"/>
        <v>0</v>
      </c>
      <c r="I109" s="647">
        <f t="shared" si="31"/>
        <v>0</v>
      </c>
    </row>
    <row r="110" spans="1:9" ht="17.149999999999999" customHeight="1" x14ac:dyDescent="0.3">
      <c r="A110" s="119" t="s">
        <v>129</v>
      </c>
      <c r="B110" s="660">
        <v>0</v>
      </c>
      <c r="C110" s="660">
        <v>0</v>
      </c>
      <c r="D110" s="660">
        <v>0</v>
      </c>
      <c r="E110" s="660">
        <v>0</v>
      </c>
      <c r="F110" s="646">
        <f t="shared" si="28"/>
        <v>0</v>
      </c>
      <c r="G110" s="647">
        <f t="shared" si="29"/>
        <v>0</v>
      </c>
      <c r="H110" s="646">
        <f t="shared" si="30"/>
        <v>0</v>
      </c>
      <c r="I110" s="647">
        <f t="shared" si="31"/>
        <v>0</v>
      </c>
    </row>
    <row r="111" spans="1:9" ht="17.149999999999999" customHeight="1" x14ac:dyDescent="0.3">
      <c r="A111" s="132" t="s">
        <v>130</v>
      </c>
      <c r="B111" s="660">
        <v>0</v>
      </c>
      <c r="C111" s="660">
        <v>0</v>
      </c>
      <c r="D111" s="660">
        <v>0</v>
      </c>
      <c r="E111" s="660">
        <v>0</v>
      </c>
      <c r="F111" s="646">
        <f t="shared" si="28"/>
        <v>0</v>
      </c>
      <c r="G111" s="647">
        <f t="shared" si="29"/>
        <v>0</v>
      </c>
      <c r="H111" s="646">
        <f t="shared" si="30"/>
        <v>0</v>
      </c>
      <c r="I111" s="647">
        <f t="shared" si="31"/>
        <v>0</v>
      </c>
    </row>
    <row r="112" spans="1:9" ht="17.149999999999999" customHeight="1" x14ac:dyDescent="0.3">
      <c r="A112" s="132"/>
      <c r="B112" s="645">
        <v>0</v>
      </c>
      <c r="C112" s="645">
        <v>0</v>
      </c>
      <c r="D112" s="645"/>
      <c r="E112" s="645"/>
      <c r="F112" s="666"/>
      <c r="G112" s="667"/>
      <c r="H112" s="666"/>
      <c r="I112" s="667"/>
    </row>
    <row r="113" spans="1:10" ht="17.149999999999999" customHeight="1" x14ac:dyDescent="0.3">
      <c r="A113" s="132"/>
      <c r="B113" s="645">
        <v>0</v>
      </c>
      <c r="C113" s="645">
        <v>0</v>
      </c>
      <c r="D113" s="645"/>
      <c r="E113" s="645"/>
      <c r="F113" s="666"/>
      <c r="G113" s="667"/>
      <c r="H113" s="666"/>
      <c r="I113" s="667"/>
    </row>
    <row r="114" spans="1:10" ht="17.149999999999999" customHeight="1" thickBot="1" x14ac:dyDescent="0.35">
      <c r="A114" s="132"/>
      <c r="B114" s="668"/>
      <c r="C114" s="668"/>
      <c r="D114" s="669"/>
      <c r="E114" s="669"/>
      <c r="F114" s="670"/>
      <c r="G114" s="671"/>
      <c r="H114" s="672"/>
      <c r="I114" s="673"/>
    </row>
    <row r="115" spans="1:10" ht="17.149999999999999" customHeight="1" thickBot="1" x14ac:dyDescent="0.35">
      <c r="A115" s="134" t="s">
        <v>131</v>
      </c>
      <c r="B115" s="104">
        <f>B106+B111</f>
        <v>0</v>
      </c>
      <c r="C115" s="104">
        <f>C106+C111</f>
        <v>0</v>
      </c>
      <c r="D115" s="104">
        <f>D106+D111</f>
        <v>0</v>
      </c>
      <c r="E115" s="104">
        <f>E106+E111</f>
        <v>0</v>
      </c>
      <c r="F115" s="657">
        <f>B115-C115</f>
        <v>0</v>
      </c>
      <c r="G115" s="625">
        <f>IF(C115&lt;&gt;0,(B115-C115)/C115)*100</f>
        <v>0</v>
      </c>
      <c r="H115" s="657">
        <f>D115-E115</f>
        <v>0</v>
      </c>
      <c r="I115" s="625">
        <f>IF(E115&lt;&gt;0,(D115-E115)/E115)*100</f>
        <v>0</v>
      </c>
    </row>
    <row r="116" spans="1:10" ht="17.149999999999999" customHeight="1" thickBot="1" x14ac:dyDescent="0.35">
      <c r="A116" s="132"/>
      <c r="B116" s="121"/>
      <c r="C116" s="122"/>
      <c r="D116" s="122"/>
      <c r="E116" s="122"/>
      <c r="F116" s="123"/>
      <c r="G116" s="124"/>
      <c r="H116" s="123"/>
      <c r="I116" s="125"/>
    </row>
    <row r="117" spans="1:10" ht="17.149999999999999" customHeight="1" thickBot="1" x14ac:dyDescent="0.35">
      <c r="A117" s="134" t="s">
        <v>132</v>
      </c>
      <c r="B117" s="104">
        <f>B103+B115</f>
        <v>0</v>
      </c>
      <c r="C117" s="104">
        <f>C103+C115</f>
        <v>0</v>
      </c>
      <c r="D117" s="104">
        <f>D103+D115</f>
        <v>0</v>
      </c>
      <c r="E117" s="104">
        <f>E103+E115</f>
        <v>0</v>
      </c>
      <c r="F117" s="104">
        <f>B117-C117</f>
        <v>0</v>
      </c>
      <c r="G117" s="105">
        <f>IF(C117&lt;&gt;0,(B117-C117)/C117)*100</f>
        <v>0</v>
      </c>
      <c r="H117" s="104">
        <f>D117-E117</f>
        <v>0</v>
      </c>
      <c r="I117" s="105">
        <f>IF(E117&lt;&gt;0,(D117-E117)/E117)*100</f>
        <v>0</v>
      </c>
    </row>
    <row r="118" spans="1:10" x14ac:dyDescent="0.3">
      <c r="J118"/>
    </row>
    <row r="119" spans="1:10" x14ac:dyDescent="0.3">
      <c r="J119"/>
    </row>
    <row r="120" spans="1:10" ht="15.5" x14ac:dyDescent="0.35">
      <c r="B120" s="217">
        <f t="shared" ref="B120:E122" si="32">B41-B69+B97</f>
        <v>0</v>
      </c>
      <c r="C120" s="217">
        <f t="shared" si="32"/>
        <v>0</v>
      </c>
      <c r="D120" s="217">
        <f t="shared" si="32"/>
        <v>0</v>
      </c>
      <c r="E120" s="217">
        <f t="shared" si="32"/>
        <v>0</v>
      </c>
      <c r="J120"/>
    </row>
    <row r="121" spans="1:10" ht="15.5" x14ac:dyDescent="0.35">
      <c r="B121" s="217">
        <f t="shared" si="32"/>
        <v>0</v>
      </c>
      <c r="C121" s="217">
        <f t="shared" si="32"/>
        <v>0</v>
      </c>
      <c r="D121" s="217">
        <f t="shared" si="32"/>
        <v>0</v>
      </c>
      <c r="E121" s="217">
        <f t="shared" si="32"/>
        <v>0</v>
      </c>
      <c r="J121"/>
    </row>
    <row r="122" spans="1:10" ht="15.5" x14ac:dyDescent="0.35">
      <c r="B122" s="217">
        <f t="shared" si="32"/>
        <v>0</v>
      </c>
      <c r="C122" s="217">
        <f t="shared" si="32"/>
        <v>0</v>
      </c>
      <c r="D122" s="217">
        <f t="shared" si="32"/>
        <v>0</v>
      </c>
      <c r="E122" s="217">
        <f t="shared" si="32"/>
        <v>0</v>
      </c>
      <c r="J122"/>
    </row>
    <row r="123" spans="1:10" ht="15.5" x14ac:dyDescent="0.35">
      <c r="B123" s="217">
        <f t="shared" ref="B123:E127" si="33">B45-B72+B100</f>
        <v>0</v>
      </c>
      <c r="C123" s="217">
        <f t="shared" si="33"/>
        <v>0</v>
      </c>
      <c r="D123" s="217">
        <f t="shared" si="33"/>
        <v>0</v>
      </c>
      <c r="E123" s="217">
        <f t="shared" si="33"/>
        <v>0</v>
      </c>
      <c r="J123"/>
    </row>
    <row r="124" spans="1:10" ht="15.5" x14ac:dyDescent="0.35">
      <c r="B124" s="217">
        <f t="shared" si="33"/>
        <v>0</v>
      </c>
      <c r="C124" s="217">
        <f t="shared" si="33"/>
        <v>0</v>
      </c>
      <c r="D124" s="217">
        <f t="shared" si="33"/>
        <v>0</v>
      </c>
      <c r="E124" s="217">
        <f t="shared" si="33"/>
        <v>0</v>
      </c>
      <c r="J124"/>
    </row>
    <row r="125" spans="1:10" ht="15.5" x14ac:dyDescent="0.35">
      <c r="B125" s="217">
        <f t="shared" si="33"/>
        <v>0</v>
      </c>
      <c r="C125" s="217">
        <f t="shared" si="33"/>
        <v>0</v>
      </c>
      <c r="D125" s="217">
        <f t="shared" si="33"/>
        <v>0</v>
      </c>
      <c r="E125" s="217">
        <f t="shared" si="33"/>
        <v>0</v>
      </c>
      <c r="J125"/>
    </row>
    <row r="126" spans="1:10" ht="15.5" x14ac:dyDescent="0.35">
      <c r="B126" s="217">
        <f t="shared" si="33"/>
        <v>0</v>
      </c>
      <c r="C126" s="217">
        <f t="shared" si="33"/>
        <v>0</v>
      </c>
      <c r="D126" s="217">
        <f t="shared" si="33"/>
        <v>0</v>
      </c>
      <c r="E126" s="217">
        <f t="shared" si="33"/>
        <v>0</v>
      </c>
      <c r="J126"/>
    </row>
    <row r="127" spans="1:10" ht="15.5" x14ac:dyDescent="0.35">
      <c r="B127" s="217">
        <f t="shared" si="33"/>
        <v>0</v>
      </c>
      <c r="C127" s="217">
        <f t="shared" si="33"/>
        <v>0</v>
      </c>
      <c r="D127" s="217">
        <f t="shared" si="33"/>
        <v>0</v>
      </c>
      <c r="E127" s="217">
        <f t="shared" si="33"/>
        <v>0</v>
      </c>
      <c r="J127"/>
    </row>
    <row r="128" spans="1:10" ht="15.5" x14ac:dyDescent="0.35">
      <c r="B128" s="217">
        <f t="shared" ref="B128:E140" si="34">B49-B77+B105</f>
        <v>0</v>
      </c>
      <c r="C128" s="217">
        <f t="shared" si="34"/>
        <v>0</v>
      </c>
      <c r="D128" s="217">
        <f t="shared" si="34"/>
        <v>0</v>
      </c>
      <c r="E128" s="217">
        <f t="shared" si="34"/>
        <v>0</v>
      </c>
      <c r="J128"/>
    </row>
    <row r="129" spans="1:5" customFormat="1" ht="15.5" x14ac:dyDescent="0.35">
      <c r="A129" s="347"/>
      <c r="B129" s="217">
        <f t="shared" si="34"/>
        <v>0</v>
      </c>
      <c r="C129" s="217">
        <f>C50-C78+C106</f>
        <v>0</v>
      </c>
      <c r="D129" s="217">
        <f t="shared" si="34"/>
        <v>0</v>
      </c>
      <c r="E129" s="217">
        <f t="shared" si="34"/>
        <v>0</v>
      </c>
    </row>
    <row r="130" spans="1:5" customFormat="1" ht="15.5" x14ac:dyDescent="0.35">
      <c r="A130" s="347"/>
      <c r="B130" s="217">
        <f t="shared" si="34"/>
        <v>0</v>
      </c>
      <c r="C130" s="217">
        <f t="shared" si="34"/>
        <v>0</v>
      </c>
      <c r="D130" s="217">
        <f t="shared" si="34"/>
        <v>0</v>
      </c>
      <c r="E130" s="217">
        <f t="shared" si="34"/>
        <v>0</v>
      </c>
    </row>
    <row r="131" spans="1:5" customFormat="1" ht="15.5" x14ac:dyDescent="0.35">
      <c r="A131" s="347"/>
      <c r="B131" s="217">
        <f t="shared" si="34"/>
        <v>0</v>
      </c>
      <c r="C131" s="217">
        <f t="shared" si="34"/>
        <v>0</v>
      </c>
      <c r="D131" s="217">
        <f t="shared" si="34"/>
        <v>0</v>
      </c>
      <c r="E131" s="217">
        <f t="shared" si="34"/>
        <v>0</v>
      </c>
    </row>
    <row r="132" spans="1:5" customFormat="1" ht="15.5" x14ac:dyDescent="0.35">
      <c r="A132" s="347"/>
      <c r="B132" s="217">
        <f t="shared" si="34"/>
        <v>0</v>
      </c>
      <c r="C132" s="217">
        <f t="shared" si="34"/>
        <v>0</v>
      </c>
      <c r="D132" s="217">
        <f t="shared" si="34"/>
        <v>0</v>
      </c>
      <c r="E132" s="217">
        <f t="shared" si="34"/>
        <v>0</v>
      </c>
    </row>
    <row r="133" spans="1:5" customFormat="1" ht="15.5" x14ac:dyDescent="0.35">
      <c r="A133" s="347"/>
      <c r="B133" s="217">
        <f t="shared" si="34"/>
        <v>0</v>
      </c>
      <c r="C133" s="217">
        <f t="shared" si="34"/>
        <v>0</v>
      </c>
      <c r="D133" s="217">
        <f t="shared" si="34"/>
        <v>0</v>
      </c>
      <c r="E133" s="217">
        <f t="shared" si="34"/>
        <v>0</v>
      </c>
    </row>
    <row r="134" spans="1:5" customFormat="1" ht="15.5" x14ac:dyDescent="0.35">
      <c r="A134" s="347"/>
      <c r="B134" s="217">
        <f t="shared" si="34"/>
        <v>0</v>
      </c>
      <c r="C134" s="217">
        <f>C55-C83+C111</f>
        <v>0</v>
      </c>
      <c r="D134" s="217">
        <f t="shared" si="34"/>
        <v>0</v>
      </c>
      <c r="E134" s="217">
        <f t="shared" si="34"/>
        <v>0</v>
      </c>
    </row>
    <row r="135" spans="1:5" customFormat="1" ht="15.5" x14ac:dyDescent="0.35">
      <c r="A135" s="347"/>
      <c r="B135" s="217">
        <f t="shared" si="34"/>
        <v>0</v>
      </c>
      <c r="C135" s="217">
        <f t="shared" si="34"/>
        <v>0</v>
      </c>
      <c r="D135" s="217">
        <f t="shared" si="34"/>
        <v>0</v>
      </c>
      <c r="E135" s="217">
        <f t="shared" si="34"/>
        <v>0</v>
      </c>
    </row>
    <row r="136" spans="1:5" customFormat="1" ht="15.5" x14ac:dyDescent="0.35">
      <c r="A136" s="347"/>
      <c r="B136" s="217">
        <f t="shared" si="34"/>
        <v>0</v>
      </c>
      <c r="C136" s="217">
        <f t="shared" si="34"/>
        <v>0</v>
      </c>
      <c r="D136" s="217">
        <f t="shared" si="34"/>
        <v>0</v>
      </c>
      <c r="E136" s="217">
        <f t="shared" si="34"/>
        <v>0</v>
      </c>
    </row>
    <row r="137" spans="1:5" customFormat="1" ht="15.5" x14ac:dyDescent="0.35">
      <c r="A137" s="347"/>
      <c r="B137" s="217">
        <f t="shared" si="34"/>
        <v>0</v>
      </c>
      <c r="C137" s="217">
        <f t="shared" si="34"/>
        <v>0</v>
      </c>
      <c r="D137" s="217">
        <f t="shared" si="34"/>
        <v>0</v>
      </c>
      <c r="E137" s="217">
        <f t="shared" si="34"/>
        <v>0</v>
      </c>
    </row>
    <row r="138" spans="1:5" customFormat="1" ht="15.5" x14ac:dyDescent="0.35">
      <c r="A138" s="347"/>
      <c r="B138" s="217">
        <f t="shared" si="34"/>
        <v>0</v>
      </c>
      <c r="C138" s="217">
        <f t="shared" si="34"/>
        <v>0</v>
      </c>
      <c r="D138" s="217">
        <f t="shared" si="34"/>
        <v>0</v>
      </c>
      <c r="E138" s="217">
        <f t="shared" si="34"/>
        <v>0</v>
      </c>
    </row>
    <row r="139" spans="1:5" customFormat="1" ht="15.5" x14ac:dyDescent="0.35">
      <c r="A139" s="347"/>
      <c r="B139" s="217">
        <f t="shared" si="34"/>
        <v>0</v>
      </c>
      <c r="C139" s="217">
        <f t="shared" si="34"/>
        <v>0</v>
      </c>
      <c r="D139" s="217">
        <f t="shared" si="34"/>
        <v>0</v>
      </c>
      <c r="E139" s="217">
        <f t="shared" si="34"/>
        <v>0</v>
      </c>
    </row>
    <row r="140" spans="1:5" customFormat="1" ht="15.5" x14ac:dyDescent="0.35">
      <c r="A140" s="347"/>
      <c r="B140" s="217">
        <f>B61-B89+B117</f>
        <v>0</v>
      </c>
      <c r="C140" s="217">
        <f t="shared" si="34"/>
        <v>0</v>
      </c>
      <c r="D140" s="217">
        <f t="shared" si="34"/>
        <v>0</v>
      </c>
      <c r="E140" s="217">
        <f t="shared" si="34"/>
        <v>0</v>
      </c>
    </row>
  </sheetData>
  <mergeCells count="49">
    <mergeCell ref="H39:H40"/>
    <mergeCell ref="B64:C64"/>
    <mergeCell ref="B39:E40"/>
    <mergeCell ref="I39:I40"/>
    <mergeCell ref="F39:F40"/>
    <mergeCell ref="G39:G40"/>
    <mergeCell ref="A3:E3"/>
    <mergeCell ref="B5:C5"/>
    <mergeCell ref="B6:C6"/>
    <mergeCell ref="D6:E6"/>
    <mergeCell ref="F8:F9"/>
    <mergeCell ref="A37:A38"/>
    <mergeCell ref="A8:A9"/>
    <mergeCell ref="B8:E9"/>
    <mergeCell ref="F6:I6"/>
    <mergeCell ref="F7:G7"/>
    <mergeCell ref="H7:I7"/>
    <mergeCell ref="G8:G9"/>
    <mergeCell ref="H8:H9"/>
    <mergeCell ref="F38:G38"/>
    <mergeCell ref="H38:I38"/>
    <mergeCell ref="B37:C37"/>
    <mergeCell ref="D37:E37"/>
    <mergeCell ref="B36:C36"/>
    <mergeCell ref="F37:I37"/>
    <mergeCell ref="I8:I9"/>
    <mergeCell ref="A93:A94"/>
    <mergeCell ref="B95:E96"/>
    <mergeCell ref="A65:A66"/>
    <mergeCell ref="B67:E68"/>
    <mergeCell ref="F67:F68"/>
    <mergeCell ref="B92:C92"/>
    <mergeCell ref="B93:C93"/>
    <mergeCell ref="D93:E93"/>
    <mergeCell ref="B65:C65"/>
    <mergeCell ref="D65:E65"/>
    <mergeCell ref="F95:F96"/>
    <mergeCell ref="F65:I65"/>
    <mergeCell ref="G95:G96"/>
    <mergeCell ref="H95:H96"/>
    <mergeCell ref="I95:I96"/>
    <mergeCell ref="F66:G66"/>
    <mergeCell ref="H66:I66"/>
    <mergeCell ref="I67:I68"/>
    <mergeCell ref="F93:I93"/>
    <mergeCell ref="F94:G94"/>
    <mergeCell ref="H94:I94"/>
    <mergeCell ref="G67:G68"/>
    <mergeCell ref="H67:H68"/>
  </mergeCells>
  <dataValidations count="1">
    <dataValidation type="list" allowBlank="1" showInputMessage="1" showErrorMessage="1" sqref="WBR983045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B65600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B131136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B196672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B262208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B327744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B393280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B458816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B524352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B589888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B655424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B720960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B786496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B852032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B917568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B983104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B65628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B131164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B196700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B262236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B327772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B393308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B458844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B524380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B589916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B655452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B720988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B786524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B852060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B917596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B983132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VRV983045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VRV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BR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LN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WVJ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B5 B36 B64 B92" xr:uid="{00000000-0002-0000-1100-000000000000}">
      <formula1>#REF!</formula1>
    </dataValidation>
  </dataValidations>
  <pageMargins left="0.7" right="0.7" top="0.75" bottom="0.75" header="0.3" footer="0.3"/>
  <pageSetup paperSize="9" scale="42"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tabColor rgb="FFFF0000"/>
  </sheetPr>
  <dimension ref="A1:M140"/>
  <sheetViews>
    <sheetView showGridLines="0" view="pageBreakPreview" topLeftCell="A2" zoomScale="90" zoomScaleNormal="80" zoomScaleSheetLayoutView="90" workbookViewId="0">
      <selection activeCell="B11" sqref="B11"/>
    </sheetView>
  </sheetViews>
  <sheetFormatPr baseColWidth="10" defaultColWidth="10.26953125" defaultRowHeight="13" x14ac:dyDescent="0.3"/>
  <cols>
    <col min="1" max="1" width="49.81640625" style="346" customWidth="1"/>
    <col min="2" max="9" width="16.1796875" style="141" customWidth="1"/>
    <col min="254" max="254" width="49.81640625" customWidth="1"/>
    <col min="255" max="262" width="16.1796875" customWidth="1"/>
    <col min="263" max="263" width="12.453125" customWidth="1"/>
    <col min="510" max="510" width="49.81640625" customWidth="1"/>
    <col min="511" max="518" width="16.1796875" customWidth="1"/>
    <col min="519" max="519" width="12.453125" customWidth="1"/>
    <col min="766" max="766" width="49.81640625" customWidth="1"/>
    <col min="767" max="774" width="16.1796875" customWidth="1"/>
    <col min="775" max="775" width="12.453125" customWidth="1"/>
    <col min="1022" max="1022" width="49.81640625" customWidth="1"/>
    <col min="1023" max="1030" width="16.1796875" customWidth="1"/>
    <col min="1031" max="1031" width="12.453125" customWidth="1"/>
    <col min="1278" max="1278" width="49.81640625" customWidth="1"/>
    <col min="1279" max="1286" width="16.1796875" customWidth="1"/>
    <col min="1287" max="1287" width="12.453125" customWidth="1"/>
    <col min="1534" max="1534" width="49.81640625" customWidth="1"/>
    <col min="1535" max="1542" width="16.1796875" customWidth="1"/>
    <col min="1543" max="1543" width="12.453125" customWidth="1"/>
    <col min="1790" max="1790" width="49.81640625" customWidth="1"/>
    <col min="1791" max="1798" width="16.1796875" customWidth="1"/>
    <col min="1799" max="1799" width="12.453125" customWidth="1"/>
    <col min="2046" max="2046" width="49.81640625" customWidth="1"/>
    <col min="2047" max="2054" width="16.1796875" customWidth="1"/>
    <col min="2055" max="2055" width="12.453125" customWidth="1"/>
    <col min="2302" max="2302" width="49.81640625" customWidth="1"/>
    <col min="2303" max="2310" width="16.1796875" customWidth="1"/>
    <col min="2311" max="2311" width="12.453125" customWidth="1"/>
    <col min="2558" max="2558" width="49.81640625" customWidth="1"/>
    <col min="2559" max="2566" width="16.1796875" customWidth="1"/>
    <col min="2567" max="2567" width="12.453125" customWidth="1"/>
    <col min="2814" max="2814" width="49.81640625" customWidth="1"/>
    <col min="2815" max="2822" width="16.1796875" customWidth="1"/>
    <col min="2823" max="2823" width="12.453125" customWidth="1"/>
    <col min="3070" max="3070" width="49.81640625" customWidth="1"/>
    <col min="3071" max="3078" width="16.1796875" customWidth="1"/>
    <col min="3079" max="3079" width="12.453125" customWidth="1"/>
    <col min="3326" max="3326" width="49.81640625" customWidth="1"/>
    <col min="3327" max="3334" width="16.1796875" customWidth="1"/>
    <col min="3335" max="3335" width="12.453125" customWidth="1"/>
    <col min="3582" max="3582" width="49.81640625" customWidth="1"/>
    <col min="3583" max="3590" width="16.1796875" customWidth="1"/>
    <col min="3591" max="3591" width="12.453125" customWidth="1"/>
    <col min="3838" max="3838" width="49.81640625" customWidth="1"/>
    <col min="3839" max="3846" width="16.1796875" customWidth="1"/>
    <col min="3847" max="3847" width="12.453125" customWidth="1"/>
    <col min="4094" max="4094" width="49.81640625" customWidth="1"/>
    <col min="4095" max="4102" width="16.1796875" customWidth="1"/>
    <col min="4103" max="4103" width="12.453125" customWidth="1"/>
    <col min="4350" max="4350" width="49.81640625" customWidth="1"/>
    <col min="4351" max="4358" width="16.1796875" customWidth="1"/>
    <col min="4359" max="4359" width="12.453125" customWidth="1"/>
    <col min="4606" max="4606" width="49.81640625" customWidth="1"/>
    <col min="4607" max="4614" width="16.1796875" customWidth="1"/>
    <col min="4615" max="4615" width="12.453125" customWidth="1"/>
    <col min="4862" max="4862" width="49.81640625" customWidth="1"/>
    <col min="4863" max="4870" width="16.1796875" customWidth="1"/>
    <col min="4871" max="4871" width="12.453125" customWidth="1"/>
    <col min="5118" max="5118" width="49.81640625" customWidth="1"/>
    <col min="5119" max="5126" width="16.1796875" customWidth="1"/>
    <col min="5127" max="5127" width="12.453125" customWidth="1"/>
    <col min="5374" max="5374" width="49.81640625" customWidth="1"/>
    <col min="5375" max="5382" width="16.1796875" customWidth="1"/>
    <col min="5383" max="5383" width="12.453125" customWidth="1"/>
    <col min="5630" max="5630" width="49.81640625" customWidth="1"/>
    <col min="5631" max="5638" width="16.1796875" customWidth="1"/>
    <col min="5639" max="5639" width="12.453125" customWidth="1"/>
    <col min="5886" max="5886" width="49.81640625" customWidth="1"/>
    <col min="5887" max="5894" width="16.1796875" customWidth="1"/>
    <col min="5895" max="5895" width="12.453125" customWidth="1"/>
    <col min="6142" max="6142" width="49.81640625" customWidth="1"/>
    <col min="6143" max="6150" width="16.1796875" customWidth="1"/>
    <col min="6151" max="6151" width="12.453125" customWidth="1"/>
    <col min="6398" max="6398" width="49.81640625" customWidth="1"/>
    <col min="6399" max="6406" width="16.1796875" customWidth="1"/>
    <col min="6407" max="6407" width="12.453125" customWidth="1"/>
    <col min="6654" max="6654" width="49.81640625" customWidth="1"/>
    <col min="6655" max="6662" width="16.1796875" customWidth="1"/>
    <col min="6663" max="6663" width="12.453125" customWidth="1"/>
    <col min="6910" max="6910" width="49.81640625" customWidth="1"/>
    <col min="6911" max="6918" width="16.1796875" customWidth="1"/>
    <col min="6919" max="6919" width="12.453125" customWidth="1"/>
    <col min="7166" max="7166" width="49.81640625" customWidth="1"/>
    <col min="7167" max="7174" width="16.1796875" customWidth="1"/>
    <col min="7175" max="7175" width="12.453125" customWidth="1"/>
    <col min="7422" max="7422" width="49.81640625" customWidth="1"/>
    <col min="7423" max="7430" width="16.1796875" customWidth="1"/>
    <col min="7431" max="7431" width="12.453125" customWidth="1"/>
    <col min="7678" max="7678" width="49.81640625" customWidth="1"/>
    <col min="7679" max="7686" width="16.1796875" customWidth="1"/>
    <col min="7687" max="7687" width="12.453125" customWidth="1"/>
    <col min="7934" max="7934" width="49.81640625" customWidth="1"/>
    <col min="7935" max="7942" width="16.1796875" customWidth="1"/>
    <col min="7943" max="7943" width="12.453125" customWidth="1"/>
    <col min="8190" max="8190" width="49.81640625" customWidth="1"/>
    <col min="8191" max="8198" width="16.1796875" customWidth="1"/>
    <col min="8199" max="8199" width="12.453125" customWidth="1"/>
    <col min="8446" max="8446" width="49.81640625" customWidth="1"/>
    <col min="8447" max="8454" width="16.1796875" customWidth="1"/>
    <col min="8455" max="8455" width="12.453125" customWidth="1"/>
    <col min="8702" max="8702" width="49.81640625" customWidth="1"/>
    <col min="8703" max="8710" width="16.1796875" customWidth="1"/>
    <col min="8711" max="8711" width="12.453125" customWidth="1"/>
    <col min="8958" max="8958" width="49.81640625" customWidth="1"/>
    <col min="8959" max="8966" width="16.1796875" customWidth="1"/>
    <col min="8967" max="8967" width="12.453125" customWidth="1"/>
    <col min="9214" max="9214" width="49.81640625" customWidth="1"/>
    <col min="9215" max="9222" width="16.1796875" customWidth="1"/>
    <col min="9223" max="9223" width="12.453125" customWidth="1"/>
    <col min="9470" max="9470" width="49.81640625" customWidth="1"/>
    <col min="9471" max="9478" width="16.1796875" customWidth="1"/>
    <col min="9479" max="9479" width="12.453125" customWidth="1"/>
    <col min="9726" max="9726" width="49.81640625" customWidth="1"/>
    <col min="9727" max="9734" width="16.1796875" customWidth="1"/>
    <col min="9735" max="9735" width="12.453125" customWidth="1"/>
    <col min="9982" max="9982" width="49.81640625" customWidth="1"/>
    <col min="9983" max="9990" width="16.1796875" customWidth="1"/>
    <col min="9991" max="9991" width="12.453125" customWidth="1"/>
    <col min="10238" max="10238" width="49.81640625" customWidth="1"/>
    <col min="10239" max="10246" width="16.1796875" customWidth="1"/>
    <col min="10247" max="10247" width="12.453125" customWidth="1"/>
    <col min="10494" max="10494" width="49.81640625" customWidth="1"/>
    <col min="10495" max="10502" width="16.1796875" customWidth="1"/>
    <col min="10503" max="10503" width="12.453125" customWidth="1"/>
    <col min="10750" max="10750" width="49.81640625" customWidth="1"/>
    <col min="10751" max="10758" width="16.1796875" customWidth="1"/>
    <col min="10759" max="10759" width="12.453125" customWidth="1"/>
    <col min="11006" max="11006" width="49.81640625" customWidth="1"/>
    <col min="11007" max="11014" width="16.1796875" customWidth="1"/>
    <col min="11015" max="11015" width="12.453125" customWidth="1"/>
    <col min="11262" max="11262" width="49.81640625" customWidth="1"/>
    <col min="11263" max="11270" width="16.1796875" customWidth="1"/>
    <col min="11271" max="11271" width="12.453125" customWidth="1"/>
    <col min="11518" max="11518" width="49.81640625" customWidth="1"/>
    <col min="11519" max="11526" width="16.1796875" customWidth="1"/>
    <col min="11527" max="11527" width="12.453125" customWidth="1"/>
    <col min="11774" max="11774" width="49.81640625" customWidth="1"/>
    <col min="11775" max="11782" width="16.1796875" customWidth="1"/>
    <col min="11783" max="11783" width="12.453125" customWidth="1"/>
    <col min="12030" max="12030" width="49.81640625" customWidth="1"/>
    <col min="12031" max="12038" width="16.1796875" customWidth="1"/>
    <col min="12039" max="12039" width="12.453125" customWidth="1"/>
    <col min="12286" max="12286" width="49.81640625" customWidth="1"/>
    <col min="12287" max="12294" width="16.1796875" customWidth="1"/>
    <col min="12295" max="12295" width="12.453125" customWidth="1"/>
    <col min="12542" max="12542" width="49.81640625" customWidth="1"/>
    <col min="12543" max="12550" width="16.1796875" customWidth="1"/>
    <col min="12551" max="12551" width="12.453125" customWidth="1"/>
    <col min="12798" max="12798" width="49.81640625" customWidth="1"/>
    <col min="12799" max="12806" width="16.1796875" customWidth="1"/>
    <col min="12807" max="12807" width="12.453125" customWidth="1"/>
    <col min="13054" max="13054" width="49.81640625" customWidth="1"/>
    <col min="13055" max="13062" width="16.1796875" customWidth="1"/>
    <col min="13063" max="13063" width="12.453125" customWidth="1"/>
    <col min="13310" max="13310" width="49.81640625" customWidth="1"/>
    <col min="13311" max="13318" width="16.1796875" customWidth="1"/>
    <col min="13319" max="13319" width="12.453125" customWidth="1"/>
    <col min="13566" max="13566" width="49.81640625" customWidth="1"/>
    <col min="13567" max="13574" width="16.1796875" customWidth="1"/>
    <col min="13575" max="13575" width="12.453125" customWidth="1"/>
    <col min="13822" max="13822" width="49.81640625" customWidth="1"/>
    <col min="13823" max="13830" width="16.1796875" customWidth="1"/>
    <col min="13831" max="13831" width="12.453125" customWidth="1"/>
    <col min="14078" max="14078" width="49.81640625" customWidth="1"/>
    <col min="14079" max="14086" width="16.1796875" customWidth="1"/>
    <col min="14087" max="14087" width="12.453125" customWidth="1"/>
    <col min="14334" max="14334" width="49.81640625" customWidth="1"/>
    <col min="14335" max="14342" width="16.1796875" customWidth="1"/>
    <col min="14343" max="14343" width="12.453125" customWidth="1"/>
    <col min="14590" max="14590" width="49.81640625" customWidth="1"/>
    <col min="14591" max="14598" width="16.1796875" customWidth="1"/>
    <col min="14599" max="14599" width="12.453125" customWidth="1"/>
    <col min="14846" max="14846" width="49.81640625" customWidth="1"/>
    <col min="14847" max="14854" width="16.1796875" customWidth="1"/>
    <col min="14855" max="14855" width="12.453125" customWidth="1"/>
    <col min="15102" max="15102" width="49.81640625" customWidth="1"/>
    <col min="15103" max="15110" width="16.1796875" customWidth="1"/>
    <col min="15111" max="15111" width="12.453125" customWidth="1"/>
    <col min="15358" max="15358" width="49.81640625" customWidth="1"/>
    <col min="15359" max="15366" width="16.1796875" customWidth="1"/>
    <col min="15367" max="15367" width="12.453125" customWidth="1"/>
    <col min="15614" max="15614" width="49.81640625" customWidth="1"/>
    <col min="15615" max="15622" width="16.1796875" customWidth="1"/>
    <col min="15623" max="15623" width="12.453125" customWidth="1"/>
    <col min="15870" max="15870" width="49.81640625" customWidth="1"/>
    <col min="15871" max="15878" width="16.1796875" customWidth="1"/>
    <col min="15879" max="15879" width="12.453125" customWidth="1"/>
    <col min="16126" max="16126" width="49.81640625" customWidth="1"/>
    <col min="16127" max="16134" width="16.1796875" customWidth="1"/>
    <col min="16135" max="16135" width="12.453125" customWidth="1"/>
  </cols>
  <sheetData>
    <row r="1" spans="1:13" ht="17.149999999999999" customHeight="1" x14ac:dyDescent="0.3">
      <c r="A1" s="364" t="s">
        <v>101</v>
      </c>
      <c r="B1" s="66"/>
      <c r="C1" s="66"/>
      <c r="D1" s="66"/>
      <c r="E1" s="66"/>
      <c r="F1" s="66"/>
      <c r="G1" s="66"/>
      <c r="H1" s="66"/>
      <c r="I1" s="66"/>
    </row>
    <row r="2" spans="1:13" ht="17.149999999999999" customHeight="1" x14ac:dyDescent="0.25">
      <c r="A2" s="365"/>
      <c r="B2" s="66"/>
      <c r="C2" s="66"/>
      <c r="D2" s="66"/>
      <c r="E2" s="66"/>
      <c r="F2" s="66"/>
      <c r="G2" s="66"/>
      <c r="H2" s="66"/>
      <c r="I2" s="66"/>
    </row>
    <row r="3" spans="1:13" ht="17.149999999999999" customHeight="1" x14ac:dyDescent="0.25">
      <c r="A3" s="800" t="s">
        <v>146</v>
      </c>
      <c r="B3" s="800"/>
      <c r="C3" s="800"/>
      <c r="D3" s="800"/>
      <c r="E3" s="800"/>
      <c r="F3" s="66"/>
      <c r="G3" s="66"/>
      <c r="H3" s="66"/>
      <c r="I3" s="66"/>
    </row>
    <row r="4" spans="1:13" ht="17.149999999999999" customHeight="1" x14ac:dyDescent="0.25">
      <c r="A4" s="365"/>
      <c r="B4" s="66"/>
      <c r="C4" s="66"/>
      <c r="D4" s="66"/>
      <c r="E4" s="66"/>
      <c r="F4" s="66"/>
      <c r="G4" s="66"/>
      <c r="H4" s="66"/>
      <c r="I4" s="66"/>
    </row>
    <row r="5" spans="1:13" ht="17.149999999999999" customHeight="1" thickBot="1" x14ac:dyDescent="0.35">
      <c r="A5" s="404" t="s">
        <v>103</v>
      </c>
      <c r="B5" s="836"/>
      <c r="C5" s="836"/>
      <c r="D5" s="68"/>
      <c r="E5" s="68"/>
      <c r="F5" s="66"/>
      <c r="G5" s="66"/>
      <c r="H5" s="66"/>
      <c r="I5" s="66"/>
      <c r="J5" s="141"/>
    </row>
    <row r="6" spans="1:13" ht="17.149999999999999" customHeight="1" thickBot="1" x14ac:dyDescent="0.35">
      <c r="A6" s="69" t="s">
        <v>104</v>
      </c>
      <c r="B6" s="818" t="s">
        <v>105</v>
      </c>
      <c r="C6" s="819"/>
      <c r="D6" s="837" t="s">
        <v>106</v>
      </c>
      <c r="E6" s="838"/>
      <c r="F6" s="818" t="s">
        <v>107</v>
      </c>
      <c r="G6" s="832"/>
      <c r="H6" s="832"/>
      <c r="I6" s="819"/>
      <c r="J6" s="141"/>
    </row>
    <row r="7" spans="1:13" ht="17.149999999999999" customHeight="1" thickBot="1" x14ac:dyDescent="0.35">
      <c r="A7" s="70" t="s">
        <v>108</v>
      </c>
      <c r="B7" s="324" t="s">
        <v>147</v>
      </c>
      <c r="C7" s="324" t="s">
        <v>148</v>
      </c>
      <c r="D7" s="324" t="s">
        <v>147</v>
      </c>
      <c r="E7" s="324" t="s">
        <v>148</v>
      </c>
      <c r="F7" s="818" t="s">
        <v>105</v>
      </c>
      <c r="G7" s="819"/>
      <c r="H7" s="818" t="s">
        <v>106</v>
      </c>
      <c r="I7" s="819"/>
      <c r="J7" s="141"/>
    </row>
    <row r="8" spans="1:13" ht="17.149999999999999" customHeight="1" x14ac:dyDescent="0.3">
      <c r="A8" s="839" t="s">
        <v>109</v>
      </c>
      <c r="B8" s="826"/>
      <c r="C8" s="827"/>
      <c r="D8" s="827"/>
      <c r="E8" s="828"/>
      <c r="F8" s="828" t="s">
        <v>110</v>
      </c>
      <c r="G8" s="822" t="s">
        <v>111</v>
      </c>
      <c r="H8" s="822" t="s">
        <v>112</v>
      </c>
      <c r="I8" s="822" t="s">
        <v>111</v>
      </c>
      <c r="J8" s="141"/>
    </row>
    <row r="9" spans="1:13" ht="17.149999999999999" customHeight="1" thickBot="1" x14ac:dyDescent="0.35">
      <c r="A9" s="840"/>
      <c r="B9" s="841"/>
      <c r="C9" s="842"/>
      <c r="D9" s="842"/>
      <c r="E9" s="843"/>
      <c r="F9" s="833"/>
      <c r="G9" s="834"/>
      <c r="H9" s="834"/>
      <c r="I9" s="834"/>
      <c r="J9" s="141"/>
    </row>
    <row r="10" spans="1:13" ht="17.149999999999999" customHeight="1" thickBot="1" x14ac:dyDescent="0.35">
      <c r="A10" s="72" t="s">
        <v>113</v>
      </c>
      <c r="B10" s="405"/>
      <c r="C10" s="406"/>
      <c r="D10" s="406"/>
      <c r="E10" s="536"/>
      <c r="F10" s="76"/>
      <c r="G10" s="76"/>
      <c r="H10" s="76"/>
      <c r="I10" s="77"/>
      <c r="J10" s="141"/>
      <c r="M10">
        <v>1000</v>
      </c>
    </row>
    <row r="11" spans="1:13" ht="17.149999999999999" customHeight="1" x14ac:dyDescent="0.3">
      <c r="A11" s="678" t="s">
        <v>114</v>
      </c>
      <c r="B11" s="78">
        <f>B12+B13+B17</f>
        <v>878735.06400000001</v>
      </c>
      <c r="C11" s="679">
        <f>776137951/1000</f>
        <v>776137.951</v>
      </c>
      <c r="D11" s="78">
        <f>D12+D13+D17</f>
        <v>7423</v>
      </c>
      <c r="E11" s="78">
        <f>E12+E13+E17</f>
        <v>5984</v>
      </c>
      <c r="F11" s="78">
        <f>B11-C11</f>
        <v>102597.11300000001</v>
      </c>
      <c r="G11" s="78">
        <f>IF(C11&lt;&gt;0,(B11-C11)/C11)*100</f>
        <v>13.218927494501557</v>
      </c>
      <c r="H11" s="78">
        <f>D11-E11</f>
        <v>1439</v>
      </c>
      <c r="I11" s="79">
        <f>IF(E11&lt;&gt;0,(D11-E11)/E11)*100</f>
        <v>24.047459893048128</v>
      </c>
      <c r="J11" s="141"/>
    </row>
    <row r="12" spans="1:13" ht="17.149999999999999" customHeight="1" x14ac:dyDescent="0.3">
      <c r="A12" s="678" t="s">
        <v>115</v>
      </c>
      <c r="B12" s="679">
        <f>669033284/1000</f>
        <v>669033.28399999999</v>
      </c>
      <c r="C12" s="679">
        <f>524957666/1000</f>
        <v>524957.66599999997</v>
      </c>
      <c r="D12" s="679">
        <v>5965</v>
      </c>
      <c r="E12" s="679">
        <v>3516</v>
      </c>
      <c r="F12" s="680">
        <f t="shared" ref="F12:F19" si="0">B12-C12</f>
        <v>144075.61800000002</v>
      </c>
      <c r="G12" s="681">
        <f>IF(C12&lt;&gt;0,(B12-C12)/C12)*100</f>
        <v>27.445187932544645</v>
      </c>
      <c r="H12" s="680">
        <f>D12-E12</f>
        <v>2449</v>
      </c>
      <c r="I12" s="681">
        <f>IF(E12&lt;&gt;0,(D12-E12)/E12)*100</f>
        <v>69.653014789533557</v>
      </c>
      <c r="J12" s="141"/>
    </row>
    <row r="13" spans="1:13" ht="17.149999999999999" customHeight="1" x14ac:dyDescent="0.3">
      <c r="A13" s="678" t="s">
        <v>116</v>
      </c>
      <c r="B13" s="680">
        <f>B14-B15-B16</f>
        <v>209701.78000000003</v>
      </c>
      <c r="C13" s="680">
        <f>C14-C15-C16</f>
        <v>251180.28499999997</v>
      </c>
      <c r="D13" s="682">
        <v>1458</v>
      </c>
      <c r="E13" s="682">
        <v>2468</v>
      </c>
      <c r="F13" s="680">
        <f t="shared" si="0"/>
        <v>-41478.504999999946</v>
      </c>
      <c r="G13" s="681">
        <f>IF(C13&lt;&gt;0,(B13-C13)/C13)*100</f>
        <v>-16.513439739110076</v>
      </c>
      <c r="H13" s="680">
        <f>D13-E13</f>
        <v>-1010</v>
      </c>
      <c r="I13" s="681">
        <f>IF(E13&lt;&gt;0,(D13-E13)/E13)*100</f>
        <v>-40.923824959481365</v>
      </c>
      <c r="J13" s="141"/>
    </row>
    <row r="14" spans="1:13" ht="17.149999999999999" customHeight="1" x14ac:dyDescent="0.3">
      <c r="A14" s="683" t="s">
        <v>117</v>
      </c>
      <c r="B14" s="609">
        <f>278479014/1000</f>
        <v>278479.01400000002</v>
      </c>
      <c r="C14" s="684">
        <f>317654675/1000</f>
        <v>317654.67499999999</v>
      </c>
      <c r="D14" s="679"/>
      <c r="E14" s="684">
        <v>928</v>
      </c>
      <c r="F14" s="680"/>
      <c r="G14" s="685"/>
      <c r="H14" s="680"/>
      <c r="I14" s="685"/>
      <c r="J14" s="141"/>
    </row>
    <row r="15" spans="1:13" ht="17.149999999999999" customHeight="1" x14ac:dyDescent="0.3">
      <c r="A15" s="686" t="s">
        <v>118</v>
      </c>
      <c r="B15" s="613">
        <f>68777234/1000</f>
        <v>68777.233999999997</v>
      </c>
      <c r="C15" s="687">
        <f>66474390/1000</f>
        <v>66474.39</v>
      </c>
      <c r="D15" s="679">
        <v>1458</v>
      </c>
      <c r="E15" s="684">
        <v>1540</v>
      </c>
      <c r="F15" s="680"/>
      <c r="G15" s="685"/>
      <c r="H15" s="680"/>
      <c r="I15" s="685"/>
      <c r="J15" s="141"/>
    </row>
    <row r="16" spans="1:13" ht="17.149999999999999" customHeight="1" x14ac:dyDescent="0.3">
      <c r="A16" s="686" t="s">
        <v>119</v>
      </c>
      <c r="B16" s="615">
        <v>0</v>
      </c>
      <c r="C16" s="537">
        <v>0</v>
      </c>
      <c r="D16" s="688"/>
      <c r="E16" s="684"/>
      <c r="F16" s="680"/>
      <c r="G16" s="685"/>
      <c r="H16" s="680"/>
      <c r="I16" s="685"/>
      <c r="J16" s="141"/>
    </row>
    <row r="17" spans="1:10" ht="17.149999999999999" customHeight="1" x14ac:dyDescent="0.3">
      <c r="A17" s="617" t="s">
        <v>120</v>
      </c>
      <c r="B17" s="618">
        <v>0</v>
      </c>
      <c r="C17" s="542">
        <v>0</v>
      </c>
      <c r="D17" s="679">
        <v>0</v>
      </c>
      <c r="E17" s="679">
        <v>0</v>
      </c>
      <c r="F17" s="680">
        <f t="shared" si="0"/>
        <v>0</v>
      </c>
      <c r="G17" s="681">
        <f>IF(C17&lt;&gt;0,(B17-C17)/C17)*100</f>
        <v>0</v>
      </c>
      <c r="H17" s="680">
        <f>D17-E17</f>
        <v>0</v>
      </c>
      <c r="I17" s="681">
        <f>IF(E17&lt;&gt;0,(D17-E17)/E17)*100</f>
        <v>0</v>
      </c>
      <c r="J17" s="141"/>
    </row>
    <row r="18" spans="1:10" ht="17.149999999999999" customHeight="1" x14ac:dyDescent="0.3">
      <c r="A18" s="678" t="s">
        <v>121</v>
      </c>
      <c r="B18" s="546">
        <v>0</v>
      </c>
      <c r="C18" s="684">
        <v>0</v>
      </c>
      <c r="D18" s="679">
        <v>0</v>
      </c>
      <c r="E18" s="682">
        <v>0</v>
      </c>
      <c r="F18" s="680">
        <f t="shared" si="0"/>
        <v>0</v>
      </c>
      <c r="G18" s="681">
        <f>IF(C18&lt;&gt;0,(B18-C18)/C18)*100</f>
        <v>0</v>
      </c>
      <c r="H18" s="680">
        <f>D18-E18</f>
        <v>0</v>
      </c>
      <c r="I18" s="681">
        <f>IF(E18&lt;&gt;0,(D18-E18)/E18)*100</f>
        <v>0</v>
      </c>
      <c r="J18" s="141"/>
    </row>
    <row r="19" spans="1:10" ht="17.149999999999999" customHeight="1" thickBot="1" x14ac:dyDescent="0.35">
      <c r="A19" s="619" t="s">
        <v>122</v>
      </c>
      <c r="B19" s="620">
        <v>0</v>
      </c>
      <c r="C19" s="621">
        <v>0</v>
      </c>
      <c r="D19" s="620">
        <v>0</v>
      </c>
      <c r="E19" s="621">
        <v>0</v>
      </c>
      <c r="F19" s="680">
        <f t="shared" si="0"/>
        <v>0</v>
      </c>
      <c r="G19" s="622">
        <f>IF(C19&lt;&gt;0,(B19-C19)/C19)*100</f>
        <v>0</v>
      </c>
      <c r="H19" s="680">
        <f>D19-E19</f>
        <v>0</v>
      </c>
      <c r="I19" s="622">
        <f>IF(E19&lt;&gt;0,(D19-E19)/E19)*100</f>
        <v>0</v>
      </c>
      <c r="J19" s="141"/>
    </row>
    <row r="20" spans="1:10" ht="17.149999999999999" customHeight="1" thickBot="1" x14ac:dyDescent="0.35">
      <c r="A20" s="80" t="s">
        <v>123</v>
      </c>
      <c r="B20" s="81">
        <f>B11+B18+B19</f>
        <v>878735.06400000001</v>
      </c>
      <c r="C20" s="82">
        <f>C11+C18+C19</f>
        <v>776137.951</v>
      </c>
      <c r="D20" s="81">
        <f>D11+D18+D19</f>
        <v>7423</v>
      </c>
      <c r="E20" s="82">
        <f>E11+E18+E19</f>
        <v>5984</v>
      </c>
      <c r="F20" s="81">
        <f>F11+F18+F19</f>
        <v>102597.11300000001</v>
      </c>
      <c r="G20" s="83">
        <f>IF(C20&lt;&gt;0,(B20-C20)/C20)*100</f>
        <v>13.218927494501557</v>
      </c>
      <c r="H20" s="81">
        <f>H11+H18+H19</f>
        <v>1439</v>
      </c>
      <c r="I20" s="83">
        <f>IF(E20&lt;&gt;0,(D20-E20)/E20)*100</f>
        <v>24.047459893048128</v>
      </c>
      <c r="J20" s="141"/>
    </row>
    <row r="21" spans="1:10" ht="17.149999999999999" customHeight="1" thickBot="1" x14ac:dyDescent="0.35">
      <c r="A21" s="84" t="s">
        <v>109</v>
      </c>
      <c r="B21" s="85"/>
      <c r="C21" s="85"/>
      <c r="D21" s="85"/>
      <c r="E21" s="85"/>
      <c r="F21" s="86"/>
      <c r="G21" s="86"/>
      <c r="H21" s="86"/>
      <c r="I21" s="87"/>
      <c r="J21" s="141"/>
    </row>
    <row r="22" spans="1:10" ht="17.149999999999999" customHeight="1" x14ac:dyDescent="0.3">
      <c r="A22" s="547" t="s">
        <v>124</v>
      </c>
      <c r="B22" s="548"/>
      <c r="C22" s="549"/>
      <c r="D22" s="548"/>
      <c r="E22" s="549"/>
      <c r="F22" s="550"/>
      <c r="G22" s="551"/>
      <c r="H22" s="551"/>
      <c r="I22" s="552"/>
      <c r="J22" s="141"/>
    </row>
    <row r="23" spans="1:10" ht="17.149999999999999" customHeight="1" x14ac:dyDescent="0.3">
      <c r="A23" s="678" t="s">
        <v>125</v>
      </c>
      <c r="B23" s="657">
        <f>SUM(B24:B27)</f>
        <v>0</v>
      </c>
      <c r="C23" s="624">
        <f>SUM(C24:C27)</f>
        <v>0</v>
      </c>
      <c r="D23" s="657">
        <f>SUM(D24:D27)</f>
        <v>0</v>
      </c>
      <c r="E23" s="624">
        <f>SUM(E24:E27)</f>
        <v>0</v>
      </c>
      <c r="F23" s="657">
        <f t="shared" ref="F23:F28" si="1">B23-C23</f>
        <v>0</v>
      </c>
      <c r="G23" s="625">
        <f t="shared" ref="G23:G28" si="2">IF(C23&lt;&gt;0,(B23-C23)/C23)*100</f>
        <v>0</v>
      </c>
      <c r="H23" s="657">
        <f t="shared" ref="H23:H28" si="3">D23-E23</f>
        <v>0</v>
      </c>
      <c r="I23" s="625">
        <f t="shared" ref="I23:I28" si="4">IF(E23&lt;&gt;0,(D23-E23)/E23)*100</f>
        <v>0</v>
      </c>
      <c r="J23" s="141"/>
    </row>
    <row r="24" spans="1:10" ht="17.149999999999999" customHeight="1" x14ac:dyDescent="0.3">
      <c r="A24" s="678" t="s">
        <v>126</v>
      </c>
      <c r="B24" s="679">
        <v>0</v>
      </c>
      <c r="C24" s="679">
        <v>0</v>
      </c>
      <c r="D24" s="679">
        <v>0</v>
      </c>
      <c r="E24" s="679">
        <v>0</v>
      </c>
      <c r="F24" s="680">
        <f t="shared" si="1"/>
        <v>0</v>
      </c>
      <c r="G24" s="681">
        <f t="shared" si="2"/>
        <v>0</v>
      </c>
      <c r="H24" s="680">
        <f t="shared" si="3"/>
        <v>0</v>
      </c>
      <c r="I24" s="681">
        <f t="shared" si="4"/>
        <v>0</v>
      </c>
      <c r="J24" s="141"/>
    </row>
    <row r="25" spans="1:10" ht="17.149999999999999" customHeight="1" x14ac:dyDescent="0.3">
      <c r="A25" s="678" t="s">
        <v>127</v>
      </c>
      <c r="B25" s="679">
        <v>0</v>
      </c>
      <c r="C25" s="679">
        <v>0</v>
      </c>
      <c r="D25" s="679">
        <v>0</v>
      </c>
      <c r="E25" s="679">
        <v>0</v>
      </c>
      <c r="F25" s="680">
        <f t="shared" si="1"/>
        <v>0</v>
      </c>
      <c r="G25" s="681">
        <f t="shared" si="2"/>
        <v>0</v>
      </c>
      <c r="H25" s="680">
        <f t="shared" si="3"/>
        <v>0</v>
      </c>
      <c r="I25" s="681">
        <f t="shared" si="4"/>
        <v>0</v>
      </c>
      <c r="J25" s="141"/>
    </row>
    <row r="26" spans="1:10" ht="17.149999999999999" customHeight="1" x14ac:dyDescent="0.3">
      <c r="A26" s="626" t="s">
        <v>128</v>
      </c>
      <c r="B26" s="679">
        <v>0</v>
      </c>
      <c r="C26" s="679">
        <v>0</v>
      </c>
      <c r="D26" s="679">
        <v>0</v>
      </c>
      <c r="E26" s="679">
        <v>0</v>
      </c>
      <c r="F26" s="680">
        <f t="shared" si="1"/>
        <v>0</v>
      </c>
      <c r="G26" s="681">
        <f t="shared" si="2"/>
        <v>0</v>
      </c>
      <c r="H26" s="680">
        <f t="shared" si="3"/>
        <v>0</v>
      </c>
      <c r="I26" s="681">
        <f t="shared" si="4"/>
        <v>0</v>
      </c>
      <c r="J26" s="141"/>
    </row>
    <row r="27" spans="1:10" ht="17.149999999999999" customHeight="1" x14ac:dyDescent="0.3">
      <c r="A27" s="678" t="s">
        <v>129</v>
      </c>
      <c r="B27" s="679">
        <v>0</v>
      </c>
      <c r="C27" s="679">
        <v>0</v>
      </c>
      <c r="D27" s="679">
        <v>0</v>
      </c>
      <c r="E27" s="679">
        <v>0</v>
      </c>
      <c r="F27" s="680">
        <f t="shared" si="1"/>
        <v>0</v>
      </c>
      <c r="G27" s="681">
        <f t="shared" si="2"/>
        <v>0</v>
      </c>
      <c r="H27" s="680">
        <f t="shared" si="3"/>
        <v>0</v>
      </c>
      <c r="I27" s="681">
        <f t="shared" si="4"/>
        <v>0</v>
      </c>
      <c r="J27" s="141"/>
    </row>
    <row r="28" spans="1:10" ht="17.149999999999999" customHeight="1" x14ac:dyDescent="0.3">
      <c r="A28" s="678" t="s">
        <v>130</v>
      </c>
      <c r="B28" s="679">
        <v>0</v>
      </c>
      <c r="C28" s="679">
        <v>0</v>
      </c>
      <c r="D28" s="679">
        <v>0</v>
      </c>
      <c r="E28" s="679">
        <v>0</v>
      </c>
      <c r="F28" s="680">
        <f t="shared" si="1"/>
        <v>0</v>
      </c>
      <c r="G28" s="681">
        <f t="shared" si="2"/>
        <v>0</v>
      </c>
      <c r="H28" s="680">
        <f t="shared" si="3"/>
        <v>0</v>
      </c>
      <c r="I28" s="681">
        <f t="shared" si="4"/>
        <v>0</v>
      </c>
      <c r="J28" s="141"/>
    </row>
    <row r="29" spans="1:10" ht="17.149999999999999" customHeight="1" x14ac:dyDescent="0.3">
      <c r="A29" s="678"/>
      <c r="B29" s="627"/>
      <c r="C29" s="628"/>
      <c r="D29" s="627"/>
      <c r="E29" s="628"/>
      <c r="F29" s="657"/>
      <c r="G29" s="625"/>
      <c r="H29" s="624"/>
      <c r="I29" s="629"/>
      <c r="J29" s="141"/>
    </row>
    <row r="30" spans="1:10" ht="17.149999999999999" customHeight="1" x14ac:dyDescent="0.3">
      <c r="A30" s="678"/>
      <c r="B30" s="627"/>
      <c r="C30" s="628"/>
      <c r="D30" s="627"/>
      <c r="E30" s="628"/>
      <c r="F30" s="657"/>
      <c r="G30" s="625"/>
      <c r="H30" s="624"/>
      <c r="I30" s="629"/>
      <c r="J30" s="141"/>
    </row>
    <row r="31" spans="1:10" ht="17.149999999999999" customHeight="1" thickBot="1" x14ac:dyDescent="0.35">
      <c r="A31" s="88" t="s">
        <v>109</v>
      </c>
      <c r="B31" s="630"/>
      <c r="C31" s="631"/>
      <c r="D31" s="630"/>
      <c r="E31" s="631"/>
      <c r="F31" s="632"/>
      <c r="G31" s="633"/>
      <c r="H31" s="634"/>
      <c r="I31" s="635"/>
      <c r="J31" s="141"/>
    </row>
    <row r="32" spans="1:10" ht="17.149999999999999" customHeight="1" thickBot="1" x14ac:dyDescent="0.35">
      <c r="A32" s="89" t="s">
        <v>131</v>
      </c>
      <c r="B32" s="90">
        <f>B23+B28</f>
        <v>0</v>
      </c>
      <c r="C32" s="91">
        <f>C23+C28</f>
        <v>0</v>
      </c>
      <c r="D32" s="90">
        <f>D23+D28</f>
        <v>0</v>
      </c>
      <c r="E32" s="91">
        <f>E23+E28</f>
        <v>0</v>
      </c>
      <c r="F32" s="91">
        <f>B32-C32</f>
        <v>0</v>
      </c>
      <c r="G32" s="92">
        <f>IF(C32&lt;&gt;0,(B32-C32)/C32)*100</f>
        <v>0</v>
      </c>
      <c r="H32" s="91">
        <f>D32-E32</f>
        <v>0</v>
      </c>
      <c r="I32" s="92">
        <f>IF(E32&lt;&gt;0,(D32-E32)/E32)*100</f>
        <v>0</v>
      </c>
      <c r="J32" s="141"/>
    </row>
    <row r="33" spans="1:10" ht="17.149999999999999" customHeight="1" thickBot="1" x14ac:dyDescent="0.35">
      <c r="A33" s="93" t="s">
        <v>132</v>
      </c>
      <c r="B33" s="90">
        <f>B20+B32</f>
        <v>878735.06400000001</v>
      </c>
      <c r="C33" s="91">
        <f>C20+C32</f>
        <v>776137.951</v>
      </c>
      <c r="D33" s="90">
        <f>D20+D32</f>
        <v>7423</v>
      </c>
      <c r="E33" s="91">
        <f>E20+E32</f>
        <v>5984</v>
      </c>
      <c r="F33" s="91">
        <f>B33-C33</f>
        <v>102597.11300000001</v>
      </c>
      <c r="G33" s="92">
        <f>IF(C33&lt;&gt;0,(B33-C33)/C33)*100</f>
        <v>13.218927494501557</v>
      </c>
      <c r="H33" s="91">
        <f>D33-E33</f>
        <v>1439</v>
      </c>
      <c r="I33" s="92">
        <f>IF(E33&lt;&gt;0,(D33-E33)/E33)*100</f>
        <v>24.047459893048128</v>
      </c>
      <c r="J33" s="141"/>
    </row>
    <row r="34" spans="1:10" ht="17.149999999999999" customHeight="1" x14ac:dyDescent="0.3">
      <c r="A34" s="94"/>
      <c r="B34" s="94"/>
      <c r="C34" s="94"/>
      <c r="D34" s="94"/>
      <c r="E34" s="94"/>
      <c r="F34" s="95"/>
      <c r="G34" s="95"/>
      <c r="H34" s="95"/>
      <c r="I34" s="95"/>
      <c r="J34" s="141"/>
    </row>
    <row r="35" spans="1:10" ht="17.149999999999999" customHeight="1" x14ac:dyDescent="0.3">
      <c r="A35" s="68"/>
      <c r="B35" s="96"/>
      <c r="C35" s="97"/>
      <c r="D35" s="97"/>
      <c r="E35" s="97"/>
      <c r="F35" s="538"/>
      <c r="G35" s="538"/>
      <c r="H35" s="538"/>
      <c r="I35" s="538"/>
      <c r="J35" s="141"/>
    </row>
    <row r="36" spans="1:10" ht="17.149999999999999" customHeight="1" thickBot="1" x14ac:dyDescent="0.35">
      <c r="A36" s="404" t="s">
        <v>133</v>
      </c>
      <c r="B36" s="813"/>
      <c r="C36" s="813"/>
      <c r="D36" s="99"/>
      <c r="E36" s="99"/>
      <c r="F36" s="538"/>
      <c r="G36" s="538"/>
      <c r="H36" s="538"/>
      <c r="I36" s="538"/>
      <c r="J36" s="141"/>
    </row>
    <row r="37" spans="1:10" ht="17.149999999999999" customHeight="1" thickBot="1" x14ac:dyDescent="0.35">
      <c r="A37" s="822" t="s">
        <v>134</v>
      </c>
      <c r="B37" s="818" t="s">
        <v>105</v>
      </c>
      <c r="C37" s="819"/>
      <c r="D37" s="818" t="s">
        <v>106</v>
      </c>
      <c r="E37" s="819"/>
      <c r="F37" s="804" t="s">
        <v>107</v>
      </c>
      <c r="G37" s="805"/>
      <c r="H37" s="805"/>
      <c r="I37" s="806"/>
      <c r="J37" s="141"/>
    </row>
    <row r="38" spans="1:10" ht="17.149999999999999" customHeight="1" thickBot="1" x14ac:dyDescent="0.35">
      <c r="A38" s="823"/>
      <c r="B38" s="324" t="s">
        <v>147</v>
      </c>
      <c r="C38" s="324" t="s">
        <v>148</v>
      </c>
      <c r="D38" s="324" t="s">
        <v>147</v>
      </c>
      <c r="E38" s="324" t="s">
        <v>148</v>
      </c>
      <c r="F38" s="804" t="s">
        <v>105</v>
      </c>
      <c r="G38" s="806"/>
      <c r="H38" s="804" t="s">
        <v>106</v>
      </c>
      <c r="I38" s="806"/>
      <c r="J38" s="141"/>
    </row>
    <row r="39" spans="1:10" ht="17.149999999999999" customHeight="1" x14ac:dyDescent="0.3">
      <c r="A39" s="100"/>
      <c r="B39" s="826"/>
      <c r="C39" s="827"/>
      <c r="D39" s="827"/>
      <c r="E39" s="828"/>
      <c r="F39" s="814" t="s">
        <v>110</v>
      </c>
      <c r="G39" s="816" t="s">
        <v>111</v>
      </c>
      <c r="H39" s="816" t="s">
        <v>112</v>
      </c>
      <c r="I39" s="816" t="s">
        <v>111</v>
      </c>
      <c r="J39" s="141"/>
    </row>
    <row r="40" spans="1:10" ht="17.149999999999999" customHeight="1" thickBot="1" x14ac:dyDescent="0.35">
      <c r="A40" s="101" t="s">
        <v>113</v>
      </c>
      <c r="B40" s="829"/>
      <c r="C40" s="830"/>
      <c r="D40" s="830"/>
      <c r="E40" s="831"/>
      <c r="F40" s="815"/>
      <c r="G40" s="817"/>
      <c r="H40" s="817"/>
      <c r="I40" s="817"/>
      <c r="J40" s="141"/>
    </row>
    <row r="41" spans="1:10" ht="17.149999999999999" customHeight="1" thickBot="1" x14ac:dyDescent="0.35">
      <c r="A41" s="539" t="s">
        <v>135</v>
      </c>
      <c r="B41" s="103">
        <f>B42+B43+B45</f>
        <v>6280424.6069999998</v>
      </c>
      <c r="C41" s="104">
        <f>C42+C43+C45</f>
        <v>5114287.5649999995</v>
      </c>
      <c r="D41" s="104">
        <f>D42+D43+D45</f>
        <v>92643</v>
      </c>
      <c r="E41" s="104">
        <f>E42+E43+E45</f>
        <v>70210</v>
      </c>
      <c r="F41" s="104">
        <f t="shared" ref="F41:F48" si="5">B41-C41</f>
        <v>1166137.0420000004</v>
      </c>
      <c r="G41" s="105">
        <f t="shared" ref="G41:G48" si="6">IF(C41&lt;&gt;0,(B41-C41)/C41)*100</f>
        <v>22.801554022510278</v>
      </c>
      <c r="H41" s="104">
        <f t="shared" ref="H41:H48" si="7">D41-E41</f>
        <v>22433</v>
      </c>
      <c r="I41" s="105">
        <f t="shared" ref="I41:I48" si="8">IF(E41&lt;&gt;0,(D41-E41)/E41)*100</f>
        <v>31.951288990172337</v>
      </c>
      <c r="J41" s="141"/>
    </row>
    <row r="42" spans="1:10" ht="17.149999999999999" customHeight="1" x14ac:dyDescent="0.3">
      <c r="A42" s="539" t="s">
        <v>136</v>
      </c>
      <c r="B42" s="542">
        <f>4247236488/1000</f>
        <v>4247236.4879999999</v>
      </c>
      <c r="C42" s="542">
        <f>3163488462/1000</f>
        <v>3163488.4619999998</v>
      </c>
      <c r="D42" s="543">
        <v>68105</v>
      </c>
      <c r="E42" s="543">
        <v>45840</v>
      </c>
      <c r="F42" s="680">
        <f t="shared" si="5"/>
        <v>1083748.0260000001</v>
      </c>
      <c r="G42" s="681">
        <f t="shared" si="6"/>
        <v>34.25800470012905</v>
      </c>
      <c r="H42" s="680">
        <f t="shared" si="7"/>
        <v>22265</v>
      </c>
      <c r="I42" s="681">
        <f t="shared" si="8"/>
        <v>48.57111692844677</v>
      </c>
      <c r="J42" s="141"/>
    </row>
    <row r="43" spans="1:10" ht="17.149999999999999" customHeight="1" x14ac:dyDescent="0.3">
      <c r="A43" s="539" t="s">
        <v>116</v>
      </c>
      <c r="B43" s="542">
        <f>2033188119/1000</f>
        <v>2033188.1189999999</v>
      </c>
      <c r="C43" s="542">
        <f>1950799103/1000</f>
        <v>1950799.1029999999</v>
      </c>
      <c r="D43" s="543">
        <v>24538</v>
      </c>
      <c r="E43" s="543">
        <v>24370</v>
      </c>
      <c r="F43" s="680">
        <f t="shared" si="5"/>
        <v>82389.016000000061</v>
      </c>
      <c r="G43" s="681">
        <f t="shared" si="6"/>
        <v>4.22334703113712</v>
      </c>
      <c r="H43" s="680">
        <f t="shared" si="7"/>
        <v>168</v>
      </c>
      <c r="I43" s="681">
        <f t="shared" si="8"/>
        <v>0.68937217890849412</v>
      </c>
      <c r="J43" s="141"/>
    </row>
    <row r="44" spans="1:10" ht="17.149999999999999" customHeight="1" x14ac:dyDescent="0.3">
      <c r="A44" s="539" t="s">
        <v>137</v>
      </c>
      <c r="B44" s="542">
        <v>0</v>
      </c>
      <c r="C44" s="542">
        <v>0</v>
      </c>
      <c r="D44" s="543">
        <v>0</v>
      </c>
      <c r="E44" s="543">
        <v>0</v>
      </c>
      <c r="F44" s="680">
        <f t="shared" si="5"/>
        <v>0</v>
      </c>
      <c r="G44" s="681">
        <f t="shared" si="6"/>
        <v>0</v>
      </c>
      <c r="H44" s="680">
        <f t="shared" si="7"/>
        <v>0</v>
      </c>
      <c r="I44" s="681">
        <f t="shared" si="8"/>
        <v>0</v>
      </c>
      <c r="J44" s="141"/>
    </row>
    <row r="45" spans="1:10" ht="17.149999999999999" customHeight="1" x14ac:dyDescent="0.3">
      <c r="A45" s="539" t="s">
        <v>143</v>
      </c>
      <c r="B45" s="542">
        <v>0</v>
      </c>
      <c r="C45" s="542">
        <v>0</v>
      </c>
      <c r="D45" s="543">
        <v>0</v>
      </c>
      <c r="E45" s="543">
        <v>0</v>
      </c>
      <c r="F45" s="680">
        <f t="shared" si="5"/>
        <v>0</v>
      </c>
      <c r="G45" s="681">
        <f t="shared" si="6"/>
        <v>0</v>
      </c>
      <c r="H45" s="680">
        <f t="shared" si="7"/>
        <v>0</v>
      </c>
      <c r="I45" s="681">
        <f t="shared" si="8"/>
        <v>0</v>
      </c>
      <c r="J45" s="141"/>
    </row>
    <row r="46" spans="1:10" ht="17.149999999999999" customHeight="1" x14ac:dyDescent="0.3">
      <c r="A46" s="539" t="s">
        <v>139</v>
      </c>
      <c r="B46" s="542">
        <v>0</v>
      </c>
      <c r="C46" s="542">
        <v>0</v>
      </c>
      <c r="D46" s="543">
        <v>0</v>
      </c>
      <c r="E46" s="543">
        <v>0</v>
      </c>
      <c r="F46" s="680">
        <f t="shared" si="5"/>
        <v>0</v>
      </c>
      <c r="G46" s="681">
        <f t="shared" si="6"/>
        <v>0</v>
      </c>
      <c r="H46" s="680">
        <f t="shared" si="7"/>
        <v>0</v>
      </c>
      <c r="I46" s="681">
        <f t="shared" si="8"/>
        <v>0</v>
      </c>
      <c r="J46" s="141"/>
    </row>
    <row r="47" spans="1:10" ht="17.149999999999999" customHeight="1" thickBot="1" x14ac:dyDescent="0.35">
      <c r="A47" s="539" t="s">
        <v>140</v>
      </c>
      <c r="B47" s="542">
        <v>0</v>
      </c>
      <c r="C47" s="542">
        <v>0</v>
      </c>
      <c r="D47" s="543">
        <v>0</v>
      </c>
      <c r="E47" s="543">
        <v>0</v>
      </c>
      <c r="F47" s="680">
        <f t="shared" si="5"/>
        <v>0</v>
      </c>
      <c r="G47" s="681">
        <f t="shared" si="6"/>
        <v>0</v>
      </c>
      <c r="H47" s="680">
        <f t="shared" si="7"/>
        <v>0</v>
      </c>
      <c r="I47" s="681">
        <f t="shared" si="8"/>
        <v>0</v>
      </c>
      <c r="J47" s="141"/>
    </row>
    <row r="48" spans="1:10" ht="17.149999999999999" customHeight="1" thickBot="1" x14ac:dyDescent="0.35">
      <c r="A48" s="106" t="s">
        <v>123</v>
      </c>
      <c r="B48" s="91">
        <f>B41+B46+B47</f>
        <v>6280424.6069999998</v>
      </c>
      <c r="C48" s="91">
        <f>C41+C46+C47</f>
        <v>5114287.5649999995</v>
      </c>
      <c r="D48" s="91">
        <f>D41+D46+D47</f>
        <v>92643</v>
      </c>
      <c r="E48" s="91">
        <f>E41+E46+E47</f>
        <v>70210</v>
      </c>
      <c r="F48" s="91">
        <f t="shared" si="5"/>
        <v>1166137.0420000004</v>
      </c>
      <c r="G48" s="92">
        <f t="shared" si="6"/>
        <v>22.801554022510278</v>
      </c>
      <c r="H48" s="91">
        <f t="shared" si="7"/>
        <v>22433</v>
      </c>
      <c r="I48" s="92">
        <f t="shared" si="8"/>
        <v>31.951288990172337</v>
      </c>
      <c r="J48" s="141"/>
    </row>
    <row r="49" spans="1:10" ht="17.149999999999999" customHeight="1" thickBot="1" x14ac:dyDescent="0.35">
      <c r="A49" s="101" t="s">
        <v>124</v>
      </c>
      <c r="B49" s="114"/>
      <c r="C49" s="115"/>
      <c r="D49" s="115"/>
      <c r="E49" s="115"/>
      <c r="F49" s="116"/>
      <c r="G49" s="117"/>
      <c r="H49" s="116"/>
      <c r="I49" s="124"/>
      <c r="J49" s="141"/>
    </row>
    <row r="50" spans="1:10" ht="17.149999999999999" customHeight="1" thickBot="1" x14ac:dyDescent="0.35">
      <c r="A50" s="539" t="s">
        <v>125</v>
      </c>
      <c r="B50" s="103">
        <f>SUM(B51:B54)</f>
        <v>0</v>
      </c>
      <c r="C50" s="104">
        <f>SUM(C51:C54)</f>
        <v>0</v>
      </c>
      <c r="D50" s="104">
        <f>SUM(D51:D54)</f>
        <v>0</v>
      </c>
      <c r="E50" s="104">
        <f>SUM(E51:E54)</f>
        <v>0</v>
      </c>
      <c r="F50" s="104">
        <f t="shared" ref="F50:F55" si="9">B50-C50</f>
        <v>0</v>
      </c>
      <c r="G50" s="105">
        <f t="shared" ref="G50:G55" si="10">IF(C50&lt;&gt;0,(B50-C50)/C50)*100</f>
        <v>0</v>
      </c>
      <c r="H50" s="104">
        <f t="shared" ref="H50:H55" si="11">D50-E50</f>
        <v>0</v>
      </c>
      <c r="I50" s="105">
        <f t="shared" ref="I50:I55" si="12">IF(E50&lt;&gt;0,(D50-E50)/E50)*100</f>
        <v>0</v>
      </c>
      <c r="J50" s="141"/>
    </row>
    <row r="51" spans="1:10" ht="17.149999999999999" customHeight="1" x14ac:dyDescent="0.3">
      <c r="A51" s="119" t="s">
        <v>126</v>
      </c>
      <c r="B51" s="542">
        <v>0</v>
      </c>
      <c r="C51" s="542">
        <v>0</v>
      </c>
      <c r="D51" s="542">
        <v>0</v>
      </c>
      <c r="E51" s="542">
        <v>0</v>
      </c>
      <c r="F51" s="680">
        <f t="shared" si="9"/>
        <v>0</v>
      </c>
      <c r="G51" s="681">
        <f t="shared" si="10"/>
        <v>0</v>
      </c>
      <c r="H51" s="680">
        <f t="shared" si="11"/>
        <v>0</v>
      </c>
      <c r="I51" s="681">
        <f t="shared" si="12"/>
        <v>0</v>
      </c>
      <c r="J51" s="141"/>
    </row>
    <row r="52" spans="1:10" ht="17.149999999999999" customHeight="1" x14ac:dyDescent="0.3">
      <c r="A52" s="119" t="s">
        <v>127</v>
      </c>
      <c r="B52" s="542">
        <v>0</v>
      </c>
      <c r="C52" s="542">
        <v>0</v>
      </c>
      <c r="D52" s="542">
        <v>0</v>
      </c>
      <c r="E52" s="542">
        <v>0</v>
      </c>
      <c r="F52" s="680">
        <f t="shared" si="9"/>
        <v>0</v>
      </c>
      <c r="G52" s="681">
        <f t="shared" si="10"/>
        <v>0</v>
      </c>
      <c r="H52" s="680">
        <f t="shared" si="11"/>
        <v>0</v>
      </c>
      <c r="I52" s="681">
        <f t="shared" si="12"/>
        <v>0</v>
      </c>
      <c r="J52" s="141"/>
    </row>
    <row r="53" spans="1:10" ht="17.149999999999999" customHeight="1" x14ac:dyDescent="0.3">
      <c r="A53" s="120" t="s">
        <v>141</v>
      </c>
      <c r="B53" s="542">
        <v>0</v>
      </c>
      <c r="C53" s="542">
        <v>0</v>
      </c>
      <c r="D53" s="542">
        <v>0</v>
      </c>
      <c r="E53" s="542">
        <v>0</v>
      </c>
      <c r="F53" s="680">
        <f t="shared" si="9"/>
        <v>0</v>
      </c>
      <c r="G53" s="681">
        <f t="shared" si="10"/>
        <v>0</v>
      </c>
      <c r="H53" s="680">
        <f t="shared" si="11"/>
        <v>0</v>
      </c>
      <c r="I53" s="681">
        <f t="shared" si="12"/>
        <v>0</v>
      </c>
      <c r="J53" s="141"/>
    </row>
    <row r="54" spans="1:10" ht="17.149999999999999" customHeight="1" x14ac:dyDescent="0.3">
      <c r="A54" s="119" t="s">
        <v>129</v>
      </c>
      <c r="B54" s="542">
        <v>0</v>
      </c>
      <c r="C54" s="542">
        <v>0</v>
      </c>
      <c r="D54" s="542">
        <v>0</v>
      </c>
      <c r="E54" s="542">
        <v>0</v>
      </c>
      <c r="F54" s="680">
        <f t="shared" si="9"/>
        <v>0</v>
      </c>
      <c r="G54" s="681">
        <f t="shared" si="10"/>
        <v>0</v>
      </c>
      <c r="H54" s="680">
        <f t="shared" si="11"/>
        <v>0</v>
      </c>
      <c r="I54" s="681">
        <f t="shared" si="12"/>
        <v>0</v>
      </c>
      <c r="J54" s="141"/>
    </row>
    <row r="55" spans="1:10" ht="17.149999999999999" customHeight="1" x14ac:dyDescent="0.3">
      <c r="A55" s="539" t="s">
        <v>130</v>
      </c>
      <c r="B55" s="542">
        <v>0</v>
      </c>
      <c r="C55" s="542">
        <v>0</v>
      </c>
      <c r="D55" s="542">
        <v>0</v>
      </c>
      <c r="E55" s="542">
        <v>0</v>
      </c>
      <c r="F55" s="680">
        <f t="shared" si="9"/>
        <v>0</v>
      </c>
      <c r="G55" s="681">
        <f t="shared" si="10"/>
        <v>0</v>
      </c>
      <c r="H55" s="680">
        <f t="shared" si="11"/>
        <v>0</v>
      </c>
      <c r="I55" s="681">
        <f t="shared" si="12"/>
        <v>0</v>
      </c>
      <c r="J55" s="141"/>
    </row>
    <row r="56" spans="1:10" ht="17.149999999999999" customHeight="1" x14ac:dyDescent="0.3">
      <c r="A56" s="539"/>
      <c r="B56" s="684"/>
      <c r="C56" s="684"/>
      <c r="D56" s="684"/>
      <c r="E56" s="684"/>
      <c r="F56" s="544"/>
      <c r="G56" s="545"/>
      <c r="H56" s="544"/>
      <c r="I56" s="545"/>
      <c r="J56" s="141"/>
    </row>
    <row r="57" spans="1:10" ht="17.149999999999999" customHeight="1" x14ac:dyDescent="0.3">
      <c r="A57" s="539"/>
      <c r="B57" s="684"/>
      <c r="C57" s="684"/>
      <c r="D57" s="684"/>
      <c r="E57" s="684"/>
      <c r="F57" s="544"/>
      <c r="G57" s="545"/>
      <c r="H57" s="544"/>
      <c r="I57" s="545"/>
      <c r="J57" s="141"/>
    </row>
    <row r="58" spans="1:10" ht="17.149999999999999" customHeight="1" thickBot="1" x14ac:dyDescent="0.35">
      <c r="A58" s="539"/>
      <c r="B58" s="636"/>
      <c r="C58" s="636"/>
      <c r="D58" s="637"/>
      <c r="E58" s="637"/>
      <c r="F58" s="638"/>
      <c r="G58" s="639"/>
      <c r="H58" s="640"/>
      <c r="I58" s="641"/>
      <c r="J58" s="141"/>
    </row>
    <row r="59" spans="1:10" ht="17.149999999999999" customHeight="1" thickBot="1" x14ac:dyDescent="0.35">
      <c r="A59" s="106" t="s">
        <v>131</v>
      </c>
      <c r="B59" s="103">
        <f>B50+B55</f>
        <v>0</v>
      </c>
      <c r="C59" s="104">
        <f>C50+C55</f>
        <v>0</v>
      </c>
      <c r="D59" s="104">
        <f>D50+D55</f>
        <v>0</v>
      </c>
      <c r="E59" s="104">
        <f>E50+E55</f>
        <v>0</v>
      </c>
      <c r="F59" s="657">
        <f>B59-C59</f>
        <v>0</v>
      </c>
      <c r="G59" s="625">
        <f>IF(C59&lt;&gt;0,(B59-C59)/C59)*100</f>
        <v>0</v>
      </c>
      <c r="H59" s="657">
        <f>D59-E59</f>
        <v>0</v>
      </c>
      <c r="I59" s="625">
        <f>IF(E59&lt;&gt;0,(D59-E59)/E59)*100</f>
        <v>0</v>
      </c>
      <c r="J59" s="141"/>
    </row>
    <row r="60" spans="1:10" ht="17.149999999999999" customHeight="1" thickBot="1" x14ac:dyDescent="0.35">
      <c r="A60" s="539"/>
      <c r="B60" s="121"/>
      <c r="C60" s="122"/>
      <c r="D60" s="122"/>
      <c r="E60" s="122"/>
      <c r="F60" s="123"/>
      <c r="G60" s="124"/>
      <c r="H60" s="123"/>
      <c r="I60" s="125"/>
      <c r="J60" s="141"/>
    </row>
    <row r="61" spans="1:10" ht="17.149999999999999" customHeight="1" thickBot="1" x14ac:dyDescent="0.35">
      <c r="A61" s="106" t="s">
        <v>132</v>
      </c>
      <c r="B61" s="103">
        <f>B48+B59</f>
        <v>6280424.6069999998</v>
      </c>
      <c r="C61" s="104">
        <f>C48+C59</f>
        <v>5114287.5649999995</v>
      </c>
      <c r="D61" s="104">
        <f>D48+D59</f>
        <v>92643</v>
      </c>
      <c r="E61" s="104">
        <f>E48+E59</f>
        <v>70210</v>
      </c>
      <c r="F61" s="104">
        <f>B61-C61</f>
        <v>1166137.0420000004</v>
      </c>
      <c r="G61" s="105">
        <f>IF(C61&lt;&gt;0,(B61-C61)/C61)*100</f>
        <v>22.801554022510278</v>
      </c>
      <c r="H61" s="104">
        <f>D61-E61</f>
        <v>22433</v>
      </c>
      <c r="I61" s="105">
        <f>IF(E61&lt;&gt;0,(D61-E61)/E61)*100</f>
        <v>31.951288990172337</v>
      </c>
      <c r="J61" s="141"/>
    </row>
    <row r="62" spans="1:10" ht="17.149999999999999" customHeight="1" x14ac:dyDescent="0.3">
      <c r="A62" s="94"/>
      <c r="B62" s="94"/>
      <c r="C62" s="94"/>
      <c r="D62" s="94"/>
      <c r="E62" s="94"/>
      <c r="F62" s="95"/>
      <c r="G62" s="95"/>
      <c r="H62" s="95"/>
      <c r="I62" s="95"/>
      <c r="J62" s="141"/>
    </row>
    <row r="63" spans="1:10" ht="17.149999999999999" customHeight="1" x14ac:dyDescent="0.3">
      <c r="A63" s="126"/>
      <c r="B63" s="127"/>
      <c r="C63" s="126"/>
      <c r="D63" s="126"/>
      <c r="E63" s="126"/>
      <c r="F63" s="538"/>
      <c r="G63" s="538"/>
      <c r="H63" s="538"/>
      <c r="I63" s="538"/>
      <c r="J63" s="141"/>
    </row>
    <row r="64" spans="1:10" ht="17.149999999999999" customHeight="1" thickBot="1" x14ac:dyDescent="0.35">
      <c r="A64" s="404" t="s">
        <v>142</v>
      </c>
      <c r="B64" s="813"/>
      <c r="C64" s="813"/>
      <c r="D64" s="129"/>
      <c r="E64" s="129"/>
      <c r="F64" s="538"/>
      <c r="G64" s="538"/>
      <c r="H64" s="538"/>
      <c r="I64" s="538"/>
      <c r="J64" s="141"/>
    </row>
    <row r="65" spans="1:10" ht="17.149999999999999" customHeight="1" thickBot="1" x14ac:dyDescent="0.35">
      <c r="A65" s="824" t="s">
        <v>134</v>
      </c>
      <c r="B65" s="820" t="s">
        <v>105</v>
      </c>
      <c r="C65" s="821"/>
      <c r="D65" s="820" t="s">
        <v>106</v>
      </c>
      <c r="E65" s="821"/>
      <c r="F65" s="804" t="s">
        <v>107</v>
      </c>
      <c r="G65" s="805"/>
      <c r="H65" s="805"/>
      <c r="I65" s="806"/>
      <c r="J65" s="141"/>
    </row>
    <row r="66" spans="1:10" ht="17.149999999999999" customHeight="1" thickBot="1" x14ac:dyDescent="0.35">
      <c r="A66" s="825"/>
      <c r="B66" s="324" t="s">
        <v>147</v>
      </c>
      <c r="C66" s="324" t="s">
        <v>148</v>
      </c>
      <c r="D66" s="324" t="s">
        <v>147</v>
      </c>
      <c r="E66" s="324" t="s">
        <v>148</v>
      </c>
      <c r="F66" s="804" t="s">
        <v>105</v>
      </c>
      <c r="G66" s="806"/>
      <c r="H66" s="804" t="s">
        <v>106</v>
      </c>
      <c r="I66" s="806"/>
      <c r="J66" s="141"/>
    </row>
    <row r="67" spans="1:10" ht="17.149999999999999" customHeight="1" x14ac:dyDescent="0.3">
      <c r="A67" s="130"/>
      <c r="B67" s="807"/>
      <c r="C67" s="808"/>
      <c r="D67" s="808"/>
      <c r="E67" s="809"/>
      <c r="F67" s="814" t="s">
        <v>110</v>
      </c>
      <c r="G67" s="816" t="s">
        <v>111</v>
      </c>
      <c r="H67" s="816" t="s">
        <v>112</v>
      </c>
      <c r="I67" s="816" t="s">
        <v>111</v>
      </c>
      <c r="J67" s="141"/>
    </row>
    <row r="68" spans="1:10" ht="17.149999999999999" customHeight="1" thickBot="1" x14ac:dyDescent="0.35">
      <c r="A68" s="131" t="s">
        <v>113</v>
      </c>
      <c r="B68" s="810"/>
      <c r="C68" s="811"/>
      <c r="D68" s="811"/>
      <c r="E68" s="812"/>
      <c r="F68" s="815"/>
      <c r="G68" s="817"/>
      <c r="H68" s="817"/>
      <c r="I68" s="817"/>
      <c r="J68" s="141"/>
    </row>
    <row r="69" spans="1:10" ht="17.149999999999999" customHeight="1" thickBot="1" x14ac:dyDescent="0.35">
      <c r="A69" s="540" t="s">
        <v>135</v>
      </c>
      <c r="B69" s="133">
        <f>B70+B71+B72</f>
        <v>7141121.727</v>
      </c>
      <c r="C69" s="91">
        <f>C70+C71+C72</f>
        <v>5940642.3269999996</v>
      </c>
      <c r="D69" s="91">
        <f>D70+D71+D72</f>
        <v>102542</v>
      </c>
      <c r="E69" s="91">
        <f>E70+E71+E72</f>
        <v>80175</v>
      </c>
      <c r="F69" s="91">
        <f t="shared" ref="F69:F75" si="13">B69-C69</f>
        <v>1200479.4000000004</v>
      </c>
      <c r="G69" s="92">
        <f t="shared" ref="G69:G75" si="14">IF(C69&lt;&gt;0,(B69-C69)/C69)*100</f>
        <v>20.20790570985676</v>
      </c>
      <c r="H69" s="91">
        <f t="shared" ref="H69:H75" si="15">D69-E69</f>
        <v>22367</v>
      </c>
      <c r="I69" s="92">
        <f t="shared" ref="I69:I75" si="16">IF(E69&lt;&gt;0,(D69-E69)/E69)*100</f>
        <v>27.897723729342065</v>
      </c>
      <c r="J69" s="141"/>
    </row>
    <row r="70" spans="1:10" ht="17.149999999999999" customHeight="1" x14ac:dyDescent="0.3">
      <c r="A70" s="540" t="s">
        <v>136</v>
      </c>
      <c r="B70" s="542">
        <f t="shared" ref="B70:E71" si="17">B42+B98</f>
        <v>4976346.5329999998</v>
      </c>
      <c r="C70" s="542">
        <f t="shared" si="17"/>
        <v>3871419.602</v>
      </c>
      <c r="D70" s="542">
        <f t="shared" si="17"/>
        <v>75871</v>
      </c>
      <c r="E70" s="542">
        <f t="shared" si="17"/>
        <v>53848</v>
      </c>
      <c r="F70" s="680">
        <f t="shared" si="13"/>
        <v>1104926.9309999999</v>
      </c>
      <c r="G70" s="681">
        <f t="shared" si="14"/>
        <v>28.54061415686348</v>
      </c>
      <c r="H70" s="680">
        <f t="shared" si="15"/>
        <v>22023</v>
      </c>
      <c r="I70" s="681">
        <f t="shared" si="16"/>
        <v>40.898454910117366</v>
      </c>
      <c r="J70" s="141"/>
    </row>
    <row r="71" spans="1:10" ht="17.149999999999999" customHeight="1" x14ac:dyDescent="0.3">
      <c r="A71" s="540" t="s">
        <v>116</v>
      </c>
      <c r="B71" s="542">
        <f t="shared" si="17"/>
        <v>2164775.1940000001</v>
      </c>
      <c r="C71" s="542">
        <f t="shared" si="17"/>
        <v>2069222.7249999999</v>
      </c>
      <c r="D71" s="542">
        <f t="shared" si="17"/>
        <v>26671</v>
      </c>
      <c r="E71" s="542">
        <f t="shared" si="17"/>
        <v>26327</v>
      </c>
      <c r="F71" s="680">
        <f t="shared" si="13"/>
        <v>95552.469000000274</v>
      </c>
      <c r="G71" s="681">
        <f t="shared" si="14"/>
        <v>4.6177952641613427</v>
      </c>
      <c r="H71" s="680">
        <f t="shared" si="15"/>
        <v>344</v>
      </c>
      <c r="I71" s="681">
        <f t="shared" si="16"/>
        <v>1.3066433699244122</v>
      </c>
      <c r="J71" s="141"/>
    </row>
    <row r="72" spans="1:10" ht="17.149999999999999" customHeight="1" x14ac:dyDescent="0.3">
      <c r="A72" s="540" t="s">
        <v>143</v>
      </c>
      <c r="B72" s="542">
        <f>B45+B100</f>
        <v>0</v>
      </c>
      <c r="C72" s="542">
        <f t="shared" ref="C72:E74" si="18">C45+C100</f>
        <v>0</v>
      </c>
      <c r="D72" s="542">
        <f t="shared" si="18"/>
        <v>0</v>
      </c>
      <c r="E72" s="542">
        <f t="shared" si="18"/>
        <v>0</v>
      </c>
      <c r="F72" s="680">
        <f t="shared" si="13"/>
        <v>0</v>
      </c>
      <c r="G72" s="681">
        <f t="shared" si="14"/>
        <v>0</v>
      </c>
      <c r="H72" s="680">
        <f t="shared" si="15"/>
        <v>0</v>
      </c>
      <c r="I72" s="681">
        <f t="shared" si="16"/>
        <v>0</v>
      </c>
      <c r="J72" s="141"/>
    </row>
    <row r="73" spans="1:10" ht="17.149999999999999" customHeight="1" x14ac:dyDescent="0.3">
      <c r="A73" s="540" t="s">
        <v>139</v>
      </c>
      <c r="B73" s="542">
        <f>B46+B101</f>
        <v>0</v>
      </c>
      <c r="C73" s="542">
        <f t="shared" si="18"/>
        <v>0</v>
      </c>
      <c r="D73" s="542">
        <f t="shared" si="18"/>
        <v>0</v>
      </c>
      <c r="E73" s="542">
        <f t="shared" si="18"/>
        <v>0</v>
      </c>
      <c r="F73" s="680">
        <f t="shared" si="13"/>
        <v>0</v>
      </c>
      <c r="G73" s="681">
        <f t="shared" si="14"/>
        <v>0</v>
      </c>
      <c r="H73" s="680">
        <f t="shared" si="15"/>
        <v>0</v>
      </c>
      <c r="I73" s="681">
        <f t="shared" si="16"/>
        <v>0</v>
      </c>
      <c r="J73" s="141"/>
    </row>
    <row r="74" spans="1:10" ht="17.149999999999999" customHeight="1" thickBot="1" x14ac:dyDescent="0.35">
      <c r="A74" s="540" t="s">
        <v>140</v>
      </c>
      <c r="B74" s="542">
        <f>B47+B102</f>
        <v>0</v>
      </c>
      <c r="C74" s="542">
        <f t="shared" si="18"/>
        <v>0</v>
      </c>
      <c r="D74" s="542">
        <f t="shared" si="18"/>
        <v>0</v>
      </c>
      <c r="E74" s="542">
        <f t="shared" si="18"/>
        <v>0</v>
      </c>
      <c r="F74" s="680">
        <f t="shared" si="13"/>
        <v>0</v>
      </c>
      <c r="G74" s="681">
        <f t="shared" si="14"/>
        <v>0</v>
      </c>
      <c r="H74" s="680">
        <f t="shared" si="15"/>
        <v>0</v>
      </c>
      <c r="I74" s="681">
        <f t="shared" si="16"/>
        <v>0</v>
      </c>
      <c r="J74" s="141"/>
    </row>
    <row r="75" spans="1:10" ht="17.149999999999999" customHeight="1" thickBot="1" x14ac:dyDescent="0.35">
      <c r="A75" s="134" t="s">
        <v>123</v>
      </c>
      <c r="B75" s="135">
        <f>B69+B73+B74</f>
        <v>7141121.727</v>
      </c>
      <c r="C75" s="90">
        <f>C69+C73+C74</f>
        <v>5940642.3269999996</v>
      </c>
      <c r="D75" s="90">
        <f>D69+D73+D74</f>
        <v>102542</v>
      </c>
      <c r="E75" s="91">
        <f>E69+E73+E74</f>
        <v>80175</v>
      </c>
      <c r="F75" s="82">
        <f t="shared" si="13"/>
        <v>1200479.4000000004</v>
      </c>
      <c r="G75" s="83">
        <f t="shared" si="14"/>
        <v>20.20790570985676</v>
      </c>
      <c r="H75" s="82">
        <f t="shared" si="15"/>
        <v>22367</v>
      </c>
      <c r="I75" s="83">
        <f t="shared" si="16"/>
        <v>27.897723729342065</v>
      </c>
      <c r="J75" s="141"/>
    </row>
    <row r="76" spans="1:10" ht="17.149999999999999" customHeight="1" x14ac:dyDescent="0.3">
      <c r="A76" s="136"/>
      <c r="B76" s="107"/>
      <c r="C76" s="108"/>
      <c r="D76" s="108"/>
      <c r="E76" s="108"/>
      <c r="F76" s="110"/>
      <c r="G76" s="110"/>
      <c r="H76" s="110"/>
      <c r="I76" s="137"/>
      <c r="J76" s="141"/>
    </row>
    <row r="77" spans="1:10" ht="17.149999999999999" customHeight="1" thickBot="1" x14ac:dyDescent="0.35">
      <c r="A77" s="131" t="s">
        <v>124</v>
      </c>
      <c r="B77" s="114"/>
      <c r="C77" s="115"/>
      <c r="D77" s="115"/>
      <c r="E77" s="115"/>
      <c r="F77" s="116"/>
      <c r="G77" s="116"/>
      <c r="H77" s="116"/>
      <c r="I77" s="138"/>
      <c r="J77" s="141"/>
    </row>
    <row r="78" spans="1:10" ht="17.149999999999999" customHeight="1" thickBot="1" x14ac:dyDescent="0.35">
      <c r="A78" s="540" t="s">
        <v>125</v>
      </c>
      <c r="B78" s="133">
        <f>SUM(B79:B82)</f>
        <v>0</v>
      </c>
      <c r="C78" s="91">
        <f>SUM(C79:C82)</f>
        <v>0</v>
      </c>
      <c r="D78" s="91">
        <f>SUM(D79:D82)</f>
        <v>0</v>
      </c>
      <c r="E78" s="91">
        <f>SUM(E79:E82)</f>
        <v>0</v>
      </c>
      <c r="F78" s="91">
        <f t="shared" ref="F78:F83" si="19">B78-C78</f>
        <v>0</v>
      </c>
      <c r="G78" s="92">
        <f t="shared" ref="G78:G83" si="20">IF(C78&lt;&gt;0,(B78-C78)/C78)*100</f>
        <v>0</v>
      </c>
      <c r="H78" s="91">
        <f t="shared" ref="H78:H83" si="21">D78-E78</f>
        <v>0</v>
      </c>
      <c r="I78" s="92">
        <f t="shared" ref="I78:I83" si="22">IF(E78&lt;&gt;0,(D78-E78)/E78)*100</f>
        <v>0</v>
      </c>
      <c r="J78" s="141"/>
    </row>
    <row r="79" spans="1:10" ht="17.149999999999999" customHeight="1" x14ac:dyDescent="0.3">
      <c r="A79" s="119" t="s">
        <v>126</v>
      </c>
      <c r="B79" s="542">
        <f t="shared" ref="B79:E83" si="23">B51+B107</f>
        <v>0</v>
      </c>
      <c r="C79" s="542">
        <f t="shared" si="23"/>
        <v>0</v>
      </c>
      <c r="D79" s="542">
        <f t="shared" si="23"/>
        <v>0</v>
      </c>
      <c r="E79" s="542">
        <f t="shared" si="23"/>
        <v>0</v>
      </c>
      <c r="F79" s="680">
        <f t="shared" si="19"/>
        <v>0</v>
      </c>
      <c r="G79" s="681">
        <f t="shared" si="20"/>
        <v>0</v>
      </c>
      <c r="H79" s="680">
        <f t="shared" si="21"/>
        <v>0</v>
      </c>
      <c r="I79" s="681">
        <f t="shared" si="22"/>
        <v>0</v>
      </c>
      <c r="J79" s="141"/>
    </row>
    <row r="80" spans="1:10" ht="17.149999999999999" customHeight="1" x14ac:dyDescent="0.3">
      <c r="A80" s="119" t="s">
        <v>144</v>
      </c>
      <c r="B80" s="684">
        <f t="shared" si="23"/>
        <v>0</v>
      </c>
      <c r="C80" s="684">
        <f t="shared" si="23"/>
        <v>0</v>
      </c>
      <c r="D80" s="684">
        <f t="shared" si="23"/>
        <v>0</v>
      </c>
      <c r="E80" s="684">
        <f t="shared" si="23"/>
        <v>0</v>
      </c>
      <c r="F80" s="680">
        <f t="shared" si="19"/>
        <v>0</v>
      </c>
      <c r="G80" s="681">
        <f t="shared" si="20"/>
        <v>0</v>
      </c>
      <c r="H80" s="680">
        <f t="shared" si="21"/>
        <v>0</v>
      </c>
      <c r="I80" s="681">
        <f t="shared" si="22"/>
        <v>0</v>
      </c>
      <c r="J80" s="141"/>
    </row>
    <row r="81" spans="1:10" ht="17.149999999999999" customHeight="1" x14ac:dyDescent="0.3">
      <c r="A81" s="120" t="s">
        <v>141</v>
      </c>
      <c r="B81" s="542">
        <f t="shared" si="23"/>
        <v>0</v>
      </c>
      <c r="C81" s="542">
        <f t="shared" si="23"/>
        <v>0</v>
      </c>
      <c r="D81" s="542">
        <f t="shared" si="23"/>
        <v>0</v>
      </c>
      <c r="E81" s="542">
        <f t="shared" si="23"/>
        <v>0</v>
      </c>
      <c r="F81" s="680">
        <f t="shared" si="19"/>
        <v>0</v>
      </c>
      <c r="G81" s="681">
        <f t="shared" si="20"/>
        <v>0</v>
      </c>
      <c r="H81" s="680">
        <f t="shared" si="21"/>
        <v>0</v>
      </c>
      <c r="I81" s="681">
        <f t="shared" si="22"/>
        <v>0</v>
      </c>
      <c r="J81" s="141"/>
    </row>
    <row r="82" spans="1:10" ht="17.149999999999999" customHeight="1" x14ac:dyDescent="0.3">
      <c r="A82" s="119" t="s">
        <v>129</v>
      </c>
      <c r="B82" s="542">
        <f t="shared" si="23"/>
        <v>0</v>
      </c>
      <c r="C82" s="542">
        <f t="shared" si="23"/>
        <v>0</v>
      </c>
      <c r="D82" s="542">
        <f t="shared" si="23"/>
        <v>0</v>
      </c>
      <c r="E82" s="542">
        <f t="shared" si="23"/>
        <v>0</v>
      </c>
      <c r="F82" s="680">
        <f t="shared" si="19"/>
        <v>0</v>
      </c>
      <c r="G82" s="681">
        <f t="shared" si="20"/>
        <v>0</v>
      </c>
      <c r="H82" s="680">
        <f t="shared" si="21"/>
        <v>0</v>
      </c>
      <c r="I82" s="681">
        <f t="shared" si="22"/>
        <v>0</v>
      </c>
      <c r="J82" s="141"/>
    </row>
    <row r="83" spans="1:10" ht="17.149999999999999" customHeight="1" x14ac:dyDescent="0.3">
      <c r="A83" s="540" t="s">
        <v>130</v>
      </c>
      <c r="B83" s="542">
        <f t="shared" si="23"/>
        <v>0</v>
      </c>
      <c r="C83" s="542">
        <f t="shared" si="23"/>
        <v>0</v>
      </c>
      <c r="D83" s="542">
        <f t="shared" si="23"/>
        <v>0</v>
      </c>
      <c r="E83" s="542">
        <f t="shared" si="23"/>
        <v>0</v>
      </c>
      <c r="F83" s="680">
        <f t="shared" si="19"/>
        <v>0</v>
      </c>
      <c r="G83" s="681">
        <f t="shared" si="20"/>
        <v>0</v>
      </c>
      <c r="H83" s="680">
        <f t="shared" si="21"/>
        <v>0</v>
      </c>
      <c r="I83" s="681">
        <f t="shared" si="22"/>
        <v>0</v>
      </c>
      <c r="J83" s="141"/>
    </row>
    <row r="84" spans="1:10" ht="17.149999999999999" customHeight="1" x14ac:dyDescent="0.3">
      <c r="A84" s="540"/>
      <c r="B84" s="542"/>
      <c r="C84" s="542"/>
      <c r="D84" s="542"/>
      <c r="E84" s="542"/>
      <c r="F84" s="544"/>
      <c r="G84" s="545"/>
      <c r="H84" s="544"/>
      <c r="I84" s="545"/>
      <c r="J84" s="141"/>
    </row>
    <row r="85" spans="1:10" ht="17.149999999999999" customHeight="1" x14ac:dyDescent="0.3">
      <c r="A85" s="540"/>
      <c r="B85" s="542"/>
      <c r="C85" s="542"/>
      <c r="D85" s="542"/>
      <c r="E85" s="542"/>
      <c r="F85" s="544"/>
      <c r="G85" s="545"/>
      <c r="H85" s="544"/>
      <c r="I85" s="545"/>
      <c r="J85" s="141"/>
    </row>
    <row r="86" spans="1:10" ht="17.149999999999999" customHeight="1" thickBot="1" x14ac:dyDescent="0.35">
      <c r="A86" s="540"/>
      <c r="B86" s="642"/>
      <c r="C86" s="636"/>
      <c r="D86" s="637"/>
      <c r="E86" s="637"/>
      <c r="F86" s="638"/>
      <c r="G86" s="639"/>
      <c r="H86" s="640"/>
      <c r="I86" s="641"/>
      <c r="J86" s="141"/>
    </row>
    <row r="87" spans="1:10" ht="17.149999999999999" customHeight="1" thickBot="1" x14ac:dyDescent="0.35">
      <c r="A87" s="134" t="s">
        <v>131</v>
      </c>
      <c r="B87" s="103">
        <f>B78+B83</f>
        <v>0</v>
      </c>
      <c r="C87" s="104">
        <f>C78+C83</f>
        <v>0</v>
      </c>
      <c r="D87" s="104">
        <f>D78+D83</f>
        <v>0</v>
      </c>
      <c r="E87" s="104">
        <f>E78+E83</f>
        <v>0</v>
      </c>
      <c r="F87" s="657">
        <f>B87-C87</f>
        <v>0</v>
      </c>
      <c r="G87" s="625">
        <f>IF(C87&lt;&gt;0,(B87-C87)/C87)*100</f>
        <v>0</v>
      </c>
      <c r="H87" s="657">
        <f>D87-E87</f>
        <v>0</v>
      </c>
      <c r="I87" s="625">
        <f>IF(E87&lt;&gt;0,(D87-E87)/E87)*100</f>
        <v>0</v>
      </c>
      <c r="J87" s="141"/>
    </row>
    <row r="88" spans="1:10" ht="17.149999999999999" customHeight="1" thickBot="1" x14ac:dyDescent="0.35">
      <c r="A88" s="540"/>
      <c r="B88" s="121"/>
      <c r="C88" s="122"/>
      <c r="D88" s="122"/>
      <c r="E88" s="122"/>
      <c r="F88" s="123"/>
      <c r="G88" s="124"/>
      <c r="H88" s="123"/>
      <c r="I88" s="125"/>
      <c r="J88" s="141"/>
    </row>
    <row r="89" spans="1:10" ht="17.149999999999999" customHeight="1" thickBot="1" x14ac:dyDescent="0.35">
      <c r="A89" s="134" t="s">
        <v>132</v>
      </c>
      <c r="B89" s="139">
        <f>B75+B87</f>
        <v>7141121.727</v>
      </c>
      <c r="C89" s="140">
        <f>C75+C87</f>
        <v>5940642.3269999996</v>
      </c>
      <c r="D89" s="140">
        <f>D75+D87</f>
        <v>102542</v>
      </c>
      <c r="E89" s="140">
        <f>E75+E87</f>
        <v>80175</v>
      </c>
      <c r="F89" s="104">
        <f>B89-C89</f>
        <v>1200479.4000000004</v>
      </c>
      <c r="G89" s="105">
        <f>IF(C89&lt;&gt;0,(B89-C89)/C89)*100</f>
        <v>20.20790570985676</v>
      </c>
      <c r="H89" s="104">
        <f>D89-E89</f>
        <v>22367</v>
      </c>
      <c r="I89" s="105">
        <f>IF(E89&lt;&gt;0,(D89-E89)/E89)*100</f>
        <v>27.897723729342065</v>
      </c>
      <c r="J89" s="141"/>
    </row>
    <row r="90" spans="1:10" ht="17.149999999999999" customHeight="1" x14ac:dyDescent="0.3">
      <c r="A90" s="94"/>
      <c r="B90" s="94"/>
      <c r="C90" s="94"/>
      <c r="D90" s="94"/>
      <c r="E90" s="94"/>
      <c r="F90" s="541"/>
      <c r="G90" s="541"/>
      <c r="H90" s="541"/>
      <c r="I90" s="541"/>
      <c r="J90" s="141"/>
    </row>
    <row r="91" spans="1:10" ht="17.149999999999999" customHeight="1" x14ac:dyDescent="0.3">
      <c r="A91" s="126"/>
      <c r="B91" s="97"/>
      <c r="C91" s="97"/>
      <c r="D91" s="97"/>
      <c r="E91" s="97"/>
      <c r="F91" s="541"/>
      <c r="G91" s="541"/>
      <c r="H91" s="541"/>
      <c r="I91" s="541"/>
      <c r="J91" s="141"/>
    </row>
    <row r="92" spans="1:10" ht="17.149999999999999" customHeight="1" thickBot="1" x14ac:dyDescent="0.35">
      <c r="A92" s="404" t="s">
        <v>145</v>
      </c>
      <c r="B92" s="813"/>
      <c r="C92" s="813"/>
      <c r="D92" s="129"/>
      <c r="E92" s="129"/>
      <c r="F92" s="541"/>
      <c r="G92" s="541"/>
      <c r="H92" s="541"/>
      <c r="I92" s="541"/>
      <c r="J92" s="141"/>
    </row>
    <row r="93" spans="1:10" ht="17.149999999999999" customHeight="1" thickBot="1" x14ac:dyDescent="0.35">
      <c r="A93" s="824" t="s">
        <v>134</v>
      </c>
      <c r="B93" s="820" t="s">
        <v>105</v>
      </c>
      <c r="C93" s="835"/>
      <c r="D93" s="820" t="s">
        <v>106</v>
      </c>
      <c r="E93" s="821"/>
      <c r="F93" s="804" t="s">
        <v>107</v>
      </c>
      <c r="G93" s="805"/>
      <c r="H93" s="805"/>
      <c r="I93" s="806"/>
      <c r="J93" s="141"/>
    </row>
    <row r="94" spans="1:10" ht="17.149999999999999" customHeight="1" thickBot="1" x14ac:dyDescent="0.35">
      <c r="A94" s="825"/>
      <c r="B94" s="324" t="s">
        <v>147</v>
      </c>
      <c r="C94" s="324" t="s">
        <v>148</v>
      </c>
      <c r="D94" s="324" t="s">
        <v>147</v>
      </c>
      <c r="E94" s="324" t="s">
        <v>148</v>
      </c>
      <c r="F94" s="804" t="s">
        <v>105</v>
      </c>
      <c r="G94" s="806"/>
      <c r="H94" s="804" t="s">
        <v>106</v>
      </c>
      <c r="I94" s="806"/>
      <c r="J94" s="141"/>
    </row>
    <row r="95" spans="1:10" ht="17.149999999999999" customHeight="1" x14ac:dyDescent="0.3">
      <c r="A95" s="130"/>
      <c r="B95" s="807"/>
      <c r="C95" s="808"/>
      <c r="D95" s="808"/>
      <c r="E95" s="809"/>
      <c r="F95" s="814" t="s">
        <v>110</v>
      </c>
      <c r="G95" s="816" t="s">
        <v>111</v>
      </c>
      <c r="H95" s="816" t="s">
        <v>112</v>
      </c>
      <c r="I95" s="816" t="s">
        <v>111</v>
      </c>
      <c r="J95" s="141"/>
    </row>
    <row r="96" spans="1:10" ht="17.149999999999999" customHeight="1" thickBot="1" x14ac:dyDescent="0.35">
      <c r="A96" s="131" t="s">
        <v>113</v>
      </c>
      <c r="B96" s="810"/>
      <c r="C96" s="811"/>
      <c r="D96" s="811"/>
      <c r="E96" s="812"/>
      <c r="F96" s="815"/>
      <c r="G96" s="817"/>
      <c r="H96" s="817"/>
      <c r="I96" s="817"/>
      <c r="J96" s="141"/>
    </row>
    <row r="97" spans="1:10" ht="17.149999999999999" customHeight="1" thickBot="1" x14ac:dyDescent="0.35">
      <c r="A97" s="540" t="s">
        <v>135</v>
      </c>
      <c r="B97" s="91">
        <f>B98+B99+B100</f>
        <v>860697.12000000011</v>
      </c>
      <c r="C97" s="91">
        <f>C98+C99+C100</f>
        <v>826354.76199999999</v>
      </c>
      <c r="D97" s="91">
        <f>D98+D99+D100</f>
        <v>9899</v>
      </c>
      <c r="E97" s="91">
        <f>E98+E99+E100</f>
        <v>9965</v>
      </c>
      <c r="F97" s="91">
        <f t="shared" ref="F97:F103" si="24">B97-C97</f>
        <v>34342.358000000124</v>
      </c>
      <c r="G97" s="92">
        <f t="shared" ref="G97:G103" si="25">IF(C97&lt;&gt;0,(B97-C97)/C97)*100</f>
        <v>4.1558855323689814</v>
      </c>
      <c r="H97" s="91">
        <f t="shared" ref="H97:H103" si="26">D97-E97</f>
        <v>-66</v>
      </c>
      <c r="I97" s="92">
        <f t="shared" ref="I97:I103" si="27">IF(E97&lt;&gt;0,(D97-E97)/E97)*100</f>
        <v>-0.66231811339688917</v>
      </c>
      <c r="J97" s="141"/>
    </row>
    <row r="98" spans="1:10" ht="17.149999999999999" customHeight="1" x14ac:dyDescent="0.3">
      <c r="A98" s="540" t="s">
        <v>136</v>
      </c>
      <c r="B98" s="543">
        <f>729110045/1000</f>
        <v>729110.04500000004</v>
      </c>
      <c r="C98" s="543">
        <f>707931140/1000</f>
        <v>707931.14</v>
      </c>
      <c r="D98" s="543">
        <v>7766</v>
      </c>
      <c r="E98" s="543">
        <v>8008</v>
      </c>
      <c r="F98" s="680">
        <f t="shared" si="24"/>
        <v>21178.905000000028</v>
      </c>
      <c r="G98" s="681">
        <f t="shared" si="25"/>
        <v>2.991661731393823</v>
      </c>
      <c r="H98" s="680">
        <f t="shared" si="26"/>
        <v>-242</v>
      </c>
      <c r="I98" s="681">
        <f t="shared" si="27"/>
        <v>-3.0219780219780219</v>
      </c>
      <c r="J98" s="141"/>
    </row>
    <row r="99" spans="1:10" ht="17.149999999999999" customHeight="1" x14ac:dyDescent="0.3">
      <c r="A99" s="540" t="s">
        <v>116</v>
      </c>
      <c r="B99" s="543">
        <f>131587075/1000</f>
        <v>131587.07500000001</v>
      </c>
      <c r="C99" s="543">
        <f>118423622/1000</f>
        <v>118423.622</v>
      </c>
      <c r="D99" s="543">
        <v>2133</v>
      </c>
      <c r="E99" s="543">
        <v>1957</v>
      </c>
      <c r="F99" s="680">
        <f t="shared" si="24"/>
        <v>13163.453000000009</v>
      </c>
      <c r="G99" s="681">
        <f t="shared" si="25"/>
        <v>11.115563582407578</v>
      </c>
      <c r="H99" s="680">
        <f t="shared" si="26"/>
        <v>176</v>
      </c>
      <c r="I99" s="681">
        <f t="shared" si="27"/>
        <v>8.9933571793561562</v>
      </c>
      <c r="J99" s="141"/>
    </row>
    <row r="100" spans="1:10" ht="17.149999999999999" customHeight="1" x14ac:dyDescent="0.3">
      <c r="A100" s="540" t="s">
        <v>143</v>
      </c>
      <c r="B100" s="543">
        <v>0</v>
      </c>
      <c r="C100" s="543">
        <v>0</v>
      </c>
      <c r="D100" s="543">
        <v>0</v>
      </c>
      <c r="E100" s="543">
        <v>0</v>
      </c>
      <c r="F100" s="680">
        <f t="shared" si="24"/>
        <v>0</v>
      </c>
      <c r="G100" s="681">
        <f t="shared" si="25"/>
        <v>0</v>
      </c>
      <c r="H100" s="680">
        <f t="shared" si="26"/>
        <v>0</v>
      </c>
      <c r="I100" s="681">
        <f t="shared" si="27"/>
        <v>0</v>
      </c>
      <c r="J100" s="141"/>
    </row>
    <row r="101" spans="1:10" ht="17.149999999999999" customHeight="1" x14ac:dyDescent="0.3">
      <c r="A101" s="540" t="s">
        <v>139</v>
      </c>
      <c r="B101" s="543">
        <v>0</v>
      </c>
      <c r="C101" s="543">
        <v>0</v>
      </c>
      <c r="D101" s="543">
        <v>0</v>
      </c>
      <c r="E101" s="543">
        <v>0</v>
      </c>
      <c r="F101" s="680">
        <f t="shared" si="24"/>
        <v>0</v>
      </c>
      <c r="G101" s="681">
        <f t="shared" si="25"/>
        <v>0</v>
      </c>
      <c r="H101" s="680">
        <f t="shared" si="26"/>
        <v>0</v>
      </c>
      <c r="I101" s="681">
        <f t="shared" si="27"/>
        <v>0</v>
      </c>
      <c r="J101" s="141"/>
    </row>
    <row r="102" spans="1:10" ht="17.149999999999999" customHeight="1" thickBot="1" x14ac:dyDescent="0.35">
      <c r="A102" s="540" t="s">
        <v>140</v>
      </c>
      <c r="B102" s="543">
        <v>0</v>
      </c>
      <c r="C102" s="543">
        <v>0</v>
      </c>
      <c r="D102" s="543">
        <v>0</v>
      </c>
      <c r="E102" s="543">
        <v>0</v>
      </c>
      <c r="F102" s="680">
        <f t="shared" si="24"/>
        <v>0</v>
      </c>
      <c r="G102" s="681">
        <f t="shared" si="25"/>
        <v>0</v>
      </c>
      <c r="H102" s="680">
        <f t="shared" si="26"/>
        <v>0</v>
      </c>
      <c r="I102" s="681">
        <f t="shared" si="27"/>
        <v>0</v>
      </c>
      <c r="J102" s="141"/>
    </row>
    <row r="103" spans="1:10" ht="17.149999999999999" customHeight="1" thickBot="1" x14ac:dyDescent="0.35">
      <c r="A103" s="134" t="s">
        <v>123</v>
      </c>
      <c r="B103" s="81">
        <f>B97+B101+B102</f>
        <v>860697.12000000011</v>
      </c>
      <c r="C103" s="81">
        <f>C97+C101+C102</f>
        <v>826354.76199999999</v>
      </c>
      <c r="D103" s="81">
        <f>D97+D101+D102</f>
        <v>9899</v>
      </c>
      <c r="E103" s="82">
        <f>E97+E101+E102</f>
        <v>9965</v>
      </c>
      <c r="F103" s="91">
        <f t="shared" si="24"/>
        <v>34342.358000000124</v>
      </c>
      <c r="G103" s="92">
        <f t="shared" si="25"/>
        <v>4.1558855323689814</v>
      </c>
      <c r="H103" s="91">
        <f t="shared" si="26"/>
        <v>-66</v>
      </c>
      <c r="I103" s="92">
        <f t="shared" si="27"/>
        <v>-0.66231811339688917</v>
      </c>
      <c r="J103" s="141"/>
    </row>
    <row r="104" spans="1:10" ht="17.149999999999999" customHeight="1" x14ac:dyDescent="0.3">
      <c r="A104" s="142"/>
      <c r="B104" s="107"/>
      <c r="C104" s="108"/>
      <c r="D104" s="109"/>
      <c r="E104" s="108"/>
      <c r="F104" s="110"/>
      <c r="G104" s="111"/>
      <c r="H104" s="112"/>
      <c r="I104" s="113"/>
      <c r="J104" s="141"/>
    </row>
    <row r="105" spans="1:10" ht="17.149999999999999" customHeight="1" thickBot="1" x14ac:dyDescent="0.35">
      <c r="A105" s="143" t="s">
        <v>124</v>
      </c>
      <c r="B105" s="114"/>
      <c r="C105" s="115"/>
      <c r="D105" s="115"/>
      <c r="E105" s="115"/>
      <c r="F105" s="116"/>
      <c r="G105" s="117"/>
      <c r="H105" s="116"/>
      <c r="I105" s="118"/>
      <c r="J105" s="141"/>
    </row>
    <row r="106" spans="1:10" ht="17.149999999999999" customHeight="1" thickBot="1" x14ac:dyDescent="0.35">
      <c r="A106" s="540" t="s">
        <v>125</v>
      </c>
      <c r="B106" s="104">
        <f>SUM(B107:B110)</f>
        <v>0</v>
      </c>
      <c r="C106" s="104">
        <f>SUM(C107:C110)</f>
        <v>0</v>
      </c>
      <c r="D106" s="104">
        <f>SUM(D107:D110)</f>
        <v>0</v>
      </c>
      <c r="E106" s="104">
        <f>SUM(E107:E110)</f>
        <v>0</v>
      </c>
      <c r="F106" s="91">
        <f t="shared" ref="F106:F111" si="28">B106-C106</f>
        <v>0</v>
      </c>
      <c r="G106" s="92">
        <f t="shared" ref="G106:G111" si="29">IF(C106&lt;&gt;0,(B106-C106)/C106)*100</f>
        <v>0</v>
      </c>
      <c r="H106" s="91">
        <f t="shared" ref="H106:H111" si="30">D106-E106</f>
        <v>0</v>
      </c>
      <c r="I106" s="92">
        <f t="shared" ref="I106:I111" si="31">IF(E106&lt;&gt;0,(D106-E106)/E106)*100</f>
        <v>0</v>
      </c>
      <c r="J106" s="141"/>
    </row>
    <row r="107" spans="1:10" ht="17.149999999999999" customHeight="1" x14ac:dyDescent="0.3">
      <c r="A107" s="119" t="s">
        <v>126</v>
      </c>
      <c r="B107" s="543">
        <v>0</v>
      </c>
      <c r="C107" s="543">
        <v>0</v>
      </c>
      <c r="D107" s="543">
        <v>0</v>
      </c>
      <c r="E107" s="543">
        <v>0</v>
      </c>
      <c r="F107" s="680">
        <f t="shared" si="28"/>
        <v>0</v>
      </c>
      <c r="G107" s="681">
        <f t="shared" si="29"/>
        <v>0</v>
      </c>
      <c r="H107" s="680">
        <f t="shared" si="30"/>
        <v>0</v>
      </c>
      <c r="I107" s="681">
        <f t="shared" si="31"/>
        <v>0</v>
      </c>
      <c r="J107" s="141"/>
    </row>
    <row r="108" spans="1:10" ht="17.149999999999999" customHeight="1" x14ac:dyDescent="0.3">
      <c r="A108" s="119" t="s">
        <v>144</v>
      </c>
      <c r="B108" s="543">
        <v>0</v>
      </c>
      <c r="C108" s="543">
        <v>0</v>
      </c>
      <c r="D108" s="543">
        <v>0</v>
      </c>
      <c r="E108" s="543">
        <v>0</v>
      </c>
      <c r="F108" s="680">
        <f t="shared" si="28"/>
        <v>0</v>
      </c>
      <c r="G108" s="681">
        <f t="shared" si="29"/>
        <v>0</v>
      </c>
      <c r="H108" s="680">
        <f t="shared" si="30"/>
        <v>0</v>
      </c>
      <c r="I108" s="681">
        <f t="shared" si="31"/>
        <v>0</v>
      </c>
      <c r="J108" s="141"/>
    </row>
    <row r="109" spans="1:10" ht="17.149999999999999" customHeight="1" x14ac:dyDescent="0.3">
      <c r="A109" s="120" t="s">
        <v>141</v>
      </c>
      <c r="B109" s="543">
        <v>0</v>
      </c>
      <c r="C109" s="543">
        <v>0</v>
      </c>
      <c r="D109" s="543">
        <v>0</v>
      </c>
      <c r="E109" s="543">
        <v>0</v>
      </c>
      <c r="F109" s="680">
        <f t="shared" si="28"/>
        <v>0</v>
      </c>
      <c r="G109" s="681">
        <f t="shared" si="29"/>
        <v>0</v>
      </c>
      <c r="H109" s="680">
        <f t="shared" si="30"/>
        <v>0</v>
      </c>
      <c r="I109" s="681">
        <f t="shared" si="31"/>
        <v>0</v>
      </c>
      <c r="J109" s="141"/>
    </row>
    <row r="110" spans="1:10" ht="17.149999999999999" customHeight="1" x14ac:dyDescent="0.3">
      <c r="A110" s="119" t="s">
        <v>129</v>
      </c>
      <c r="B110" s="543">
        <v>0</v>
      </c>
      <c r="C110" s="543">
        <v>0</v>
      </c>
      <c r="D110" s="543">
        <v>0</v>
      </c>
      <c r="E110" s="543">
        <v>0</v>
      </c>
      <c r="F110" s="680">
        <f t="shared" si="28"/>
        <v>0</v>
      </c>
      <c r="G110" s="681">
        <f t="shared" si="29"/>
        <v>0</v>
      </c>
      <c r="H110" s="680">
        <f t="shared" si="30"/>
        <v>0</v>
      </c>
      <c r="I110" s="681">
        <f t="shared" si="31"/>
        <v>0</v>
      </c>
      <c r="J110" s="141"/>
    </row>
    <row r="111" spans="1:10" ht="17.149999999999999" customHeight="1" x14ac:dyDescent="0.3">
      <c r="A111" s="540" t="s">
        <v>130</v>
      </c>
      <c r="B111" s="543">
        <v>0</v>
      </c>
      <c r="C111" s="543">
        <v>0</v>
      </c>
      <c r="D111" s="543">
        <v>0</v>
      </c>
      <c r="E111" s="543">
        <v>0</v>
      </c>
      <c r="F111" s="680">
        <f t="shared" si="28"/>
        <v>0</v>
      </c>
      <c r="G111" s="681">
        <f t="shared" si="29"/>
        <v>0</v>
      </c>
      <c r="H111" s="680">
        <f t="shared" si="30"/>
        <v>0</v>
      </c>
      <c r="I111" s="681">
        <f t="shared" si="31"/>
        <v>0</v>
      </c>
      <c r="J111" s="141"/>
    </row>
    <row r="112" spans="1:10" ht="17.149999999999999" customHeight="1" x14ac:dyDescent="0.3">
      <c r="A112" s="540"/>
      <c r="B112" s="684"/>
      <c r="C112" s="684"/>
      <c r="D112" s="684"/>
      <c r="E112" s="684"/>
      <c r="F112" s="544"/>
      <c r="G112" s="545"/>
      <c r="H112" s="544"/>
      <c r="I112" s="545"/>
      <c r="J112" s="141"/>
    </row>
    <row r="113" spans="1:10" ht="17.149999999999999" customHeight="1" x14ac:dyDescent="0.3">
      <c r="A113" s="540"/>
      <c r="B113" s="684"/>
      <c r="C113" s="684"/>
      <c r="D113" s="684"/>
      <c r="E113" s="684"/>
      <c r="F113" s="544"/>
      <c r="G113" s="545"/>
      <c r="H113" s="544"/>
      <c r="I113" s="545"/>
      <c r="J113" s="141"/>
    </row>
    <row r="114" spans="1:10" ht="17.149999999999999" customHeight="1" thickBot="1" x14ac:dyDescent="0.35">
      <c r="A114" s="540"/>
      <c r="B114" s="636"/>
      <c r="C114" s="636"/>
      <c r="D114" s="637"/>
      <c r="E114" s="637"/>
      <c r="F114" s="638"/>
      <c r="G114" s="639"/>
      <c r="H114" s="640"/>
      <c r="I114" s="641"/>
      <c r="J114" s="141"/>
    </row>
    <row r="115" spans="1:10" ht="17.149999999999999" customHeight="1" thickBot="1" x14ac:dyDescent="0.35">
      <c r="A115" s="134" t="s">
        <v>131</v>
      </c>
      <c r="B115" s="104">
        <f>B106+B111</f>
        <v>0</v>
      </c>
      <c r="C115" s="104">
        <f>C106+C111</f>
        <v>0</v>
      </c>
      <c r="D115" s="104">
        <f>D106+D111</f>
        <v>0</v>
      </c>
      <c r="E115" s="104">
        <f>E106+E111</f>
        <v>0</v>
      </c>
      <c r="F115" s="657">
        <f>B115-C115</f>
        <v>0</v>
      </c>
      <c r="G115" s="625">
        <f>IF(C115&lt;&gt;0,(B115-C115)/C115)*100</f>
        <v>0</v>
      </c>
      <c r="H115" s="657">
        <f>D115-E115</f>
        <v>0</v>
      </c>
      <c r="I115" s="625">
        <f>IF(E115&lt;&gt;0,(D115-E115)/E115)*100</f>
        <v>0</v>
      </c>
      <c r="J115" s="141"/>
    </row>
    <row r="116" spans="1:10" ht="17.149999999999999" customHeight="1" thickBot="1" x14ac:dyDescent="0.35">
      <c r="A116" s="540"/>
      <c r="B116" s="121"/>
      <c r="C116" s="122"/>
      <c r="D116" s="122"/>
      <c r="E116" s="122"/>
      <c r="F116" s="123"/>
      <c r="G116" s="124"/>
      <c r="H116" s="123"/>
      <c r="I116" s="125"/>
      <c r="J116" s="141"/>
    </row>
    <row r="117" spans="1:10" ht="17.149999999999999" customHeight="1" thickBot="1" x14ac:dyDescent="0.35">
      <c r="A117" s="134" t="s">
        <v>132</v>
      </c>
      <c r="B117" s="104">
        <f>B103+B115</f>
        <v>860697.12000000011</v>
      </c>
      <c r="C117" s="104">
        <f>C103+C115</f>
        <v>826354.76199999999</v>
      </c>
      <c r="D117" s="104">
        <f>D103+D115</f>
        <v>9899</v>
      </c>
      <c r="E117" s="104">
        <f>E103+E115</f>
        <v>9965</v>
      </c>
      <c r="F117" s="104">
        <f>B117-C117</f>
        <v>34342.358000000124</v>
      </c>
      <c r="G117" s="105">
        <f>IF(C117&lt;&gt;0,(B117-C117)/C117)*100</f>
        <v>4.1558855323689814</v>
      </c>
      <c r="H117" s="104">
        <f>D117-E117</f>
        <v>-66</v>
      </c>
      <c r="I117" s="105">
        <f>IF(E117&lt;&gt;0,(D117-E117)/E117)*100</f>
        <v>-0.66231811339688917</v>
      </c>
      <c r="J117" s="141"/>
    </row>
    <row r="120" spans="1:10" ht="15.5" x14ac:dyDescent="0.35">
      <c r="B120" s="217">
        <f t="shared" ref="B120:E122" si="32">B41-B69+B97</f>
        <v>0</v>
      </c>
      <c r="C120" s="217">
        <f t="shared" si="32"/>
        <v>0</v>
      </c>
      <c r="D120" s="217">
        <f t="shared" si="32"/>
        <v>0</v>
      </c>
      <c r="E120" s="217">
        <f t="shared" si="32"/>
        <v>0</v>
      </c>
    </row>
    <row r="121" spans="1:10" ht="15.5" x14ac:dyDescent="0.35">
      <c r="B121" s="217">
        <f t="shared" si="32"/>
        <v>0</v>
      </c>
      <c r="C121" s="217">
        <f t="shared" si="32"/>
        <v>0</v>
      </c>
      <c r="D121" s="217">
        <f t="shared" si="32"/>
        <v>0</v>
      </c>
      <c r="E121" s="217">
        <f t="shared" si="32"/>
        <v>0</v>
      </c>
    </row>
    <row r="122" spans="1:10" ht="15.5" x14ac:dyDescent="0.35">
      <c r="B122" s="217">
        <f t="shared" si="32"/>
        <v>0</v>
      </c>
      <c r="C122" s="217">
        <f t="shared" si="32"/>
        <v>0</v>
      </c>
      <c r="D122" s="217">
        <f t="shared" si="32"/>
        <v>0</v>
      </c>
      <c r="E122" s="217">
        <f t="shared" si="32"/>
        <v>0</v>
      </c>
    </row>
    <row r="123" spans="1:10" ht="15.5" x14ac:dyDescent="0.35">
      <c r="B123" s="217">
        <f t="shared" ref="B123:E127" si="33">B45-B72+B100</f>
        <v>0</v>
      </c>
      <c r="C123" s="217">
        <f t="shared" si="33"/>
        <v>0</v>
      </c>
      <c r="D123" s="217">
        <f t="shared" si="33"/>
        <v>0</v>
      </c>
      <c r="E123" s="217">
        <f t="shared" si="33"/>
        <v>0</v>
      </c>
    </row>
    <row r="124" spans="1:10" ht="15.5" x14ac:dyDescent="0.35">
      <c r="B124" s="217">
        <f t="shared" si="33"/>
        <v>0</v>
      </c>
      <c r="C124" s="217">
        <f t="shared" si="33"/>
        <v>0</v>
      </c>
      <c r="D124" s="217">
        <f t="shared" si="33"/>
        <v>0</v>
      </c>
      <c r="E124" s="217">
        <f t="shared" si="33"/>
        <v>0</v>
      </c>
    </row>
    <row r="125" spans="1:10" ht="15.5" x14ac:dyDescent="0.35">
      <c r="B125" s="217">
        <f t="shared" si="33"/>
        <v>0</v>
      </c>
      <c r="C125" s="217">
        <f t="shared" si="33"/>
        <v>0</v>
      </c>
      <c r="D125" s="217">
        <f t="shared" si="33"/>
        <v>0</v>
      </c>
      <c r="E125" s="217">
        <f t="shared" si="33"/>
        <v>0</v>
      </c>
    </row>
    <row r="126" spans="1:10" ht="15.5" x14ac:dyDescent="0.35">
      <c r="B126" s="217">
        <f t="shared" si="33"/>
        <v>0</v>
      </c>
      <c r="C126" s="217">
        <f t="shared" si="33"/>
        <v>0</v>
      </c>
      <c r="D126" s="217">
        <f t="shared" si="33"/>
        <v>0</v>
      </c>
      <c r="E126" s="217">
        <f t="shared" si="33"/>
        <v>0</v>
      </c>
    </row>
    <row r="127" spans="1:10" ht="15.5" x14ac:dyDescent="0.35">
      <c r="B127" s="217">
        <f t="shared" si="33"/>
        <v>0</v>
      </c>
      <c r="C127" s="217">
        <f t="shared" si="33"/>
        <v>0</v>
      </c>
      <c r="D127" s="217">
        <f t="shared" si="33"/>
        <v>0</v>
      </c>
      <c r="E127" s="217">
        <f t="shared" si="33"/>
        <v>0</v>
      </c>
    </row>
    <row r="128" spans="1:10" ht="15.5" x14ac:dyDescent="0.35">
      <c r="B128" s="217">
        <f t="shared" ref="B128:E140" si="34">B49-B77+B105</f>
        <v>0</v>
      </c>
      <c r="C128" s="217">
        <f t="shared" si="34"/>
        <v>0</v>
      </c>
      <c r="D128" s="217">
        <f t="shared" si="34"/>
        <v>0</v>
      </c>
      <c r="E128" s="217">
        <f t="shared" si="34"/>
        <v>0</v>
      </c>
    </row>
    <row r="129" spans="1:9" ht="15.5" x14ac:dyDescent="0.35">
      <c r="A129" s="347"/>
      <c r="B129" s="217">
        <f t="shared" si="34"/>
        <v>0</v>
      </c>
      <c r="C129" s="217">
        <f t="shared" si="34"/>
        <v>0</v>
      </c>
      <c r="D129" s="217">
        <f t="shared" si="34"/>
        <v>0</v>
      </c>
      <c r="E129" s="217">
        <f t="shared" si="34"/>
        <v>0</v>
      </c>
      <c r="F129"/>
      <c r="G129"/>
      <c r="H129"/>
      <c r="I129"/>
    </row>
    <row r="130" spans="1:9" ht="15.5" x14ac:dyDescent="0.35">
      <c r="A130" s="347"/>
      <c r="B130" s="217">
        <f t="shared" si="34"/>
        <v>0</v>
      </c>
      <c r="C130" s="217">
        <f t="shared" si="34"/>
        <v>0</v>
      </c>
      <c r="D130" s="217">
        <f t="shared" si="34"/>
        <v>0</v>
      </c>
      <c r="E130" s="217">
        <f t="shared" si="34"/>
        <v>0</v>
      </c>
      <c r="F130"/>
      <c r="G130"/>
      <c r="H130"/>
      <c r="I130"/>
    </row>
    <row r="131" spans="1:9" ht="15.5" x14ac:dyDescent="0.35">
      <c r="A131" s="347"/>
      <c r="B131" s="217">
        <f t="shared" si="34"/>
        <v>0</v>
      </c>
      <c r="C131" s="217">
        <f t="shared" si="34"/>
        <v>0</v>
      </c>
      <c r="D131" s="217">
        <f t="shared" si="34"/>
        <v>0</v>
      </c>
      <c r="E131" s="217">
        <f t="shared" si="34"/>
        <v>0</v>
      </c>
      <c r="F131"/>
      <c r="G131"/>
      <c r="H131"/>
      <c r="I131"/>
    </row>
    <row r="132" spans="1:9" ht="15.5" x14ac:dyDescent="0.35">
      <c r="A132" s="347"/>
      <c r="B132" s="217">
        <f t="shared" si="34"/>
        <v>0</v>
      </c>
      <c r="C132" s="217">
        <f t="shared" si="34"/>
        <v>0</v>
      </c>
      <c r="D132" s="217">
        <f t="shared" si="34"/>
        <v>0</v>
      </c>
      <c r="E132" s="217">
        <f t="shared" si="34"/>
        <v>0</v>
      </c>
      <c r="F132"/>
      <c r="G132"/>
      <c r="H132"/>
      <c r="I132"/>
    </row>
    <row r="133" spans="1:9" ht="15.5" x14ac:dyDescent="0.35">
      <c r="A133" s="347"/>
      <c r="B133" s="217">
        <f t="shared" si="34"/>
        <v>0</v>
      </c>
      <c r="C133" s="217">
        <f t="shared" si="34"/>
        <v>0</v>
      </c>
      <c r="D133" s="217">
        <f t="shared" si="34"/>
        <v>0</v>
      </c>
      <c r="E133" s="217">
        <f t="shared" si="34"/>
        <v>0</v>
      </c>
      <c r="F133"/>
      <c r="G133"/>
      <c r="H133"/>
      <c r="I133"/>
    </row>
    <row r="134" spans="1:9" ht="15.5" x14ac:dyDescent="0.35">
      <c r="A134" s="347"/>
      <c r="B134" s="217">
        <f t="shared" si="34"/>
        <v>0</v>
      </c>
      <c r="C134" s="217">
        <f t="shared" si="34"/>
        <v>0</v>
      </c>
      <c r="D134" s="217">
        <f t="shared" si="34"/>
        <v>0</v>
      </c>
      <c r="E134" s="217">
        <f t="shared" si="34"/>
        <v>0</v>
      </c>
      <c r="F134"/>
      <c r="G134"/>
      <c r="H134"/>
      <c r="I134"/>
    </row>
    <row r="135" spans="1:9" ht="15.5" x14ac:dyDescent="0.35">
      <c r="A135" s="347"/>
      <c r="B135" s="217">
        <f t="shared" si="34"/>
        <v>0</v>
      </c>
      <c r="C135" s="217">
        <f t="shared" si="34"/>
        <v>0</v>
      </c>
      <c r="D135" s="217">
        <f t="shared" si="34"/>
        <v>0</v>
      </c>
      <c r="E135" s="217">
        <f t="shared" si="34"/>
        <v>0</v>
      </c>
      <c r="F135"/>
      <c r="G135"/>
      <c r="H135"/>
      <c r="I135"/>
    </row>
    <row r="136" spans="1:9" ht="15.5" x14ac:dyDescent="0.35">
      <c r="A136" s="347"/>
      <c r="B136" s="217">
        <f t="shared" si="34"/>
        <v>0</v>
      </c>
      <c r="C136" s="217">
        <f t="shared" si="34"/>
        <v>0</v>
      </c>
      <c r="D136" s="217">
        <f t="shared" si="34"/>
        <v>0</v>
      </c>
      <c r="E136" s="217">
        <f t="shared" si="34"/>
        <v>0</v>
      </c>
      <c r="F136"/>
      <c r="G136"/>
      <c r="H136"/>
      <c r="I136"/>
    </row>
    <row r="137" spans="1:9" ht="15.5" x14ac:dyDescent="0.35">
      <c r="A137" s="347"/>
      <c r="B137" s="217">
        <f t="shared" si="34"/>
        <v>0</v>
      </c>
      <c r="C137" s="217">
        <f t="shared" si="34"/>
        <v>0</v>
      </c>
      <c r="D137" s="217">
        <f t="shared" si="34"/>
        <v>0</v>
      </c>
      <c r="E137" s="217">
        <f t="shared" si="34"/>
        <v>0</v>
      </c>
      <c r="F137"/>
      <c r="G137"/>
      <c r="H137"/>
      <c r="I137"/>
    </row>
    <row r="138" spans="1:9" ht="15.5" x14ac:dyDescent="0.35">
      <c r="A138" s="347"/>
      <c r="B138" s="217">
        <f t="shared" si="34"/>
        <v>0</v>
      </c>
      <c r="C138" s="217">
        <f t="shared" si="34"/>
        <v>0</v>
      </c>
      <c r="D138" s="217">
        <f t="shared" si="34"/>
        <v>0</v>
      </c>
      <c r="E138" s="217">
        <f t="shared" si="34"/>
        <v>0</v>
      </c>
      <c r="F138"/>
      <c r="G138"/>
      <c r="H138"/>
      <c r="I138"/>
    </row>
    <row r="139" spans="1:9" ht="15.5" x14ac:dyDescent="0.35">
      <c r="A139" s="347"/>
      <c r="B139" s="217">
        <f t="shared" si="34"/>
        <v>0</v>
      </c>
      <c r="C139" s="217">
        <f t="shared" si="34"/>
        <v>0</v>
      </c>
      <c r="D139" s="217">
        <f t="shared" si="34"/>
        <v>0</v>
      </c>
      <c r="E139" s="217">
        <f t="shared" si="34"/>
        <v>0</v>
      </c>
      <c r="F139"/>
      <c r="G139"/>
      <c r="H139"/>
      <c r="I139"/>
    </row>
    <row r="140" spans="1:9" ht="15.5" x14ac:dyDescent="0.35">
      <c r="A140" s="347"/>
      <c r="B140" s="217">
        <f t="shared" si="34"/>
        <v>0</v>
      </c>
      <c r="C140" s="217">
        <f t="shared" si="34"/>
        <v>0</v>
      </c>
      <c r="D140" s="217">
        <f t="shared" si="34"/>
        <v>0</v>
      </c>
      <c r="E140" s="217">
        <f t="shared" si="34"/>
        <v>0</v>
      </c>
      <c r="F140"/>
      <c r="G140"/>
      <c r="H140"/>
      <c r="I140"/>
    </row>
  </sheetData>
  <mergeCells count="49">
    <mergeCell ref="B64:C64"/>
    <mergeCell ref="A65:A66"/>
    <mergeCell ref="B92:C92"/>
    <mergeCell ref="A3:E3"/>
    <mergeCell ref="B5:C5"/>
    <mergeCell ref="A8:A9"/>
    <mergeCell ref="B8:E9"/>
    <mergeCell ref="A37:A38"/>
    <mergeCell ref="F6:I6"/>
    <mergeCell ref="F7:G7"/>
    <mergeCell ref="H7:I7"/>
    <mergeCell ref="B6:C6"/>
    <mergeCell ref="D6:E6"/>
    <mergeCell ref="F8:F9"/>
    <mergeCell ref="G8:G9"/>
    <mergeCell ref="H8:H9"/>
    <mergeCell ref="I8:I9"/>
    <mergeCell ref="B36:C36"/>
    <mergeCell ref="F37:I37"/>
    <mergeCell ref="F38:G38"/>
    <mergeCell ref="H38:I38"/>
    <mergeCell ref="B39:E40"/>
    <mergeCell ref="F39:F40"/>
    <mergeCell ref="G39:G40"/>
    <mergeCell ref="H39:H40"/>
    <mergeCell ref="I39:I40"/>
    <mergeCell ref="B37:C37"/>
    <mergeCell ref="D37:E37"/>
    <mergeCell ref="F65:I65"/>
    <mergeCell ref="F66:G66"/>
    <mergeCell ref="H66:I66"/>
    <mergeCell ref="B67:E68"/>
    <mergeCell ref="F67:F68"/>
    <mergeCell ref="G67:G68"/>
    <mergeCell ref="H67:H68"/>
    <mergeCell ref="I67:I68"/>
    <mergeCell ref="B65:C65"/>
    <mergeCell ref="D65:E65"/>
    <mergeCell ref="A93:A94"/>
    <mergeCell ref="F93:I93"/>
    <mergeCell ref="F94:G94"/>
    <mergeCell ref="H94:I94"/>
    <mergeCell ref="B95:E96"/>
    <mergeCell ref="F95:F96"/>
    <mergeCell ref="G95:G96"/>
    <mergeCell ref="H95:H96"/>
    <mergeCell ref="I95:I96"/>
    <mergeCell ref="B93:C93"/>
    <mergeCell ref="D93:E93"/>
  </mergeCells>
  <dataValidations count="1">
    <dataValidation type="list" allowBlank="1" showInputMessage="1" showErrorMessage="1" sqref="WBO983045 AMI720901 AWE720901 BGA720901 BPW720901 BZS720901 CJO720901 CTK720901 DDG720901 DNC720901 DWY720901 EGU720901 EQQ720901 FAM720901 FKI720901 FUE720901 GEA720901 GNW720901 GXS720901 HHO720901 HRK720901 IBG720901 ILC720901 IUY720901 JEU720901 JOQ720901 JYM720901 KII720901 KSE720901 LCA720901 LLW720901 LVS720901 MFO720901 MPK720901 MZG720901 NJC720901 NSY720901 OCU720901 OMQ720901 OWM720901 PGI720901 PQE720901 QAA720901 QJW720901 QTS720901 RDO720901 RNK720901 RXG720901 SHC720901 SQY720901 TAU720901 TKQ720901 TUM720901 UEI720901 UOE720901 UYA720901 VHW720901 VRS720901 WBO720901 WLK720901 WVG720901 UOE983045 IU786437 SQ786437 VRS983045 IU65572 SQ65572 ACM65572 AMI65572 AWE65572 BGA65572 BPW65572 BZS65572 CJO65572 CTK65572 DDG65572 DNC65572 DWY65572 EGU65572 EQQ65572 FAM65572 FKI65572 FUE65572 GEA65572 GNW65572 GXS65572 HHO65572 HRK65572 IBG65572 ILC65572 IUY65572 JEU65572 JOQ65572 JYM65572 KII65572 KSE65572 LCA65572 LLW65572 LVS65572 MFO65572 MPK65572 MZG65572 NJC65572 NSY65572 OCU65572 OMQ65572 OWM65572 PGI65572 PQE65572 QAA65572 QJW65572 QTS65572 RDO65572 RNK65572 RXG65572 SHC65572 SQY65572 TAU65572 TKQ65572 TUM65572 UEI65572 UOE65572 UYA65572 VHW65572 VRS65572 WBO65572 WLK65572 WVG65572 IU983045 IU131108 SQ131108 ACM131108 AMI131108 AWE131108 BGA131108 BPW131108 BZS131108 CJO131108 CTK131108 DDG131108 DNC131108 DWY131108 EGU131108 EQQ131108 FAM131108 FKI131108 FUE131108 GEA131108 GNW131108 GXS131108 HHO131108 HRK131108 IBG131108 ILC131108 IUY131108 JEU131108 JOQ131108 JYM131108 KII131108 KSE131108 LCA131108 LLW131108 LVS131108 MFO131108 MPK131108 MZG131108 NJC131108 NSY131108 OCU131108 OMQ131108 OWM131108 PGI131108 PQE131108 QAA131108 QJW131108 QTS131108 RDO131108 RNK131108 RXG131108 SHC131108 SQY131108 TAU131108 TKQ131108 TUM131108 UEI131108 UOE131108 UYA131108 VHW131108 VRS131108 WBO131108 WLK131108 WVG131108 SQ983045 IU196644 SQ196644 ACM196644 AMI196644 AWE196644 BGA196644 BPW196644 BZS196644 CJO196644 CTK196644 DDG196644 DNC196644 DWY196644 EGU196644 EQQ196644 FAM196644 FKI196644 FUE196644 GEA196644 GNW196644 GXS196644 HHO196644 HRK196644 IBG196644 ILC196644 IUY196644 JEU196644 JOQ196644 JYM196644 KII196644 KSE196644 LCA196644 LLW196644 LVS196644 MFO196644 MPK196644 MZG196644 NJC196644 NSY196644 OCU196644 OMQ196644 OWM196644 PGI196644 PQE196644 QAA196644 QJW196644 QTS196644 RDO196644 RNK196644 RXG196644 SHC196644 SQY196644 TAU196644 TKQ196644 TUM196644 UEI196644 UOE196644 UYA196644 VHW196644 VRS196644 WBO196644 WLK196644 WVG196644 ACM983045 IU262180 SQ262180 ACM262180 AMI262180 AWE262180 BGA262180 BPW262180 BZS262180 CJO262180 CTK262180 DDG262180 DNC262180 DWY262180 EGU262180 EQQ262180 FAM262180 FKI262180 FUE262180 GEA262180 GNW262180 GXS262180 HHO262180 HRK262180 IBG262180 ILC262180 IUY262180 JEU262180 JOQ262180 JYM262180 KII262180 KSE262180 LCA262180 LLW262180 LVS262180 MFO262180 MPK262180 MZG262180 NJC262180 NSY262180 OCU262180 OMQ262180 OWM262180 PGI262180 PQE262180 QAA262180 QJW262180 QTS262180 RDO262180 RNK262180 RXG262180 SHC262180 SQY262180 TAU262180 TKQ262180 TUM262180 UEI262180 UOE262180 UYA262180 VHW262180 VRS262180 WBO262180 WLK262180 WVG262180 AMI983045 IU327716 SQ327716 ACM327716 AMI327716 AWE327716 BGA327716 BPW327716 BZS327716 CJO327716 CTK327716 DDG327716 DNC327716 DWY327716 EGU327716 EQQ327716 FAM327716 FKI327716 FUE327716 GEA327716 GNW327716 GXS327716 HHO327716 HRK327716 IBG327716 ILC327716 IUY327716 JEU327716 JOQ327716 JYM327716 KII327716 KSE327716 LCA327716 LLW327716 LVS327716 MFO327716 MPK327716 MZG327716 NJC327716 NSY327716 OCU327716 OMQ327716 OWM327716 PGI327716 PQE327716 QAA327716 QJW327716 QTS327716 RDO327716 RNK327716 RXG327716 SHC327716 SQY327716 TAU327716 TKQ327716 TUM327716 UEI327716 UOE327716 UYA327716 VHW327716 VRS327716 WBO327716 WLK327716 WVG327716 AWE983045 IU393252 SQ393252 ACM393252 AMI393252 AWE393252 BGA393252 BPW393252 BZS393252 CJO393252 CTK393252 DDG393252 DNC393252 DWY393252 EGU393252 EQQ393252 FAM393252 FKI393252 FUE393252 GEA393252 GNW393252 GXS393252 HHO393252 HRK393252 IBG393252 ILC393252 IUY393252 JEU393252 JOQ393252 JYM393252 KII393252 KSE393252 LCA393252 LLW393252 LVS393252 MFO393252 MPK393252 MZG393252 NJC393252 NSY393252 OCU393252 OMQ393252 OWM393252 PGI393252 PQE393252 QAA393252 QJW393252 QTS393252 RDO393252 RNK393252 RXG393252 SHC393252 SQY393252 TAU393252 TKQ393252 TUM393252 UEI393252 UOE393252 UYA393252 VHW393252 VRS393252 WBO393252 WLK393252 WVG393252 BGA983045 IU458788 SQ458788 ACM458788 AMI458788 AWE458788 BGA458788 BPW458788 BZS458788 CJO458788 CTK458788 DDG458788 DNC458788 DWY458788 EGU458788 EQQ458788 FAM458788 FKI458788 FUE458788 GEA458788 GNW458788 GXS458788 HHO458788 HRK458788 IBG458788 ILC458788 IUY458788 JEU458788 JOQ458788 JYM458788 KII458788 KSE458788 LCA458788 LLW458788 LVS458788 MFO458788 MPK458788 MZG458788 NJC458788 NSY458788 OCU458788 OMQ458788 OWM458788 PGI458788 PQE458788 QAA458788 QJW458788 QTS458788 RDO458788 RNK458788 RXG458788 SHC458788 SQY458788 TAU458788 TKQ458788 TUM458788 UEI458788 UOE458788 UYA458788 VHW458788 VRS458788 WBO458788 WLK458788 WVG458788 BPW983045 IU524324 SQ524324 ACM524324 AMI524324 AWE524324 BGA524324 BPW524324 BZS524324 CJO524324 CTK524324 DDG524324 DNC524324 DWY524324 EGU524324 EQQ524324 FAM524324 FKI524324 FUE524324 GEA524324 GNW524324 GXS524324 HHO524324 HRK524324 IBG524324 ILC524324 IUY524324 JEU524324 JOQ524324 JYM524324 KII524324 KSE524324 LCA524324 LLW524324 LVS524324 MFO524324 MPK524324 MZG524324 NJC524324 NSY524324 OCU524324 OMQ524324 OWM524324 PGI524324 PQE524324 QAA524324 QJW524324 QTS524324 RDO524324 RNK524324 RXG524324 SHC524324 SQY524324 TAU524324 TKQ524324 TUM524324 UEI524324 UOE524324 UYA524324 VHW524324 VRS524324 WBO524324 WLK524324 WVG524324 BZS983045 IU589860 SQ589860 ACM589860 AMI589860 AWE589860 BGA589860 BPW589860 BZS589860 CJO589860 CTK589860 DDG589860 DNC589860 DWY589860 EGU589860 EQQ589860 FAM589860 FKI589860 FUE589860 GEA589860 GNW589860 GXS589860 HHO589860 HRK589860 IBG589860 ILC589860 IUY589860 JEU589860 JOQ589860 JYM589860 KII589860 KSE589860 LCA589860 LLW589860 LVS589860 MFO589860 MPK589860 MZG589860 NJC589860 NSY589860 OCU589860 OMQ589860 OWM589860 PGI589860 PQE589860 QAA589860 QJW589860 QTS589860 RDO589860 RNK589860 RXG589860 SHC589860 SQY589860 TAU589860 TKQ589860 TUM589860 UEI589860 UOE589860 UYA589860 VHW589860 VRS589860 WBO589860 WLK589860 WVG589860 CJO983045 IU655396 SQ655396 ACM655396 AMI655396 AWE655396 BGA655396 BPW655396 BZS655396 CJO655396 CTK655396 DDG655396 DNC655396 DWY655396 EGU655396 EQQ655396 FAM655396 FKI655396 FUE655396 GEA655396 GNW655396 GXS655396 HHO655396 HRK655396 IBG655396 ILC655396 IUY655396 JEU655396 JOQ655396 JYM655396 KII655396 KSE655396 LCA655396 LLW655396 LVS655396 MFO655396 MPK655396 MZG655396 NJC655396 NSY655396 OCU655396 OMQ655396 OWM655396 PGI655396 PQE655396 QAA655396 QJW655396 QTS655396 RDO655396 RNK655396 RXG655396 SHC655396 SQY655396 TAU655396 TKQ655396 TUM655396 UEI655396 UOE655396 UYA655396 VHW655396 VRS655396 WBO655396 WLK655396 WVG655396 CTK983045 IU720932 SQ720932 ACM720932 AMI720932 AWE720932 BGA720932 BPW720932 BZS720932 CJO720932 CTK720932 DDG720932 DNC720932 DWY720932 EGU720932 EQQ720932 FAM720932 FKI720932 FUE720932 GEA720932 GNW720932 GXS720932 HHO720932 HRK720932 IBG720932 ILC720932 IUY720932 JEU720932 JOQ720932 JYM720932 KII720932 KSE720932 LCA720932 LLW720932 LVS720932 MFO720932 MPK720932 MZG720932 NJC720932 NSY720932 OCU720932 OMQ720932 OWM720932 PGI720932 PQE720932 QAA720932 QJW720932 QTS720932 RDO720932 RNK720932 RXG720932 SHC720932 SQY720932 TAU720932 TKQ720932 TUM720932 UEI720932 UOE720932 UYA720932 VHW720932 VRS720932 WBO720932 WLK720932 WVG720932 DDG983045 IU786468 SQ786468 ACM786468 AMI786468 AWE786468 BGA786468 BPW786468 BZS786468 CJO786468 CTK786468 DDG786468 DNC786468 DWY786468 EGU786468 EQQ786468 FAM786468 FKI786468 FUE786468 GEA786468 GNW786468 GXS786468 HHO786468 HRK786468 IBG786468 ILC786468 IUY786468 JEU786468 JOQ786468 JYM786468 KII786468 KSE786468 LCA786468 LLW786468 LVS786468 MFO786468 MPK786468 MZG786468 NJC786468 NSY786468 OCU786468 OMQ786468 OWM786468 PGI786468 PQE786468 QAA786468 QJW786468 QTS786468 RDO786468 RNK786468 RXG786468 SHC786468 SQY786468 TAU786468 TKQ786468 TUM786468 UEI786468 UOE786468 UYA786468 VHW786468 VRS786468 WBO786468 WLK786468 WVG786468 DNC983045 IU852004 SQ852004 ACM852004 AMI852004 AWE852004 BGA852004 BPW852004 BZS852004 CJO852004 CTK852004 DDG852004 DNC852004 DWY852004 EGU852004 EQQ852004 FAM852004 FKI852004 FUE852004 GEA852004 GNW852004 GXS852004 HHO852004 HRK852004 IBG852004 ILC852004 IUY852004 JEU852004 JOQ852004 JYM852004 KII852004 KSE852004 LCA852004 LLW852004 LVS852004 MFO852004 MPK852004 MZG852004 NJC852004 NSY852004 OCU852004 OMQ852004 OWM852004 PGI852004 PQE852004 QAA852004 QJW852004 QTS852004 RDO852004 RNK852004 RXG852004 SHC852004 SQY852004 TAU852004 TKQ852004 TUM852004 UEI852004 UOE852004 UYA852004 VHW852004 VRS852004 WBO852004 WLK852004 WVG852004 DWY983045 IU917540 SQ917540 ACM917540 AMI917540 AWE917540 BGA917540 BPW917540 BZS917540 CJO917540 CTK917540 DDG917540 DNC917540 DWY917540 EGU917540 EQQ917540 FAM917540 FKI917540 FUE917540 GEA917540 GNW917540 GXS917540 HHO917540 HRK917540 IBG917540 ILC917540 IUY917540 JEU917540 JOQ917540 JYM917540 KII917540 KSE917540 LCA917540 LLW917540 LVS917540 MFO917540 MPK917540 MZG917540 NJC917540 NSY917540 OCU917540 OMQ917540 OWM917540 PGI917540 PQE917540 QAA917540 QJW917540 QTS917540 RDO917540 RNK917540 RXG917540 SHC917540 SQY917540 TAU917540 TKQ917540 TUM917540 UEI917540 UOE917540 UYA917540 VHW917540 VRS917540 WBO917540 WLK917540 WVG917540 EGU983045 IU983076 SQ983076 ACM983076 AMI983076 AWE983076 BGA983076 BPW983076 BZS983076 CJO983076 CTK983076 DDG983076 DNC983076 DWY983076 EGU983076 EQQ983076 FAM983076 FKI983076 FUE983076 GEA983076 GNW983076 GXS983076 HHO983076 HRK983076 IBG983076 ILC983076 IUY983076 JEU983076 JOQ983076 JYM983076 KII983076 KSE983076 LCA983076 LLW983076 LVS983076 MFO983076 MPK983076 MZG983076 NJC983076 NSY983076 OCU983076 OMQ983076 OWM983076 PGI983076 PQE983076 QAA983076 QJW983076 QTS983076 RDO983076 RNK983076 RXG983076 SHC983076 SQY983076 TAU983076 TKQ983076 TUM983076 UEI983076 UOE983076 UYA983076 VHW983076 VRS983076 WBO983076 WLK983076 WVG983076 WLK983045 ACM786437 AMI786437 AWE786437 BGA786437 BPW786437 BZS786437 CJO786437 CTK786437 DDG786437 DNC786437 DWY786437 EGU786437 EQQ786437 FAM786437 FKI786437 FUE786437 GEA786437 GNW786437 GXS786437 HHO786437 HRK786437 IBG786437 ILC786437 IUY786437 JEU786437 JOQ786437 JYM786437 KII786437 KSE786437 LCA786437 LLW786437 LVS786437 MFO786437 MPK786437 MZG786437 NJC786437 NSY786437 OCU786437 OMQ786437 OWM786437 PGI786437 PQE786437 QAA786437 QJW786437 QTS786437 RDO786437 RNK786437 RXG786437 SHC786437 SQY786437 TAU786437 TKQ786437 TUM786437 UEI786437 UOE786437 UYA786437 VHW786437 VRS786437 WBO786437 WLK786437 WVG786437 UYA983045 IU851973 EQQ983045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FAM983045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FKI983045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FUE983045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GEA983045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GNW983045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GXS983045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HHO983045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HRK983045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BG983045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LC983045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Y983045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JEU983045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JOQ983045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JYM983045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WVG983045 SQ851973 ACM851973 AMI851973 AWE851973 BGA851973 BPW851973 BZS851973 CJO851973 CTK851973 DDG851973 DNC851973 DWY851973 EGU851973 EQQ851973 FAM851973 FKI851973 FUE851973 GEA851973 GNW851973 GXS851973 HHO851973 HRK851973 IBG851973 ILC851973 IUY851973 JEU851973 JOQ851973 JYM851973 KII851973 KSE851973 LCA851973 LLW851973 LVS851973 MFO851973 MPK851973 MZG851973 NJC851973 NSY851973 OCU851973 OMQ851973 OWM851973 PGI851973 PQE851973 QAA851973 QJW851973 QTS851973 RDO851973 RNK851973 RXG851973 SHC851973 SQY851973 TAU851973 TKQ851973 TUM851973 UEI851973 UOE851973 UYA851973 VHW851973 VRS851973 WBO851973 WLK851973 WVG851973 VHW983045 KII983045 IU65628 SQ65628 ACM65628 AMI65628 AWE65628 BGA65628 BPW65628 BZS65628 CJO65628 CTK65628 DDG65628 DNC65628 DWY65628 EGU65628 EQQ65628 FAM65628 FKI65628 FUE65628 GEA65628 GNW65628 GXS65628 HHO65628 HRK65628 IBG65628 ILC65628 IUY65628 JEU65628 JOQ65628 JYM65628 KII65628 KSE65628 LCA65628 LLW65628 LVS65628 MFO65628 MPK65628 MZG65628 NJC65628 NSY65628 OCU65628 OMQ65628 OWM65628 PGI65628 PQE65628 QAA65628 QJW65628 QTS65628 RDO65628 RNK65628 RXG65628 SHC65628 SQY65628 TAU65628 TKQ65628 TUM65628 UEI65628 UOE65628 UYA65628 VHW65628 VRS65628 WBO65628 WLK65628 WVG65628 KSE983045 IU131164 SQ131164 ACM131164 AMI131164 AWE131164 BGA131164 BPW131164 BZS131164 CJO131164 CTK131164 DDG131164 DNC131164 DWY131164 EGU131164 EQQ131164 FAM131164 FKI131164 FUE131164 GEA131164 GNW131164 GXS131164 HHO131164 HRK131164 IBG131164 ILC131164 IUY131164 JEU131164 JOQ131164 JYM131164 KII131164 KSE131164 LCA131164 LLW131164 LVS131164 MFO131164 MPK131164 MZG131164 NJC131164 NSY131164 OCU131164 OMQ131164 OWM131164 PGI131164 PQE131164 QAA131164 QJW131164 QTS131164 RDO131164 RNK131164 RXG131164 SHC131164 SQY131164 TAU131164 TKQ131164 TUM131164 UEI131164 UOE131164 UYA131164 VHW131164 VRS131164 WBO131164 WLK131164 WVG131164 LCA983045 IU196700 SQ196700 ACM196700 AMI196700 AWE196700 BGA196700 BPW196700 BZS196700 CJO196700 CTK196700 DDG196700 DNC196700 DWY196700 EGU196700 EQQ196700 FAM196700 FKI196700 FUE196700 GEA196700 GNW196700 GXS196700 HHO196700 HRK196700 IBG196700 ILC196700 IUY196700 JEU196700 JOQ196700 JYM196700 KII196700 KSE196700 LCA196700 LLW196700 LVS196700 MFO196700 MPK196700 MZG196700 NJC196700 NSY196700 OCU196700 OMQ196700 OWM196700 PGI196700 PQE196700 QAA196700 QJW196700 QTS196700 RDO196700 RNK196700 RXG196700 SHC196700 SQY196700 TAU196700 TKQ196700 TUM196700 UEI196700 UOE196700 UYA196700 VHW196700 VRS196700 WBO196700 WLK196700 WVG196700 LLW983045 IU262236 SQ262236 ACM262236 AMI262236 AWE262236 BGA262236 BPW262236 BZS262236 CJO262236 CTK262236 DDG262236 DNC262236 DWY262236 EGU262236 EQQ262236 FAM262236 FKI262236 FUE262236 GEA262236 GNW262236 GXS262236 HHO262236 HRK262236 IBG262236 ILC262236 IUY262236 JEU262236 JOQ262236 JYM262236 KII262236 KSE262236 LCA262236 LLW262236 LVS262236 MFO262236 MPK262236 MZG262236 NJC262236 NSY262236 OCU262236 OMQ262236 OWM262236 PGI262236 PQE262236 QAA262236 QJW262236 QTS262236 RDO262236 RNK262236 RXG262236 SHC262236 SQY262236 TAU262236 TKQ262236 TUM262236 UEI262236 UOE262236 UYA262236 VHW262236 VRS262236 WBO262236 WLK262236 WVG262236 LVS983045 IU327772 SQ327772 ACM327772 AMI327772 AWE327772 BGA327772 BPW327772 BZS327772 CJO327772 CTK327772 DDG327772 DNC327772 DWY327772 EGU327772 EQQ327772 FAM327772 FKI327772 FUE327772 GEA327772 GNW327772 GXS327772 HHO327772 HRK327772 IBG327772 ILC327772 IUY327772 JEU327772 JOQ327772 JYM327772 KII327772 KSE327772 LCA327772 LLW327772 LVS327772 MFO327772 MPK327772 MZG327772 NJC327772 NSY327772 OCU327772 OMQ327772 OWM327772 PGI327772 PQE327772 QAA327772 QJW327772 QTS327772 RDO327772 RNK327772 RXG327772 SHC327772 SQY327772 TAU327772 TKQ327772 TUM327772 UEI327772 UOE327772 UYA327772 VHW327772 VRS327772 WBO327772 WLK327772 WVG327772 MFO983045 IU393308 SQ393308 ACM393308 AMI393308 AWE393308 BGA393308 BPW393308 BZS393308 CJO393308 CTK393308 DDG393308 DNC393308 DWY393308 EGU393308 EQQ393308 FAM393308 FKI393308 FUE393308 GEA393308 GNW393308 GXS393308 HHO393308 HRK393308 IBG393308 ILC393308 IUY393308 JEU393308 JOQ393308 JYM393308 KII393308 KSE393308 LCA393308 LLW393308 LVS393308 MFO393308 MPK393308 MZG393308 NJC393308 NSY393308 OCU393308 OMQ393308 OWM393308 PGI393308 PQE393308 QAA393308 QJW393308 QTS393308 RDO393308 RNK393308 RXG393308 SHC393308 SQY393308 TAU393308 TKQ393308 TUM393308 UEI393308 UOE393308 UYA393308 VHW393308 VRS393308 WBO393308 WLK393308 WVG393308 MPK983045 IU458844 SQ458844 ACM458844 AMI458844 AWE458844 BGA458844 BPW458844 BZS458844 CJO458844 CTK458844 DDG458844 DNC458844 DWY458844 EGU458844 EQQ458844 FAM458844 FKI458844 FUE458844 GEA458844 GNW458844 GXS458844 HHO458844 HRK458844 IBG458844 ILC458844 IUY458844 JEU458844 JOQ458844 JYM458844 KII458844 KSE458844 LCA458844 LLW458844 LVS458844 MFO458844 MPK458844 MZG458844 NJC458844 NSY458844 OCU458844 OMQ458844 OWM458844 PGI458844 PQE458844 QAA458844 QJW458844 QTS458844 RDO458844 RNK458844 RXG458844 SHC458844 SQY458844 TAU458844 TKQ458844 TUM458844 UEI458844 UOE458844 UYA458844 VHW458844 VRS458844 WBO458844 WLK458844 WVG458844 MZG983045 IU524380 SQ524380 ACM524380 AMI524380 AWE524380 BGA524380 BPW524380 BZS524380 CJO524380 CTK524380 DDG524380 DNC524380 DWY524380 EGU524380 EQQ524380 FAM524380 FKI524380 FUE524380 GEA524380 GNW524380 GXS524380 HHO524380 HRK524380 IBG524380 ILC524380 IUY524380 JEU524380 JOQ524380 JYM524380 KII524380 KSE524380 LCA524380 LLW524380 LVS524380 MFO524380 MPK524380 MZG524380 NJC524380 NSY524380 OCU524380 OMQ524380 OWM524380 PGI524380 PQE524380 QAA524380 QJW524380 QTS524380 RDO524380 RNK524380 RXG524380 SHC524380 SQY524380 TAU524380 TKQ524380 TUM524380 UEI524380 UOE524380 UYA524380 VHW524380 VRS524380 WBO524380 WLK524380 WVG524380 NJC983045 IU589916 SQ589916 ACM589916 AMI589916 AWE589916 BGA589916 BPW589916 BZS589916 CJO589916 CTK589916 DDG589916 DNC589916 DWY589916 EGU589916 EQQ589916 FAM589916 FKI589916 FUE589916 GEA589916 GNW589916 GXS589916 HHO589916 HRK589916 IBG589916 ILC589916 IUY589916 JEU589916 JOQ589916 JYM589916 KII589916 KSE589916 LCA589916 LLW589916 LVS589916 MFO589916 MPK589916 MZG589916 NJC589916 NSY589916 OCU589916 OMQ589916 OWM589916 PGI589916 PQE589916 QAA589916 QJW589916 QTS589916 RDO589916 RNK589916 RXG589916 SHC589916 SQY589916 TAU589916 TKQ589916 TUM589916 UEI589916 UOE589916 UYA589916 VHW589916 VRS589916 WBO589916 WLK589916 WVG589916 NSY983045 IU655452 SQ655452 ACM655452 AMI655452 AWE655452 BGA655452 BPW655452 BZS655452 CJO655452 CTK655452 DDG655452 DNC655452 DWY655452 EGU655452 EQQ655452 FAM655452 FKI655452 FUE655452 GEA655452 GNW655452 GXS655452 HHO655452 HRK655452 IBG655452 ILC655452 IUY655452 JEU655452 JOQ655452 JYM655452 KII655452 KSE655452 LCA655452 LLW655452 LVS655452 MFO655452 MPK655452 MZG655452 NJC655452 NSY655452 OCU655452 OMQ655452 OWM655452 PGI655452 PQE655452 QAA655452 QJW655452 QTS655452 RDO655452 RNK655452 RXG655452 SHC655452 SQY655452 TAU655452 TKQ655452 TUM655452 UEI655452 UOE655452 UYA655452 VHW655452 VRS655452 WBO655452 WLK655452 WVG655452 OCU983045 IU720988 SQ720988 ACM720988 AMI720988 AWE720988 BGA720988 BPW720988 BZS720988 CJO720988 CTK720988 DDG720988 DNC720988 DWY720988 EGU720988 EQQ720988 FAM720988 FKI720988 FUE720988 GEA720988 GNW720988 GXS720988 HHO720988 HRK720988 IBG720988 ILC720988 IUY720988 JEU720988 JOQ720988 JYM720988 KII720988 KSE720988 LCA720988 LLW720988 LVS720988 MFO720988 MPK720988 MZG720988 NJC720988 NSY720988 OCU720988 OMQ720988 OWM720988 PGI720988 PQE720988 QAA720988 QJW720988 QTS720988 RDO720988 RNK720988 RXG720988 SHC720988 SQY720988 TAU720988 TKQ720988 TUM720988 UEI720988 UOE720988 UYA720988 VHW720988 VRS720988 WBO720988 WLK720988 WVG720988 OMQ983045 IU786524 SQ786524 ACM786524 AMI786524 AWE786524 BGA786524 BPW786524 BZS786524 CJO786524 CTK786524 DDG786524 DNC786524 DWY786524 EGU786524 EQQ786524 FAM786524 FKI786524 FUE786524 GEA786524 GNW786524 GXS786524 HHO786524 HRK786524 IBG786524 ILC786524 IUY786524 JEU786524 JOQ786524 JYM786524 KII786524 KSE786524 LCA786524 LLW786524 LVS786524 MFO786524 MPK786524 MZG786524 NJC786524 NSY786524 OCU786524 OMQ786524 OWM786524 PGI786524 PQE786524 QAA786524 QJW786524 QTS786524 RDO786524 RNK786524 RXG786524 SHC786524 SQY786524 TAU786524 TKQ786524 TUM786524 UEI786524 UOE786524 UYA786524 VHW786524 VRS786524 WBO786524 WLK786524 WVG786524 OWM983045 IU852060 SQ852060 ACM852060 AMI852060 AWE852060 BGA852060 BPW852060 BZS852060 CJO852060 CTK852060 DDG852060 DNC852060 DWY852060 EGU852060 EQQ852060 FAM852060 FKI852060 FUE852060 GEA852060 GNW852060 GXS852060 HHO852060 HRK852060 IBG852060 ILC852060 IUY852060 JEU852060 JOQ852060 JYM852060 KII852060 KSE852060 LCA852060 LLW852060 LVS852060 MFO852060 MPK852060 MZG852060 NJC852060 NSY852060 OCU852060 OMQ852060 OWM852060 PGI852060 PQE852060 QAA852060 QJW852060 QTS852060 RDO852060 RNK852060 RXG852060 SHC852060 SQY852060 TAU852060 TKQ852060 TUM852060 UEI852060 UOE852060 UYA852060 VHW852060 VRS852060 WBO852060 WLK852060 WVG852060 PGI983045 IU917596 SQ917596 ACM917596 AMI917596 AWE917596 BGA917596 BPW917596 BZS917596 CJO917596 CTK917596 DDG917596 DNC917596 DWY917596 EGU917596 EQQ917596 FAM917596 FKI917596 FUE917596 GEA917596 GNW917596 GXS917596 HHO917596 HRK917596 IBG917596 ILC917596 IUY917596 JEU917596 JOQ917596 JYM917596 KII917596 KSE917596 LCA917596 LLW917596 LVS917596 MFO917596 MPK917596 MZG917596 NJC917596 NSY917596 OCU917596 OMQ917596 OWM917596 PGI917596 PQE917596 QAA917596 QJW917596 QTS917596 RDO917596 RNK917596 RXG917596 SHC917596 SQY917596 TAU917596 TKQ917596 TUM917596 UEI917596 UOE917596 UYA917596 VHW917596 VRS917596 WBO917596 WLK917596 WVG917596 PQE983045 IU983132 SQ983132 ACM983132 AMI983132 AWE983132 BGA983132 BPW983132 BZS983132 CJO983132 CTK983132 DDG983132 DNC983132 DWY983132 EGU983132 EQQ983132 FAM983132 FKI983132 FUE983132 GEA983132 GNW983132 GXS983132 HHO983132 HRK983132 IBG983132 ILC983132 IUY983132 JEU983132 JOQ983132 JYM983132 KII983132 KSE983132 LCA983132 LLW983132 LVS983132 MFO983132 MPK983132 MZG983132 NJC983132 NSY983132 OCU983132 OMQ983132 OWM983132 PGI983132 PQE983132 QAA983132 QJW983132 QTS983132 RDO983132 RNK983132 RXG983132 SHC983132 SQY983132 TAU983132 TKQ983132 TUM983132 UEI983132 UOE983132 UYA983132 VHW983132 VRS983132 WBO983132 WLK983132 WVG983132 QAA983045 IU917509 SQ917509 ACM917509 AMI917509 AWE917509 BGA917509 BPW917509 BZS917509 CJO917509 CTK917509 DDG917509 DNC917509 DWY917509 EGU917509 EQQ917509 FAM917509 FKI917509 FUE917509 GEA917509 GNW917509 GXS917509 HHO917509 HRK917509 IBG917509 ILC917509 IUY917509 JEU917509 JOQ917509 JYM917509 KII917509 KSE917509 LCA917509 LLW917509 LVS917509 MFO917509 MPK917509 MZG917509 NJC917509 NSY917509 OCU917509 OMQ917509 OWM917509 PGI917509 PQE917509 QAA917509 QJW917509 QTS917509 RDO917509 RNK917509 RXG917509 SHC917509 SQY917509 TAU917509 TKQ917509 TUM917509 UEI917509 UOE917509 UYA917509 VHW917509 VRS917509 WBO917509 WLK917509 WVG917509 QJW983045 IU65541 SQ65541 ACM65541 AMI65541 AWE65541 BGA65541 BPW65541 BZS65541 CJO65541 CTK65541 DDG65541 DNC65541 DWY65541 EGU65541 EQQ65541 FAM65541 FKI65541 FUE65541 GEA65541 GNW65541 GXS65541 HHO65541 HRK65541 IBG65541 ILC65541 IUY65541 JEU65541 JOQ65541 JYM65541 KII65541 KSE65541 LCA65541 LLW65541 LVS65541 MFO65541 MPK65541 MZG65541 NJC65541 NSY65541 OCU65541 OMQ65541 OWM65541 PGI65541 PQE65541 QAA65541 QJW65541 QTS65541 RDO65541 RNK65541 RXG65541 SHC65541 SQY65541 TAU65541 TKQ65541 TUM65541 UEI65541 UOE65541 UYA65541 VHW65541 VRS65541 WBO65541 WLK65541 WVG65541 QTS983045 IU131077 SQ131077 ACM131077 AMI131077 AWE131077 BGA131077 BPW131077 BZS131077 CJO131077 CTK131077 DDG131077 DNC131077 DWY131077 EGU131077 EQQ131077 FAM131077 FKI131077 FUE131077 GEA131077 GNW131077 GXS131077 HHO131077 HRK131077 IBG131077 ILC131077 IUY131077 JEU131077 JOQ131077 JYM131077 KII131077 KSE131077 LCA131077 LLW131077 LVS131077 MFO131077 MPK131077 MZG131077 NJC131077 NSY131077 OCU131077 OMQ131077 OWM131077 PGI131077 PQE131077 QAA131077 QJW131077 QTS131077 RDO131077 RNK131077 RXG131077 SHC131077 SQY131077 TAU131077 TKQ131077 TUM131077 UEI131077 UOE131077 UYA131077 VHW131077 VRS131077 WBO131077 WLK131077 WVG131077 RDO983045 IU196613 SQ196613 ACM196613 AMI196613 AWE196613 BGA196613 BPW196613 BZS196613 CJO196613 CTK196613 DDG196613 DNC196613 DWY196613 EGU196613 EQQ196613 FAM196613 FKI196613 FUE196613 GEA196613 GNW196613 GXS196613 HHO196613 HRK196613 IBG196613 ILC196613 IUY196613 JEU196613 JOQ196613 JYM196613 KII196613 KSE196613 LCA196613 LLW196613 LVS196613 MFO196613 MPK196613 MZG196613 NJC196613 NSY196613 OCU196613 OMQ196613 OWM196613 PGI196613 PQE196613 QAA196613 QJW196613 QTS196613 RDO196613 RNK196613 RXG196613 SHC196613 SQY196613 TAU196613 TKQ196613 TUM196613 UEI196613 UOE196613 UYA196613 VHW196613 VRS196613 WBO196613 WLK196613 WVG196613 RNK983045 IU262149 SQ262149 ACM262149 AMI262149 AWE262149 BGA262149 BPW262149 BZS262149 CJO262149 CTK262149 DDG262149 DNC262149 DWY262149 EGU262149 EQQ262149 FAM262149 FKI262149 FUE262149 GEA262149 GNW262149 GXS262149 HHO262149 HRK262149 IBG262149 ILC262149 IUY262149 JEU262149 JOQ262149 JYM262149 KII262149 KSE262149 LCA262149 LLW262149 LVS262149 MFO262149 MPK262149 MZG262149 NJC262149 NSY262149 OCU262149 OMQ262149 OWM262149 PGI262149 PQE262149 QAA262149 QJW262149 QTS262149 RDO262149 RNK262149 RXG262149 SHC262149 SQY262149 TAU262149 TKQ262149 TUM262149 UEI262149 UOE262149 UYA262149 VHW262149 VRS262149 WBO262149 WLK262149 WVG262149 RXG983045 IU327685 SQ327685 ACM327685 AMI327685 AWE327685 BGA327685 BPW327685 BZS327685 CJO327685 CTK327685 DDG327685 DNC327685 DWY327685 EGU327685 EQQ327685 FAM327685 FKI327685 FUE327685 GEA327685 GNW327685 GXS327685 HHO327685 HRK327685 IBG327685 ILC327685 IUY327685 JEU327685 JOQ327685 JYM327685 KII327685 KSE327685 LCA327685 LLW327685 LVS327685 MFO327685 MPK327685 MZG327685 NJC327685 NSY327685 OCU327685 OMQ327685 OWM327685 PGI327685 PQE327685 QAA327685 QJW327685 QTS327685 RDO327685 RNK327685 RXG327685 SHC327685 SQY327685 TAU327685 TKQ327685 TUM327685 UEI327685 UOE327685 UYA327685 VHW327685 VRS327685 WBO327685 WLK327685 WVG327685 SHC983045 IU393221 SQ393221 ACM393221 AMI393221 AWE393221 BGA393221 BPW393221 BZS393221 CJO393221 CTK393221 DDG393221 DNC393221 DWY393221 EGU393221 EQQ393221 FAM393221 FKI393221 FUE393221 GEA393221 GNW393221 GXS393221 HHO393221 HRK393221 IBG393221 ILC393221 IUY393221 JEU393221 JOQ393221 JYM393221 KII393221 KSE393221 LCA393221 LLW393221 LVS393221 MFO393221 MPK393221 MZG393221 NJC393221 NSY393221 OCU393221 OMQ393221 OWM393221 PGI393221 PQE393221 QAA393221 QJW393221 QTS393221 RDO393221 RNK393221 RXG393221 SHC393221 SQY393221 TAU393221 TKQ393221 TUM393221 UEI393221 UOE393221 UYA393221 VHW393221 VRS393221 WBO393221 WLK393221 WVG393221 SQY983045 IU458757 SQ458757 ACM458757 AMI458757 AWE458757 BGA458757 BPW458757 BZS458757 CJO458757 CTK458757 DDG458757 DNC458757 DWY458757 EGU458757 EQQ458757 FAM458757 FKI458757 FUE458757 GEA458757 GNW458757 GXS458757 HHO458757 HRK458757 IBG458757 ILC458757 IUY458757 JEU458757 JOQ458757 JYM458757 KII458757 KSE458757 LCA458757 LLW458757 LVS458757 MFO458757 MPK458757 MZG458757 NJC458757 NSY458757 OCU458757 OMQ458757 OWM458757 PGI458757 PQE458757 QAA458757 QJW458757 QTS458757 RDO458757 RNK458757 RXG458757 SHC458757 SQY458757 TAU458757 TKQ458757 TUM458757 UEI458757 UOE458757 UYA458757 VHW458757 VRS458757 WBO458757 WLK458757 WVG458757 TAU983045 IU524293 SQ524293 ACM524293 AMI524293 AWE524293 BGA524293 BPW524293 BZS524293 CJO524293 CTK524293 DDG524293 DNC524293 DWY524293 EGU524293 EQQ524293 FAM524293 FKI524293 FUE524293 GEA524293 GNW524293 GXS524293 HHO524293 HRK524293 IBG524293 ILC524293 IUY524293 JEU524293 JOQ524293 JYM524293 KII524293 KSE524293 LCA524293 LLW524293 LVS524293 MFO524293 MPK524293 MZG524293 NJC524293 NSY524293 OCU524293 OMQ524293 OWM524293 PGI524293 PQE524293 QAA524293 QJW524293 QTS524293 RDO524293 RNK524293 RXG524293 SHC524293 SQY524293 TAU524293 TKQ524293 TUM524293 UEI524293 UOE524293 UYA524293 VHW524293 VRS524293 WBO524293 WLK524293 WVG524293 TKQ983045 IU589829 SQ589829 ACM589829 AMI589829 AWE589829 BGA589829 BPW589829 BZS589829 CJO589829 CTK589829 DDG589829 DNC589829 DWY589829 EGU589829 EQQ589829 FAM589829 FKI589829 FUE589829 GEA589829 GNW589829 GXS589829 HHO589829 HRK589829 IBG589829 ILC589829 IUY589829 JEU589829 JOQ589829 JYM589829 KII589829 KSE589829 LCA589829 LLW589829 LVS589829 MFO589829 MPK589829 MZG589829 NJC589829 NSY589829 OCU589829 OMQ589829 OWM589829 PGI589829 PQE589829 QAA589829 QJW589829 QTS589829 RDO589829 RNK589829 RXG589829 SHC589829 SQY589829 TAU589829 TKQ589829 TUM589829 UEI589829 UOE589829 UYA589829 VHW589829 VRS589829 WBO589829 WLK589829 WVG589829 TUM983045 IU655365 SQ655365 ACM655365 AMI655365 AWE655365 BGA655365 BPW655365 BZS655365 CJO655365 CTK655365 DDG655365 DNC655365 DWY655365 EGU655365 EQQ655365 FAM655365 FKI655365 FUE655365 GEA655365 GNW655365 GXS655365 HHO655365 HRK655365 IBG655365 ILC655365 IUY655365 JEU655365 JOQ655365 JYM655365 KII655365 KSE655365 LCA655365 LLW655365 LVS655365 MFO655365 MPK655365 MZG655365 NJC655365 NSY655365 OCU655365 OMQ655365 OWM655365 PGI655365 PQE655365 QAA655365 QJW655365 QTS655365 RDO655365 RNK655365 RXG655365 SHC655365 SQY655365 TAU655365 TKQ655365 TUM655365 UEI655365 UOE655365 UYA655365 VHW655365 VRS655365 WBO655365 WLK655365 WVG655365 UEI983045 IU720901 SQ720901 ACM720901 B65572 B131108 B196644 B262180 B327716 B393252 B458788 B524324 B589860 B655396 B720932 B786468 B852004 B917540 B983076 B65600 B131136 B196672 B262208 B327744 B393280 B458816 B524352 B589888 B655424 B720960 B786496 B852032 B917568 B983104 B65628 B131164 B196700 B262236 B327772 B393308 B458844 B524380 B589916 B655452 B720988 B786524 B852060 B917596 B983132 B65541 B131077 B196613 B262149 B327685 B393221 B458757 B524293 B589829 B655365 B720901 B786437 B851973 B917509 B983045 VRV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BR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LN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WVJ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B5 B36 B64 B92" xr:uid="{00000000-0002-0000-1200-000000000000}">
      <formula1>#REF!</formula1>
    </dataValidation>
  </dataValidations>
  <pageMargins left="0.7" right="0.7" top="0.75" bottom="0.75" header="0.3" footer="0.3"/>
  <pageSetup paperSize="9" scale="38"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0">
    <tabColor rgb="FFFF0000"/>
  </sheetPr>
  <dimension ref="A1:N140"/>
  <sheetViews>
    <sheetView showGridLines="0" view="pageBreakPreview" topLeftCell="A46" zoomScale="90" zoomScaleNormal="80" zoomScaleSheetLayoutView="90" workbookViewId="0">
      <selection activeCell="A75" sqref="A75"/>
    </sheetView>
  </sheetViews>
  <sheetFormatPr baseColWidth="10" defaultColWidth="10.26953125" defaultRowHeight="13" x14ac:dyDescent="0.3"/>
  <cols>
    <col min="1" max="1" width="49.81640625" style="346" customWidth="1"/>
    <col min="2" max="3" width="15.7265625" style="141" customWidth="1"/>
    <col min="4" max="5" width="16.1796875" style="141" customWidth="1"/>
    <col min="6" max="6" width="16.7265625" style="141" bestFit="1" customWidth="1"/>
    <col min="7" max="9" width="16.1796875" style="141" customWidth="1"/>
    <col min="12" max="12" width="14.453125" style="357" bestFit="1" customWidth="1"/>
    <col min="14" max="14" width="12.26953125" bestFit="1" customWidth="1"/>
    <col min="250" max="250" width="49.81640625" customWidth="1"/>
    <col min="251" max="258" width="16.1796875" customWidth="1"/>
    <col min="259" max="259" width="12.453125" customWidth="1"/>
    <col min="506" max="506" width="49.81640625" customWidth="1"/>
    <col min="507" max="514" width="16.1796875" customWidth="1"/>
    <col min="515" max="515" width="12.453125" customWidth="1"/>
    <col min="762" max="762" width="49.81640625" customWidth="1"/>
    <col min="763" max="770" width="16.1796875" customWidth="1"/>
    <col min="771" max="771" width="12.453125" customWidth="1"/>
    <col min="1018" max="1018" width="49.81640625" customWidth="1"/>
    <col min="1019" max="1026" width="16.1796875" customWidth="1"/>
    <col min="1027" max="1027" width="12.453125" customWidth="1"/>
    <col min="1274" max="1274" width="49.81640625" customWidth="1"/>
    <col min="1275" max="1282" width="16.1796875" customWidth="1"/>
    <col min="1283" max="1283" width="12.453125" customWidth="1"/>
    <col min="1530" max="1530" width="49.81640625" customWidth="1"/>
    <col min="1531" max="1538" width="16.1796875" customWidth="1"/>
    <col min="1539" max="1539" width="12.453125" customWidth="1"/>
    <col min="1786" max="1786" width="49.81640625" customWidth="1"/>
    <col min="1787" max="1794" width="16.1796875" customWidth="1"/>
    <col min="1795" max="1795" width="12.453125" customWidth="1"/>
    <col min="2042" max="2042" width="49.81640625" customWidth="1"/>
    <col min="2043" max="2050" width="16.1796875" customWidth="1"/>
    <col min="2051" max="2051" width="12.453125" customWidth="1"/>
    <col min="2298" max="2298" width="49.81640625" customWidth="1"/>
    <col min="2299" max="2306" width="16.1796875" customWidth="1"/>
    <col min="2307" max="2307" width="12.453125" customWidth="1"/>
    <col min="2554" max="2554" width="49.81640625" customWidth="1"/>
    <col min="2555" max="2562" width="16.1796875" customWidth="1"/>
    <col min="2563" max="2563" width="12.453125" customWidth="1"/>
    <col min="2810" max="2810" width="49.81640625" customWidth="1"/>
    <col min="2811" max="2818" width="16.1796875" customWidth="1"/>
    <col min="2819" max="2819" width="12.453125" customWidth="1"/>
    <col min="3066" max="3066" width="49.81640625" customWidth="1"/>
    <col min="3067" max="3074" width="16.1796875" customWidth="1"/>
    <col min="3075" max="3075" width="12.453125" customWidth="1"/>
    <col min="3322" max="3322" width="49.81640625" customWidth="1"/>
    <col min="3323" max="3330" width="16.1796875" customWidth="1"/>
    <col min="3331" max="3331" width="12.453125" customWidth="1"/>
    <col min="3578" max="3578" width="49.81640625" customWidth="1"/>
    <col min="3579" max="3586" width="16.1796875" customWidth="1"/>
    <col min="3587" max="3587" width="12.453125" customWidth="1"/>
    <col min="3834" max="3834" width="49.81640625" customWidth="1"/>
    <col min="3835" max="3842" width="16.1796875" customWidth="1"/>
    <col min="3843" max="3843" width="12.453125" customWidth="1"/>
    <col min="4090" max="4090" width="49.81640625" customWidth="1"/>
    <col min="4091" max="4098" width="16.1796875" customWidth="1"/>
    <col min="4099" max="4099" width="12.453125" customWidth="1"/>
    <col min="4346" max="4346" width="49.81640625" customWidth="1"/>
    <col min="4347" max="4354" width="16.1796875" customWidth="1"/>
    <col min="4355" max="4355" width="12.453125" customWidth="1"/>
    <col min="4602" max="4602" width="49.81640625" customWidth="1"/>
    <col min="4603" max="4610" width="16.1796875" customWidth="1"/>
    <col min="4611" max="4611" width="12.453125" customWidth="1"/>
    <col min="4858" max="4858" width="49.81640625" customWidth="1"/>
    <col min="4859" max="4866" width="16.1796875" customWidth="1"/>
    <col min="4867" max="4867" width="12.453125" customWidth="1"/>
    <col min="5114" max="5114" width="49.81640625" customWidth="1"/>
    <col min="5115" max="5122" width="16.1796875" customWidth="1"/>
    <col min="5123" max="5123" width="12.453125" customWidth="1"/>
    <col min="5370" max="5370" width="49.81640625" customWidth="1"/>
    <col min="5371" max="5378" width="16.1796875" customWidth="1"/>
    <col min="5379" max="5379" width="12.453125" customWidth="1"/>
    <col min="5626" max="5626" width="49.81640625" customWidth="1"/>
    <col min="5627" max="5634" width="16.1796875" customWidth="1"/>
    <col min="5635" max="5635" width="12.453125" customWidth="1"/>
    <col min="5882" max="5882" width="49.81640625" customWidth="1"/>
    <col min="5883" max="5890" width="16.1796875" customWidth="1"/>
    <col min="5891" max="5891" width="12.453125" customWidth="1"/>
    <col min="6138" max="6138" width="49.81640625" customWidth="1"/>
    <col min="6139" max="6146" width="16.1796875" customWidth="1"/>
    <col min="6147" max="6147" width="12.453125" customWidth="1"/>
    <col min="6394" max="6394" width="49.81640625" customWidth="1"/>
    <col min="6395" max="6402" width="16.1796875" customWidth="1"/>
    <col min="6403" max="6403" width="12.453125" customWidth="1"/>
    <col min="6650" max="6650" width="49.81640625" customWidth="1"/>
    <col min="6651" max="6658" width="16.1796875" customWidth="1"/>
    <col min="6659" max="6659" width="12.453125" customWidth="1"/>
    <col min="6906" max="6906" width="49.81640625" customWidth="1"/>
    <col min="6907" max="6914" width="16.1796875" customWidth="1"/>
    <col min="6915" max="6915" width="12.453125" customWidth="1"/>
    <col min="7162" max="7162" width="49.81640625" customWidth="1"/>
    <col min="7163" max="7170" width="16.1796875" customWidth="1"/>
    <col min="7171" max="7171" width="12.453125" customWidth="1"/>
    <col min="7418" max="7418" width="49.81640625" customWidth="1"/>
    <col min="7419" max="7426" width="16.1796875" customWidth="1"/>
    <col min="7427" max="7427" width="12.453125" customWidth="1"/>
    <col min="7674" max="7674" width="49.81640625" customWidth="1"/>
    <col min="7675" max="7682" width="16.1796875" customWidth="1"/>
    <col min="7683" max="7683" width="12.453125" customWidth="1"/>
    <col min="7930" max="7930" width="49.81640625" customWidth="1"/>
    <col min="7931" max="7938" width="16.1796875" customWidth="1"/>
    <col min="7939" max="7939" width="12.453125" customWidth="1"/>
    <col min="8186" max="8186" width="49.81640625" customWidth="1"/>
    <col min="8187" max="8194" width="16.1796875" customWidth="1"/>
    <col min="8195" max="8195" width="12.453125" customWidth="1"/>
    <col min="8442" max="8442" width="49.81640625" customWidth="1"/>
    <col min="8443" max="8450" width="16.1796875" customWidth="1"/>
    <col min="8451" max="8451" width="12.453125" customWidth="1"/>
    <col min="8698" max="8698" width="49.81640625" customWidth="1"/>
    <col min="8699" max="8706" width="16.1796875" customWidth="1"/>
    <col min="8707" max="8707" width="12.453125" customWidth="1"/>
    <col min="8954" max="8954" width="49.81640625" customWidth="1"/>
    <col min="8955" max="8962" width="16.1796875" customWidth="1"/>
    <col min="8963" max="8963" width="12.453125" customWidth="1"/>
    <col min="9210" max="9210" width="49.81640625" customWidth="1"/>
    <col min="9211" max="9218" width="16.1796875" customWidth="1"/>
    <col min="9219" max="9219" width="12.453125" customWidth="1"/>
    <col min="9466" max="9466" width="49.81640625" customWidth="1"/>
    <col min="9467" max="9474" width="16.1796875" customWidth="1"/>
    <col min="9475" max="9475" width="12.453125" customWidth="1"/>
    <col min="9722" max="9722" width="49.81640625" customWidth="1"/>
    <col min="9723" max="9730" width="16.1796875" customWidth="1"/>
    <col min="9731" max="9731" width="12.453125" customWidth="1"/>
    <col min="9978" max="9978" width="49.81640625" customWidth="1"/>
    <col min="9979" max="9986" width="16.1796875" customWidth="1"/>
    <col min="9987" max="9987" width="12.453125" customWidth="1"/>
    <col min="10234" max="10234" width="49.81640625" customWidth="1"/>
    <col min="10235" max="10242" width="16.1796875" customWidth="1"/>
    <col min="10243" max="10243" width="12.453125" customWidth="1"/>
    <col min="10490" max="10490" width="49.81640625" customWidth="1"/>
    <col min="10491" max="10498" width="16.1796875" customWidth="1"/>
    <col min="10499" max="10499" width="12.453125" customWidth="1"/>
    <col min="10746" max="10746" width="49.81640625" customWidth="1"/>
    <col min="10747" max="10754" width="16.1796875" customWidth="1"/>
    <col min="10755" max="10755" width="12.453125" customWidth="1"/>
    <col min="11002" max="11002" width="49.81640625" customWidth="1"/>
    <col min="11003" max="11010" width="16.1796875" customWidth="1"/>
    <col min="11011" max="11011" width="12.453125" customWidth="1"/>
    <col min="11258" max="11258" width="49.81640625" customWidth="1"/>
    <col min="11259" max="11266" width="16.1796875" customWidth="1"/>
    <col min="11267" max="11267" width="12.453125" customWidth="1"/>
    <col min="11514" max="11514" width="49.81640625" customWidth="1"/>
    <col min="11515" max="11522" width="16.1796875" customWidth="1"/>
    <col min="11523" max="11523" width="12.453125" customWidth="1"/>
    <col min="11770" max="11770" width="49.81640625" customWidth="1"/>
    <col min="11771" max="11778" width="16.1796875" customWidth="1"/>
    <col min="11779" max="11779" width="12.453125" customWidth="1"/>
    <col min="12026" max="12026" width="49.81640625" customWidth="1"/>
    <col min="12027" max="12034" width="16.1796875" customWidth="1"/>
    <col min="12035" max="12035" width="12.453125" customWidth="1"/>
    <col min="12282" max="12282" width="49.81640625" customWidth="1"/>
    <col min="12283" max="12290" width="16.1796875" customWidth="1"/>
    <col min="12291" max="12291" width="12.453125" customWidth="1"/>
    <col min="12538" max="12538" width="49.81640625" customWidth="1"/>
    <col min="12539" max="12546" width="16.1796875" customWidth="1"/>
    <col min="12547" max="12547" width="12.453125" customWidth="1"/>
    <col min="12794" max="12794" width="49.81640625" customWidth="1"/>
    <col min="12795" max="12802" width="16.1796875" customWidth="1"/>
    <col min="12803" max="12803" width="12.453125" customWidth="1"/>
    <col min="13050" max="13050" width="49.81640625" customWidth="1"/>
    <col min="13051" max="13058" width="16.1796875" customWidth="1"/>
    <col min="13059" max="13059" width="12.453125" customWidth="1"/>
    <col min="13306" max="13306" width="49.81640625" customWidth="1"/>
    <col min="13307" max="13314" width="16.1796875" customWidth="1"/>
    <col min="13315" max="13315" width="12.453125" customWidth="1"/>
    <col min="13562" max="13562" width="49.81640625" customWidth="1"/>
    <col min="13563" max="13570" width="16.1796875" customWidth="1"/>
    <col min="13571" max="13571" width="12.453125" customWidth="1"/>
    <col min="13818" max="13818" width="49.81640625" customWidth="1"/>
    <col min="13819" max="13826" width="16.1796875" customWidth="1"/>
    <col min="13827" max="13827" width="12.453125" customWidth="1"/>
    <col min="14074" max="14074" width="49.81640625" customWidth="1"/>
    <col min="14075" max="14082" width="16.1796875" customWidth="1"/>
    <col min="14083" max="14083" width="12.453125" customWidth="1"/>
    <col min="14330" max="14330" width="49.81640625" customWidth="1"/>
    <col min="14331" max="14338" width="16.1796875" customWidth="1"/>
    <col min="14339" max="14339" width="12.453125" customWidth="1"/>
    <col min="14586" max="14586" width="49.81640625" customWidth="1"/>
    <col min="14587" max="14594" width="16.1796875" customWidth="1"/>
    <col min="14595" max="14595" width="12.453125" customWidth="1"/>
    <col min="14842" max="14842" width="49.81640625" customWidth="1"/>
    <col min="14843" max="14850" width="16.1796875" customWidth="1"/>
    <col min="14851" max="14851" width="12.453125" customWidth="1"/>
    <col min="15098" max="15098" width="49.81640625" customWidth="1"/>
    <col min="15099" max="15106" width="16.1796875" customWidth="1"/>
    <col min="15107" max="15107" width="12.453125" customWidth="1"/>
    <col min="15354" max="15354" width="49.81640625" customWidth="1"/>
    <col min="15355" max="15362" width="16.1796875" customWidth="1"/>
    <col min="15363" max="15363" width="12.453125" customWidth="1"/>
    <col min="15610" max="15610" width="49.81640625" customWidth="1"/>
    <col min="15611" max="15618" width="16.1796875" customWidth="1"/>
    <col min="15619" max="15619" width="12.453125" customWidth="1"/>
    <col min="15866" max="15866" width="49.81640625" customWidth="1"/>
    <col min="15867" max="15874" width="16.1796875" customWidth="1"/>
    <col min="15875" max="15875" width="12.453125" customWidth="1"/>
    <col min="16122" max="16122" width="49.81640625" customWidth="1"/>
    <col min="16123" max="16130" width="16.1796875" customWidth="1"/>
    <col min="16131" max="16131" width="12.453125" customWidth="1"/>
  </cols>
  <sheetData>
    <row r="1" spans="1:14" ht="14" x14ac:dyDescent="0.3">
      <c r="A1" s="364" t="s">
        <v>101</v>
      </c>
      <c r="B1" s="66"/>
      <c r="C1" s="66"/>
      <c r="D1" s="66"/>
      <c r="E1" s="66"/>
      <c r="F1" s="66"/>
      <c r="G1" s="66"/>
      <c r="H1" s="66"/>
      <c r="I1" s="66"/>
    </row>
    <row r="2" spans="1:14" ht="12.5" x14ac:dyDescent="0.25">
      <c r="A2" s="365"/>
      <c r="B2" s="66"/>
      <c r="C2" s="66"/>
      <c r="D2" s="66"/>
      <c r="E2" s="66"/>
      <c r="F2" s="66"/>
      <c r="G2" s="66"/>
      <c r="H2" s="66"/>
      <c r="I2" s="66"/>
    </row>
    <row r="3" spans="1:14" ht="12.5" x14ac:dyDescent="0.25">
      <c r="A3" s="800" t="s">
        <v>146</v>
      </c>
      <c r="B3" s="800"/>
      <c r="C3" s="800"/>
      <c r="D3" s="800"/>
      <c r="E3" s="800"/>
      <c r="F3" s="66"/>
      <c r="G3" s="66"/>
      <c r="H3" s="66"/>
      <c r="I3" s="66"/>
    </row>
    <row r="4" spans="1:14" ht="12.5" x14ac:dyDescent="0.25">
      <c r="A4" s="365"/>
      <c r="B4" s="66"/>
      <c r="C4" s="66"/>
      <c r="D4" s="66"/>
      <c r="E4" s="66"/>
      <c r="F4" s="66"/>
      <c r="G4" s="66"/>
      <c r="H4" s="66"/>
      <c r="I4" s="66"/>
    </row>
    <row r="5" spans="1:14" ht="16.5" customHeight="1" thickBot="1" x14ac:dyDescent="0.3">
      <c r="A5" s="404" t="s">
        <v>103</v>
      </c>
      <c r="B5" s="836"/>
      <c r="C5" s="836"/>
      <c r="D5" s="68"/>
      <c r="E5" s="68"/>
      <c r="F5" s="66"/>
      <c r="G5" s="66"/>
      <c r="H5" s="66"/>
      <c r="I5" s="66"/>
    </row>
    <row r="6" spans="1:14" ht="16.5" customHeight="1" thickBot="1" x14ac:dyDescent="0.3">
      <c r="A6" s="69" t="s">
        <v>104</v>
      </c>
      <c r="B6" s="818" t="s">
        <v>105</v>
      </c>
      <c r="C6" s="819"/>
      <c r="D6" s="837" t="s">
        <v>106</v>
      </c>
      <c r="E6" s="838"/>
      <c r="F6" s="818" t="s">
        <v>107</v>
      </c>
      <c r="G6" s="832"/>
      <c r="H6" s="832"/>
      <c r="I6" s="819"/>
    </row>
    <row r="7" spans="1:14" ht="16.5" customHeight="1" thickBot="1" x14ac:dyDescent="0.3">
      <c r="A7" s="70" t="s">
        <v>108</v>
      </c>
      <c r="B7" s="324" t="s">
        <v>147</v>
      </c>
      <c r="C7" s="324" t="s">
        <v>148</v>
      </c>
      <c r="D7" s="324" t="s">
        <v>147</v>
      </c>
      <c r="E7" s="324" t="s">
        <v>148</v>
      </c>
      <c r="F7" s="818" t="s">
        <v>105</v>
      </c>
      <c r="G7" s="819"/>
      <c r="H7" s="818" t="s">
        <v>106</v>
      </c>
      <c r="I7" s="819"/>
    </row>
    <row r="8" spans="1:14" ht="23.25" customHeight="1" x14ac:dyDescent="0.25">
      <c r="A8" s="839" t="s">
        <v>109</v>
      </c>
      <c r="B8" s="826"/>
      <c r="C8" s="827"/>
      <c r="D8" s="827"/>
      <c r="E8" s="828"/>
      <c r="F8" s="828" t="s">
        <v>110</v>
      </c>
      <c r="G8" s="822" t="s">
        <v>111</v>
      </c>
      <c r="H8" s="822" t="s">
        <v>112</v>
      </c>
      <c r="I8" s="822" t="s">
        <v>111</v>
      </c>
    </row>
    <row r="9" spans="1:14" ht="16.5" customHeight="1" thickBot="1" x14ac:dyDescent="0.3">
      <c r="A9" s="840"/>
      <c r="B9" s="841"/>
      <c r="C9" s="842"/>
      <c r="D9" s="842"/>
      <c r="E9" s="843"/>
      <c r="F9" s="833"/>
      <c r="G9" s="834"/>
      <c r="H9" s="834"/>
      <c r="I9" s="834"/>
    </row>
    <row r="10" spans="1:14" thickBot="1" x14ac:dyDescent="0.3">
      <c r="A10" s="72" t="s">
        <v>113</v>
      </c>
      <c r="B10" s="405"/>
      <c r="C10" s="406"/>
      <c r="D10" s="406"/>
      <c r="E10" s="536"/>
      <c r="F10" s="76"/>
      <c r="G10" s="76"/>
      <c r="H10" s="76"/>
      <c r="I10" s="77"/>
    </row>
    <row r="11" spans="1:14" ht="12.5" x14ac:dyDescent="0.25">
      <c r="A11" s="678" t="s">
        <v>114</v>
      </c>
      <c r="B11" s="78">
        <f>B12+B13+B17</f>
        <v>151024.43599999999</v>
      </c>
      <c r="C11" s="679">
        <f>142561558/1000</f>
        <v>142561.55799999999</v>
      </c>
      <c r="D11" s="78">
        <f>D12+D13+D17</f>
        <v>377</v>
      </c>
      <c r="E11" s="78">
        <f>E12+E13+E17</f>
        <v>439</v>
      </c>
      <c r="F11" s="78">
        <f>B11-C11</f>
        <v>8462.877999999997</v>
      </c>
      <c r="G11" s="78">
        <f>IF(C11&lt;&gt;0,(B11-C11)/C11)*100</f>
        <v>5.9362973572440882</v>
      </c>
      <c r="H11" s="78">
        <f>D11-E11</f>
        <v>-62</v>
      </c>
      <c r="I11" s="79">
        <f>IF(E11&lt;&gt;0,(D11-E11)/E11)*100</f>
        <v>-14.123006833712983</v>
      </c>
      <c r="N11" s="356"/>
    </row>
    <row r="12" spans="1:14" ht="12.5" x14ac:dyDescent="0.25">
      <c r="A12" s="678" t="s">
        <v>115</v>
      </c>
      <c r="B12" s="679">
        <f>52268239/1000</f>
        <v>52268.239000000001</v>
      </c>
      <c r="C12" s="679">
        <f>57604136/1000</f>
        <v>57604.135999999999</v>
      </c>
      <c r="D12" s="679">
        <v>144</v>
      </c>
      <c r="E12" s="679">
        <v>191</v>
      </c>
      <c r="F12" s="680">
        <f t="shared" ref="F12:F19" si="0">B12-C12</f>
        <v>-5335.8969999999972</v>
      </c>
      <c r="G12" s="681">
        <f>IF(C12&lt;&gt;0,(B12-C12)/C12)*100</f>
        <v>-9.2630449313570082</v>
      </c>
      <c r="H12" s="680">
        <f>D12-E12</f>
        <v>-47</v>
      </c>
      <c r="I12" s="681">
        <f>IF(E12&lt;&gt;0,(D12-E12)/E12)*100</f>
        <v>-24.607329842931939</v>
      </c>
      <c r="L12" s="401">
        <v>1000</v>
      </c>
      <c r="N12" s="356"/>
    </row>
    <row r="13" spans="1:14" ht="12.5" x14ac:dyDescent="0.25">
      <c r="A13" s="678" t="s">
        <v>116</v>
      </c>
      <c r="B13" s="680">
        <f>B14-B15-B16</f>
        <v>98756.197</v>
      </c>
      <c r="C13" s="680">
        <f>C14-C15-C16</f>
        <v>84957.421999999991</v>
      </c>
      <c r="D13" s="682">
        <v>233</v>
      </c>
      <c r="E13" s="682">
        <v>248</v>
      </c>
      <c r="F13" s="680">
        <f t="shared" si="0"/>
        <v>13798.775000000009</v>
      </c>
      <c r="G13" s="681">
        <f>IF(C13&lt;&gt;0,(B13-C13)/C13)*100</f>
        <v>16.241988840009775</v>
      </c>
      <c r="H13" s="680">
        <f>D13-E13</f>
        <v>-15</v>
      </c>
      <c r="I13" s="681">
        <f>IF(E13&lt;&gt;0,(D13-E13)/E13)*100</f>
        <v>-6.0483870967741939</v>
      </c>
      <c r="K13" s="408">
        <f>4/3</f>
        <v>1.3333333333333333</v>
      </c>
      <c r="N13" s="356"/>
    </row>
    <row r="14" spans="1:14" ht="12.5" x14ac:dyDescent="0.25">
      <c r="A14" s="683" t="s">
        <v>117</v>
      </c>
      <c r="B14" s="609">
        <f>118889539/1000</f>
        <v>118889.539</v>
      </c>
      <c r="C14" s="684">
        <f>105676930/1000</f>
        <v>105676.93</v>
      </c>
      <c r="D14" s="679"/>
      <c r="E14" s="684"/>
      <c r="F14" s="680"/>
      <c r="G14" s="685"/>
      <c r="H14" s="680"/>
      <c r="I14" s="685"/>
      <c r="N14" s="356"/>
    </row>
    <row r="15" spans="1:14" ht="12.5" x14ac:dyDescent="0.25">
      <c r="A15" s="686" t="s">
        <v>118</v>
      </c>
      <c r="B15" s="613">
        <f>20133342/1000</f>
        <v>20133.342000000001</v>
      </c>
      <c r="C15" s="687">
        <f>20719508/1000</f>
        <v>20719.508000000002</v>
      </c>
      <c r="D15" s="679"/>
      <c r="E15" s="684"/>
      <c r="F15" s="680"/>
      <c r="G15" s="685"/>
      <c r="H15" s="680"/>
      <c r="I15" s="685"/>
      <c r="N15" s="356"/>
    </row>
    <row r="16" spans="1:14" ht="12.5" x14ac:dyDescent="0.25">
      <c r="A16" s="686" t="s">
        <v>119</v>
      </c>
      <c r="B16" s="615">
        <v>0</v>
      </c>
      <c r="C16" s="537">
        <v>0</v>
      </c>
      <c r="D16" s="688"/>
      <c r="E16" s="684"/>
      <c r="F16" s="680"/>
      <c r="G16" s="685"/>
      <c r="H16" s="680"/>
      <c r="I16" s="685"/>
      <c r="N16" s="356"/>
    </row>
    <row r="17" spans="1:14" ht="12.5" x14ac:dyDescent="0.25">
      <c r="A17" s="617" t="s">
        <v>120</v>
      </c>
      <c r="B17" s="618">
        <v>0</v>
      </c>
      <c r="C17" s="542">
        <v>0</v>
      </c>
      <c r="D17" s="679">
        <v>0</v>
      </c>
      <c r="E17" s="679">
        <v>0</v>
      </c>
      <c r="F17" s="680">
        <f t="shared" si="0"/>
        <v>0</v>
      </c>
      <c r="G17" s="681">
        <f>IF(C17&lt;&gt;0,(B17-C17)/C17)*100</f>
        <v>0</v>
      </c>
      <c r="H17" s="680">
        <f>D17-E17</f>
        <v>0</v>
      </c>
      <c r="I17" s="681">
        <f>IF(E17&lt;&gt;0,(D17-E17)/E17)*100</f>
        <v>0</v>
      </c>
      <c r="N17" s="356"/>
    </row>
    <row r="18" spans="1:14" ht="12.5" x14ac:dyDescent="0.25">
      <c r="A18" s="678" t="s">
        <v>121</v>
      </c>
      <c r="B18" s="546">
        <v>0</v>
      </c>
      <c r="C18" s="684">
        <v>0</v>
      </c>
      <c r="D18" s="679">
        <v>0</v>
      </c>
      <c r="E18" s="682">
        <v>0</v>
      </c>
      <c r="F18" s="680">
        <f t="shared" si="0"/>
        <v>0</v>
      </c>
      <c r="G18" s="681">
        <f>IF(C18&lt;&gt;0,(B18-C18)/C18)*100</f>
        <v>0</v>
      </c>
      <c r="H18" s="680">
        <f>D18-E18</f>
        <v>0</v>
      </c>
      <c r="I18" s="681">
        <f>IF(E18&lt;&gt;0,(D18-E18)/E18)*100</f>
        <v>0</v>
      </c>
      <c r="N18" s="356"/>
    </row>
    <row r="19" spans="1:14" ht="16.5" customHeight="1" thickBot="1" x14ac:dyDescent="0.3">
      <c r="A19" s="619" t="s">
        <v>122</v>
      </c>
      <c r="B19" s="620">
        <v>0</v>
      </c>
      <c r="C19" s="621">
        <v>0</v>
      </c>
      <c r="D19" s="620">
        <v>0</v>
      </c>
      <c r="E19" s="621">
        <v>0</v>
      </c>
      <c r="F19" s="680">
        <f t="shared" si="0"/>
        <v>0</v>
      </c>
      <c r="G19" s="622">
        <f>IF(C19&lt;&gt;0,(B19-C19)/C19)*100</f>
        <v>0</v>
      </c>
      <c r="H19" s="680">
        <f>D19-E19</f>
        <v>0</v>
      </c>
      <c r="I19" s="622">
        <f>IF(E19&lt;&gt;0,(D19-E19)/E19)*100</f>
        <v>0</v>
      </c>
      <c r="N19" s="356"/>
    </row>
    <row r="20" spans="1:14" ht="16.5" customHeight="1" thickBot="1" x14ac:dyDescent="0.3">
      <c r="A20" s="80" t="s">
        <v>123</v>
      </c>
      <c r="B20" s="81">
        <f>B11+B18+B19</f>
        <v>151024.43599999999</v>
      </c>
      <c r="C20" s="82">
        <f>C11+C18+C19</f>
        <v>142561.55799999999</v>
      </c>
      <c r="D20" s="81">
        <f>D11+D18+D19</f>
        <v>377</v>
      </c>
      <c r="E20" s="82">
        <f>E11+E18+E19</f>
        <v>439</v>
      </c>
      <c r="F20" s="81">
        <f>F11+F18+F19</f>
        <v>8462.877999999997</v>
      </c>
      <c r="G20" s="83">
        <f>IF(C20&lt;&gt;0,(B20-C20)/C20)*100</f>
        <v>5.9362973572440882</v>
      </c>
      <c r="H20" s="81">
        <f>H11+H18+H19</f>
        <v>-62</v>
      </c>
      <c r="I20" s="83">
        <f>IF(E20&lt;&gt;0,(D20-E20)/E20)*100</f>
        <v>-14.123006833712983</v>
      </c>
      <c r="N20" s="356"/>
    </row>
    <row r="21" spans="1:14" ht="16.5" customHeight="1" thickBot="1" x14ac:dyDescent="0.3">
      <c r="A21" s="84" t="s">
        <v>109</v>
      </c>
      <c r="B21" s="85"/>
      <c r="C21" s="85"/>
      <c r="D21" s="85"/>
      <c r="E21" s="85"/>
      <c r="F21" s="86"/>
      <c r="G21" s="86"/>
      <c r="H21" s="86"/>
      <c r="I21" s="87"/>
      <c r="N21" s="356"/>
    </row>
    <row r="22" spans="1:14" ht="12.5" x14ac:dyDescent="0.25">
      <c r="A22" s="547" t="s">
        <v>124</v>
      </c>
      <c r="B22" s="548"/>
      <c r="C22" s="549"/>
      <c r="D22" s="548"/>
      <c r="E22" s="549"/>
      <c r="F22" s="550"/>
      <c r="G22" s="551"/>
      <c r="H22" s="551"/>
      <c r="I22" s="552"/>
      <c r="N22" s="356"/>
    </row>
    <row r="23" spans="1:14" ht="12.5" x14ac:dyDescent="0.25">
      <c r="A23" s="678" t="s">
        <v>125</v>
      </c>
      <c r="B23" s="657">
        <f>SUM(B24:B27)</f>
        <v>100851.571</v>
      </c>
      <c r="C23" s="624">
        <f>SUM(C24:C27)</f>
        <v>126212.977</v>
      </c>
      <c r="D23" s="657">
        <f>SUM(D24:D27)</f>
        <v>1534</v>
      </c>
      <c r="E23" s="624">
        <f>SUM(E24:E27)</f>
        <v>1918</v>
      </c>
      <c r="F23" s="657">
        <f t="shared" ref="F23:F28" si="1">B23-C23</f>
        <v>-25361.406000000003</v>
      </c>
      <c r="G23" s="625">
        <f t="shared" ref="G23:G28" si="2">IF(C23&lt;&gt;0,(B23-C23)/C23)*100</f>
        <v>-20.094135011172426</v>
      </c>
      <c r="H23" s="657">
        <f t="shared" ref="H23:H28" si="3">D23-E23</f>
        <v>-384</v>
      </c>
      <c r="I23" s="625">
        <f t="shared" ref="I23:I28" si="4">IF(E23&lt;&gt;0,(D23-E23)/E23)*100</f>
        <v>-20.020855057351408</v>
      </c>
      <c r="N23" s="356"/>
    </row>
    <row r="24" spans="1:14" ht="12.5" x14ac:dyDescent="0.25">
      <c r="A24" s="678" t="s">
        <v>126</v>
      </c>
      <c r="B24" s="679">
        <f>11933124/1000</f>
        <v>11933.124</v>
      </c>
      <c r="C24" s="679">
        <f>19928941/1000</f>
        <v>19928.940999999999</v>
      </c>
      <c r="D24" s="679">
        <v>254</v>
      </c>
      <c r="E24" s="679">
        <v>483</v>
      </c>
      <c r="F24" s="680">
        <f t="shared" si="1"/>
        <v>-7995.8169999999991</v>
      </c>
      <c r="G24" s="681">
        <f t="shared" si="2"/>
        <v>-40.121635163654709</v>
      </c>
      <c r="H24" s="680">
        <f t="shared" si="3"/>
        <v>-229</v>
      </c>
      <c r="I24" s="681">
        <f t="shared" si="4"/>
        <v>-47.412008281573499</v>
      </c>
      <c r="N24" s="356"/>
    </row>
    <row r="25" spans="1:14" ht="12.5" x14ac:dyDescent="0.25">
      <c r="A25" s="678" t="s">
        <v>127</v>
      </c>
      <c r="B25" s="679">
        <f>7658141/1000</f>
        <v>7658.1409999999996</v>
      </c>
      <c r="C25" s="679">
        <f>9293812/1000</f>
        <v>9293.8119999999999</v>
      </c>
      <c r="D25" s="679">
        <v>271</v>
      </c>
      <c r="E25" s="679">
        <v>346</v>
      </c>
      <c r="F25" s="680">
        <f t="shared" si="1"/>
        <v>-1635.6710000000003</v>
      </c>
      <c r="G25" s="681">
        <f t="shared" si="2"/>
        <v>-17.599570552965783</v>
      </c>
      <c r="H25" s="680">
        <f t="shared" si="3"/>
        <v>-75</v>
      </c>
      <c r="I25" s="681">
        <f t="shared" si="4"/>
        <v>-21.676300578034681</v>
      </c>
      <c r="N25" s="356"/>
    </row>
    <row r="26" spans="1:14" ht="12.5" x14ac:dyDescent="0.25">
      <c r="A26" s="626" t="s">
        <v>128</v>
      </c>
      <c r="B26" s="679">
        <f>1338207/1000</f>
        <v>1338.2070000000001</v>
      </c>
      <c r="C26" s="679">
        <f>1699520/1000</f>
        <v>1699.52</v>
      </c>
      <c r="D26" s="679">
        <v>33</v>
      </c>
      <c r="E26" s="679">
        <v>44</v>
      </c>
      <c r="F26" s="680">
        <f t="shared" si="1"/>
        <v>-361.31299999999987</v>
      </c>
      <c r="G26" s="681">
        <f t="shared" si="2"/>
        <v>-21.259708623611363</v>
      </c>
      <c r="H26" s="680">
        <f t="shared" si="3"/>
        <v>-11</v>
      </c>
      <c r="I26" s="681">
        <f t="shared" si="4"/>
        <v>-25</v>
      </c>
      <c r="N26" s="356"/>
    </row>
    <row r="27" spans="1:14" ht="12.5" x14ac:dyDescent="0.25">
      <c r="A27" s="678" t="s">
        <v>129</v>
      </c>
      <c r="B27" s="679">
        <f>79922099/1000</f>
        <v>79922.099000000002</v>
      </c>
      <c r="C27" s="679">
        <f>95290704/1000</f>
        <v>95290.703999999998</v>
      </c>
      <c r="D27" s="679">
        <v>976</v>
      </c>
      <c r="E27" s="679">
        <v>1045</v>
      </c>
      <c r="F27" s="680">
        <f t="shared" si="1"/>
        <v>-15368.604999999996</v>
      </c>
      <c r="G27" s="681">
        <f t="shared" si="2"/>
        <v>-16.128126202110959</v>
      </c>
      <c r="H27" s="680">
        <f t="shared" si="3"/>
        <v>-69</v>
      </c>
      <c r="I27" s="681">
        <f t="shared" si="4"/>
        <v>-6.6028708133971294</v>
      </c>
      <c r="N27" s="356"/>
    </row>
    <row r="28" spans="1:14" ht="12.5" x14ac:dyDescent="0.25">
      <c r="A28" s="678" t="s">
        <v>130</v>
      </c>
      <c r="B28" s="679">
        <f>1243022/1000</f>
        <v>1243.0219999999999</v>
      </c>
      <c r="C28" s="679">
        <f>623212/1000</f>
        <v>623.21199999999999</v>
      </c>
      <c r="D28" s="679">
        <v>8</v>
      </c>
      <c r="E28" s="679">
        <v>73</v>
      </c>
      <c r="F28" s="680">
        <f t="shared" si="1"/>
        <v>619.80999999999995</v>
      </c>
      <c r="G28" s="681">
        <f t="shared" si="2"/>
        <v>99.454118341752078</v>
      </c>
      <c r="H28" s="680">
        <f t="shared" si="3"/>
        <v>-65</v>
      </c>
      <c r="I28" s="681">
        <f t="shared" si="4"/>
        <v>-89.041095890410958</v>
      </c>
      <c r="N28" s="356"/>
    </row>
    <row r="29" spans="1:14" ht="12.5" x14ac:dyDescent="0.25">
      <c r="A29" s="678"/>
      <c r="B29" s="627"/>
      <c r="C29" s="628"/>
      <c r="D29" s="627"/>
      <c r="E29" s="628"/>
      <c r="F29" s="657"/>
      <c r="G29" s="625"/>
      <c r="H29" s="624"/>
      <c r="I29" s="629"/>
      <c r="N29" s="356"/>
    </row>
    <row r="30" spans="1:14" ht="12.5" x14ac:dyDescent="0.25">
      <c r="A30" s="678"/>
      <c r="B30" s="627"/>
      <c r="C30" s="628"/>
      <c r="D30" s="627"/>
      <c r="E30" s="628"/>
      <c r="F30" s="657"/>
      <c r="G30" s="625"/>
      <c r="H30" s="624"/>
      <c r="I30" s="629"/>
      <c r="N30" s="356"/>
    </row>
    <row r="31" spans="1:14" ht="16.5" customHeight="1" thickBot="1" x14ac:dyDescent="0.3">
      <c r="A31" s="88" t="s">
        <v>109</v>
      </c>
      <c r="B31" s="630"/>
      <c r="C31" s="631"/>
      <c r="D31" s="630"/>
      <c r="E31" s="631"/>
      <c r="F31" s="632"/>
      <c r="G31" s="633"/>
      <c r="H31" s="634"/>
      <c r="I31" s="635"/>
      <c r="N31" s="356"/>
    </row>
    <row r="32" spans="1:14" ht="16.5" customHeight="1" thickBot="1" x14ac:dyDescent="0.3">
      <c r="A32" s="89" t="s">
        <v>131</v>
      </c>
      <c r="B32" s="90">
        <f>B23+B28</f>
        <v>102094.59299999999</v>
      </c>
      <c r="C32" s="91">
        <f>C23+C28</f>
        <v>126836.189</v>
      </c>
      <c r="D32" s="90">
        <f>D23+D28</f>
        <v>1542</v>
      </c>
      <c r="E32" s="91">
        <f>E23+E28</f>
        <v>1991</v>
      </c>
      <c r="F32" s="91">
        <f>B32-C32</f>
        <v>-24741.596000000005</v>
      </c>
      <c r="G32" s="92">
        <f>IF(C32&lt;&gt;0,(B32-C32)/C32)*100</f>
        <v>-19.506732420035107</v>
      </c>
      <c r="H32" s="91">
        <f>D32-E32</f>
        <v>-449</v>
      </c>
      <c r="I32" s="92">
        <f>IF(E32&lt;&gt;0,(D32-E32)/E32)*100</f>
        <v>-22.551481667503769</v>
      </c>
      <c r="N32" s="356"/>
    </row>
    <row r="33" spans="1:14" ht="16.5" customHeight="1" thickBot="1" x14ac:dyDescent="0.3">
      <c r="A33" s="93" t="s">
        <v>132</v>
      </c>
      <c r="B33" s="90">
        <f>B20+B32</f>
        <v>253119.02899999998</v>
      </c>
      <c r="C33" s="91">
        <f>C20+C32</f>
        <v>269397.74699999997</v>
      </c>
      <c r="D33" s="90">
        <f>D20+D32</f>
        <v>1919</v>
      </c>
      <c r="E33" s="91">
        <f>E20+E32</f>
        <v>2430</v>
      </c>
      <c r="F33" s="91">
        <f>B33-C33</f>
        <v>-16278.717999999993</v>
      </c>
      <c r="G33" s="92">
        <f>IF(C33&lt;&gt;0,(B33-C33)/C33)*100</f>
        <v>-6.042633311257795</v>
      </c>
      <c r="H33" s="91">
        <f>D33-E33</f>
        <v>-511</v>
      </c>
      <c r="I33" s="92">
        <f>IF(E33&lt;&gt;0,(D33-E33)/E33)*100</f>
        <v>-21.02880658436214</v>
      </c>
      <c r="N33" s="356"/>
    </row>
    <row r="34" spans="1:14" ht="12.5" x14ac:dyDescent="0.25">
      <c r="A34" s="94"/>
      <c r="B34" s="94"/>
      <c r="C34" s="94"/>
      <c r="D34" s="94"/>
      <c r="E34" s="94"/>
      <c r="F34" s="95"/>
      <c r="G34" s="95"/>
      <c r="H34" s="95"/>
      <c r="I34" s="95"/>
    </row>
    <row r="35" spans="1:14" ht="12.5" x14ac:dyDescent="0.25">
      <c r="A35" s="68"/>
      <c r="B35" s="96"/>
      <c r="C35" s="97"/>
      <c r="D35" s="97"/>
      <c r="E35" s="97"/>
      <c r="F35" s="538"/>
      <c r="G35" s="538"/>
      <c r="H35" s="538"/>
      <c r="I35" s="538"/>
    </row>
    <row r="36" spans="1:14" ht="16.5" customHeight="1" thickBot="1" x14ac:dyDescent="0.3">
      <c r="A36" s="404" t="s">
        <v>133</v>
      </c>
      <c r="B36" s="813"/>
      <c r="C36" s="813"/>
      <c r="D36" s="99"/>
      <c r="E36" s="99"/>
      <c r="F36" s="538"/>
      <c r="G36" s="538"/>
      <c r="H36" s="538"/>
      <c r="I36" s="538"/>
    </row>
    <row r="37" spans="1:14" ht="23.25" customHeight="1" thickBot="1" x14ac:dyDescent="0.3">
      <c r="A37" s="822" t="s">
        <v>134</v>
      </c>
      <c r="B37" s="818" t="s">
        <v>105</v>
      </c>
      <c r="C37" s="819"/>
      <c r="D37" s="818" t="s">
        <v>106</v>
      </c>
      <c r="E37" s="819"/>
      <c r="F37" s="804" t="s">
        <v>107</v>
      </c>
      <c r="G37" s="805"/>
      <c r="H37" s="805"/>
      <c r="I37" s="806"/>
    </row>
    <row r="38" spans="1:14" ht="16.5" customHeight="1" thickBot="1" x14ac:dyDescent="0.3">
      <c r="A38" s="823"/>
      <c r="B38" s="324" t="s">
        <v>147</v>
      </c>
      <c r="C38" s="324" t="s">
        <v>148</v>
      </c>
      <c r="D38" s="324" t="s">
        <v>147</v>
      </c>
      <c r="E38" s="324" t="s">
        <v>148</v>
      </c>
      <c r="F38" s="804" t="s">
        <v>105</v>
      </c>
      <c r="G38" s="806"/>
      <c r="H38" s="804" t="s">
        <v>106</v>
      </c>
      <c r="I38" s="806"/>
    </row>
    <row r="39" spans="1:14" ht="12.5" x14ac:dyDescent="0.25">
      <c r="A39" s="100"/>
      <c r="B39" s="826"/>
      <c r="C39" s="827"/>
      <c r="D39" s="827"/>
      <c r="E39" s="828"/>
      <c r="F39" s="814" t="s">
        <v>110</v>
      </c>
      <c r="G39" s="816" t="s">
        <v>111</v>
      </c>
      <c r="H39" s="816" t="s">
        <v>112</v>
      </c>
      <c r="I39" s="816" t="s">
        <v>111</v>
      </c>
      <c r="L39" s="358"/>
    </row>
    <row r="40" spans="1:14" ht="16.5" customHeight="1" thickBot="1" x14ac:dyDescent="0.3">
      <c r="A40" s="101" t="s">
        <v>113</v>
      </c>
      <c r="B40" s="829"/>
      <c r="C40" s="830"/>
      <c r="D40" s="830"/>
      <c r="E40" s="831"/>
      <c r="F40" s="815"/>
      <c r="G40" s="817"/>
      <c r="H40" s="817"/>
      <c r="I40" s="817"/>
      <c r="L40" s="358"/>
    </row>
    <row r="41" spans="1:14" ht="16.5" customHeight="1" thickBot="1" x14ac:dyDescent="0.3">
      <c r="A41" s="539" t="s">
        <v>135</v>
      </c>
      <c r="B41" s="103">
        <f>B42+B43+B45</f>
        <v>1394923.6949999998</v>
      </c>
      <c r="C41" s="104">
        <f>C42+C43+C45</f>
        <v>1232845.969</v>
      </c>
      <c r="D41" s="104">
        <f>D42+D43+D45</f>
        <v>6091</v>
      </c>
      <c r="E41" s="104">
        <f>E42+E43+E45</f>
        <v>4511</v>
      </c>
      <c r="F41" s="104">
        <f t="shared" ref="F41:F48" si="5">B41-C41</f>
        <v>162077.72599999979</v>
      </c>
      <c r="G41" s="105">
        <f t="shared" ref="G41:G48" si="6">IF(C41&lt;&gt;0,(B41-C41)/C41)*100</f>
        <v>13.146632270004185</v>
      </c>
      <c r="H41" s="104">
        <f t="shared" ref="H41:H48" si="7">D41-E41</f>
        <v>1580</v>
      </c>
      <c r="I41" s="105">
        <f t="shared" ref="I41:I48" si="8">IF(E41&lt;&gt;0,(D41-E41)/E41)*100</f>
        <v>35.025493238749725</v>
      </c>
      <c r="L41" s="359"/>
    </row>
    <row r="42" spans="1:14" ht="12.5" x14ac:dyDescent="0.25">
      <c r="A42" s="539" t="s">
        <v>136</v>
      </c>
      <c r="B42" s="542">
        <f>229567077/1000</f>
        <v>229567.07699999999</v>
      </c>
      <c r="C42" s="542">
        <f>228881112/1000</f>
        <v>228881.11199999999</v>
      </c>
      <c r="D42" s="543">
        <v>4260</v>
      </c>
      <c r="E42" s="543">
        <v>2483</v>
      </c>
      <c r="F42" s="680">
        <f t="shared" si="5"/>
        <v>685.96499999999651</v>
      </c>
      <c r="G42" s="681">
        <f t="shared" si="6"/>
        <v>0.29970362954195912</v>
      </c>
      <c r="H42" s="680">
        <f t="shared" si="7"/>
        <v>1777</v>
      </c>
      <c r="I42" s="681">
        <f t="shared" si="8"/>
        <v>71.566653242045902</v>
      </c>
      <c r="J42" s="345"/>
      <c r="L42" s="360"/>
      <c r="M42">
        <v>2</v>
      </c>
    </row>
    <row r="43" spans="1:14" ht="12.5" x14ac:dyDescent="0.25">
      <c r="A43" s="539" t="s">
        <v>116</v>
      </c>
      <c r="B43" s="542">
        <f>1166197005/1000</f>
        <v>1166197.0049999999</v>
      </c>
      <c r="C43" s="542">
        <f>1005606268/1000</f>
        <v>1005606.268</v>
      </c>
      <c r="D43" s="543">
        <v>1878</v>
      </c>
      <c r="E43" s="543">
        <v>2028</v>
      </c>
      <c r="F43" s="680">
        <f t="shared" si="5"/>
        <v>160590.73699999985</v>
      </c>
      <c r="G43" s="681">
        <f t="shared" si="6"/>
        <v>15.969544155625712</v>
      </c>
      <c r="H43" s="680">
        <f t="shared" si="7"/>
        <v>-150</v>
      </c>
      <c r="I43" s="681">
        <f t="shared" si="8"/>
        <v>-7.3964497041420119</v>
      </c>
      <c r="J43" s="345"/>
      <c r="L43" s="360"/>
    </row>
    <row r="44" spans="1:14" ht="12.5" x14ac:dyDescent="0.25">
      <c r="A44" s="539" t="s">
        <v>137</v>
      </c>
      <c r="B44" s="542">
        <f>397693811/1000</f>
        <v>397693.81099999999</v>
      </c>
      <c r="C44" s="542">
        <f>475679391/1000</f>
        <v>475679.391</v>
      </c>
      <c r="D44" s="543">
        <v>0</v>
      </c>
      <c r="E44" s="543">
        <v>0</v>
      </c>
      <c r="F44" s="680">
        <f t="shared" si="5"/>
        <v>-77985.580000000016</v>
      </c>
      <c r="G44" s="681">
        <f t="shared" si="6"/>
        <v>-16.394567743633868</v>
      </c>
      <c r="H44" s="680">
        <f t="shared" si="7"/>
        <v>0</v>
      </c>
      <c r="I44" s="681">
        <f t="shared" si="8"/>
        <v>0</v>
      </c>
      <c r="J44" s="345"/>
      <c r="L44" s="360"/>
    </row>
    <row r="45" spans="1:14" ht="12.5" x14ac:dyDescent="0.25">
      <c r="A45" s="539" t="s">
        <v>143</v>
      </c>
      <c r="B45" s="542">
        <f>-840387/1000</f>
        <v>-840.38699999999994</v>
      </c>
      <c r="C45" s="542">
        <f>-1641411/1000</f>
        <v>-1641.4110000000001</v>
      </c>
      <c r="D45" s="543">
        <v>-47</v>
      </c>
      <c r="E45" s="543">
        <v>0</v>
      </c>
      <c r="F45" s="680">
        <f t="shared" si="5"/>
        <v>801.02400000000011</v>
      </c>
      <c r="G45" s="681">
        <f t="shared" si="6"/>
        <v>-48.80094016672242</v>
      </c>
      <c r="H45" s="680">
        <f t="shared" si="7"/>
        <v>-47</v>
      </c>
      <c r="I45" s="681">
        <f t="shared" si="8"/>
        <v>0</v>
      </c>
      <c r="J45" s="344"/>
      <c r="L45" s="360"/>
    </row>
    <row r="46" spans="1:14" ht="12.5" x14ac:dyDescent="0.25">
      <c r="A46" s="539" t="s">
        <v>139</v>
      </c>
      <c r="B46" s="542">
        <v>0</v>
      </c>
      <c r="C46" s="542">
        <v>0</v>
      </c>
      <c r="D46" s="543">
        <v>0</v>
      </c>
      <c r="E46" s="543">
        <v>0</v>
      </c>
      <c r="F46" s="680">
        <f t="shared" si="5"/>
        <v>0</v>
      </c>
      <c r="G46" s="681">
        <f t="shared" si="6"/>
        <v>0</v>
      </c>
      <c r="H46" s="680">
        <f t="shared" si="7"/>
        <v>0</v>
      </c>
      <c r="I46" s="681">
        <f t="shared" si="8"/>
        <v>0</v>
      </c>
      <c r="J46" s="344"/>
      <c r="L46" s="360"/>
    </row>
    <row r="47" spans="1:14" ht="16.5" customHeight="1" thickBot="1" x14ac:dyDescent="0.3">
      <c r="A47" s="539" t="s">
        <v>140</v>
      </c>
      <c r="B47" s="542">
        <v>0</v>
      </c>
      <c r="C47" s="542">
        <v>0</v>
      </c>
      <c r="D47" s="543">
        <v>0</v>
      </c>
      <c r="E47" s="543">
        <v>0</v>
      </c>
      <c r="F47" s="680">
        <f t="shared" si="5"/>
        <v>0</v>
      </c>
      <c r="G47" s="681">
        <f t="shared" si="6"/>
        <v>0</v>
      </c>
      <c r="H47" s="680">
        <f t="shared" si="7"/>
        <v>0</v>
      </c>
      <c r="I47" s="681">
        <f t="shared" si="8"/>
        <v>0</v>
      </c>
      <c r="J47" s="344"/>
      <c r="L47" s="360"/>
    </row>
    <row r="48" spans="1:14" ht="16.5" customHeight="1" thickBot="1" x14ac:dyDescent="0.3">
      <c r="A48" s="106" t="s">
        <v>123</v>
      </c>
      <c r="B48" s="91">
        <f>B41+B46+B47</f>
        <v>1394923.6949999998</v>
      </c>
      <c r="C48" s="91">
        <f>C41+C46+C47</f>
        <v>1232845.969</v>
      </c>
      <c r="D48" s="91">
        <f>D41+D46+D47</f>
        <v>6091</v>
      </c>
      <c r="E48" s="91">
        <f>E41+E46+E47</f>
        <v>4511</v>
      </c>
      <c r="F48" s="91">
        <f t="shared" si="5"/>
        <v>162077.72599999979</v>
      </c>
      <c r="G48" s="92">
        <f t="shared" si="6"/>
        <v>13.146632270004185</v>
      </c>
      <c r="H48" s="91">
        <f t="shared" si="7"/>
        <v>1580</v>
      </c>
      <c r="I48" s="92">
        <f t="shared" si="8"/>
        <v>35.025493238749725</v>
      </c>
      <c r="J48" s="344"/>
      <c r="L48" s="359"/>
    </row>
    <row r="49" spans="1:12" ht="16.5" customHeight="1" thickBot="1" x14ac:dyDescent="0.3">
      <c r="A49" s="101" t="s">
        <v>124</v>
      </c>
      <c r="B49" s="114"/>
      <c r="C49" s="115"/>
      <c r="D49" s="115"/>
      <c r="E49" s="115"/>
      <c r="F49" s="116"/>
      <c r="G49" s="117"/>
      <c r="H49" s="116"/>
      <c r="I49" s="124"/>
      <c r="J49" s="344"/>
      <c r="L49" s="361"/>
    </row>
    <row r="50" spans="1:12" ht="16.5" customHeight="1" thickBot="1" x14ac:dyDescent="0.3">
      <c r="A50" s="539" t="s">
        <v>125</v>
      </c>
      <c r="B50" s="103">
        <f>SUM(B51:B54)</f>
        <v>959308.06299999997</v>
      </c>
      <c r="C50" s="104">
        <f>SUM(C51:C54)</f>
        <v>960819.04399999999</v>
      </c>
      <c r="D50" s="104">
        <f>SUM(D51:D54)</f>
        <v>38515</v>
      </c>
      <c r="E50" s="104">
        <f>SUM(E51:E54)</f>
        <v>30086</v>
      </c>
      <c r="F50" s="104">
        <f t="shared" ref="F50:F55" si="9">B50-C50</f>
        <v>-1510.9810000000289</v>
      </c>
      <c r="G50" s="105">
        <f t="shared" ref="G50:G55" si="10">IF(C50&lt;&gt;0,(B50-C50)/C50)*100</f>
        <v>-0.15725968479034735</v>
      </c>
      <c r="H50" s="104">
        <f t="shared" ref="H50:H55" si="11">D50-E50</f>
        <v>8429</v>
      </c>
      <c r="I50" s="105">
        <f t="shared" ref="I50:I55" si="12">IF(E50&lt;&gt;0,(D50-E50)/E50)*100</f>
        <v>28.016353121052983</v>
      </c>
      <c r="J50" s="344"/>
      <c r="L50" s="359"/>
    </row>
    <row r="51" spans="1:12" ht="12.5" x14ac:dyDescent="0.25">
      <c r="A51" s="119" t="s">
        <v>126</v>
      </c>
      <c r="B51" s="542">
        <f>337812408/1000</f>
        <v>337812.408</v>
      </c>
      <c r="C51" s="542">
        <f>396871544/1000</f>
        <v>396871.54399999999</v>
      </c>
      <c r="D51" s="542">
        <v>10321</v>
      </c>
      <c r="E51" s="542">
        <v>8709</v>
      </c>
      <c r="F51" s="680">
        <f t="shared" si="9"/>
        <v>-59059.135999999999</v>
      </c>
      <c r="G51" s="681">
        <f t="shared" si="10"/>
        <v>-14.881171727444384</v>
      </c>
      <c r="H51" s="680">
        <f t="shared" si="11"/>
        <v>1612</v>
      </c>
      <c r="I51" s="681">
        <f t="shared" si="12"/>
        <v>18.509587782753474</v>
      </c>
      <c r="J51" s="344"/>
      <c r="L51" s="360"/>
    </row>
    <row r="52" spans="1:12" ht="12.5" x14ac:dyDescent="0.25">
      <c r="A52" s="119" t="s">
        <v>127</v>
      </c>
      <c r="B52" s="542">
        <f>162893018/1000</f>
        <v>162893.01800000001</v>
      </c>
      <c r="C52" s="542">
        <f>191380734/1000</f>
        <v>191380.734</v>
      </c>
      <c r="D52" s="542">
        <v>14937</v>
      </c>
      <c r="E52" s="542">
        <v>11183</v>
      </c>
      <c r="F52" s="680">
        <f t="shared" si="9"/>
        <v>-28487.715999999986</v>
      </c>
      <c r="G52" s="681">
        <f t="shared" si="10"/>
        <v>-14.885362494220544</v>
      </c>
      <c r="H52" s="680">
        <f t="shared" si="11"/>
        <v>3754</v>
      </c>
      <c r="I52" s="681">
        <f t="shared" si="12"/>
        <v>33.568809800590181</v>
      </c>
      <c r="J52" s="344"/>
      <c r="L52" s="360"/>
    </row>
    <row r="53" spans="1:12" ht="12.5" x14ac:dyDescent="0.25">
      <c r="A53" s="120" t="s">
        <v>141</v>
      </c>
      <c r="B53" s="542">
        <f>6848766/1000</f>
        <v>6848.7659999999996</v>
      </c>
      <c r="C53" s="542">
        <f>19874885/1000</f>
        <v>19874.884999999998</v>
      </c>
      <c r="D53" s="542">
        <v>2519</v>
      </c>
      <c r="E53" s="542">
        <v>1035</v>
      </c>
      <c r="F53" s="680">
        <f t="shared" si="9"/>
        <v>-13026.118999999999</v>
      </c>
      <c r="G53" s="681">
        <f t="shared" si="10"/>
        <v>-65.540600612280272</v>
      </c>
      <c r="H53" s="680">
        <f t="shared" si="11"/>
        <v>1484</v>
      </c>
      <c r="I53" s="681">
        <f t="shared" si="12"/>
        <v>143.38164251207729</v>
      </c>
      <c r="J53" s="344"/>
      <c r="L53" s="360"/>
    </row>
    <row r="54" spans="1:12" ht="12.5" x14ac:dyDescent="0.25">
      <c r="A54" s="119" t="s">
        <v>129</v>
      </c>
      <c r="B54" s="542">
        <f>451753871/1000</f>
        <v>451753.87099999998</v>
      </c>
      <c r="C54" s="542">
        <f>352691881/1000</f>
        <v>352691.88099999999</v>
      </c>
      <c r="D54" s="542">
        <v>10738</v>
      </c>
      <c r="E54" s="542">
        <v>9159</v>
      </c>
      <c r="F54" s="680">
        <f t="shared" si="9"/>
        <v>99061.989999999991</v>
      </c>
      <c r="G54" s="681">
        <f t="shared" si="10"/>
        <v>28.087403009994432</v>
      </c>
      <c r="H54" s="680">
        <f t="shared" si="11"/>
        <v>1579</v>
      </c>
      <c r="I54" s="681">
        <f t="shared" si="12"/>
        <v>17.239873348618843</v>
      </c>
      <c r="J54" s="344"/>
      <c r="L54" s="360"/>
    </row>
    <row r="55" spans="1:12" ht="12.5" x14ac:dyDescent="0.25">
      <c r="A55" s="539" t="s">
        <v>130</v>
      </c>
      <c r="B55" s="542">
        <f>151731652/1000</f>
        <v>151731.652</v>
      </c>
      <c r="C55" s="542">
        <f>172882343/1000</f>
        <v>172882.34299999999</v>
      </c>
      <c r="D55" s="542">
        <v>3822</v>
      </c>
      <c r="E55" s="542">
        <v>3897</v>
      </c>
      <c r="F55" s="680">
        <f t="shared" si="9"/>
        <v>-21150.690999999992</v>
      </c>
      <c r="G55" s="681">
        <f t="shared" si="10"/>
        <v>-12.234153374471557</v>
      </c>
      <c r="H55" s="680">
        <f t="shared" si="11"/>
        <v>-75</v>
      </c>
      <c r="I55" s="681">
        <f t="shared" si="12"/>
        <v>-1.9245573518090839</v>
      </c>
      <c r="J55" s="344"/>
      <c r="L55" s="360"/>
    </row>
    <row r="56" spans="1:12" ht="12.5" x14ac:dyDescent="0.25">
      <c r="A56" s="539"/>
      <c r="B56" s="684" t="s">
        <v>152</v>
      </c>
      <c r="C56" s="684"/>
      <c r="D56" s="684"/>
      <c r="E56" s="684"/>
      <c r="F56" s="544"/>
      <c r="G56" s="545"/>
      <c r="H56" s="544"/>
      <c r="I56" s="545"/>
      <c r="L56" s="360"/>
    </row>
    <row r="57" spans="1:12" ht="12.5" x14ac:dyDescent="0.25">
      <c r="A57" s="539"/>
      <c r="B57" s="684"/>
      <c r="C57" s="684"/>
      <c r="D57" s="684"/>
      <c r="E57" s="684"/>
      <c r="F57" s="544"/>
      <c r="G57" s="545"/>
      <c r="H57" s="544"/>
      <c r="I57" s="545"/>
      <c r="L57" s="360"/>
    </row>
    <row r="58" spans="1:12" ht="16.5" customHeight="1" thickBot="1" x14ac:dyDescent="0.3">
      <c r="A58" s="539"/>
      <c r="B58" s="636"/>
      <c r="C58" s="636"/>
      <c r="D58" s="637"/>
      <c r="E58" s="637"/>
      <c r="F58" s="638"/>
      <c r="G58" s="639"/>
      <c r="H58" s="640"/>
      <c r="I58" s="641"/>
      <c r="L58" s="362"/>
    </row>
    <row r="59" spans="1:12" ht="16.5" customHeight="1" thickBot="1" x14ac:dyDescent="0.3">
      <c r="A59" s="106" t="s">
        <v>131</v>
      </c>
      <c r="B59" s="103">
        <f>B50+B55</f>
        <v>1111039.7149999999</v>
      </c>
      <c r="C59" s="104">
        <f>C50+C55</f>
        <v>1133701.3870000001</v>
      </c>
      <c r="D59" s="104">
        <f>D50+D55</f>
        <v>42337</v>
      </c>
      <c r="E59" s="104">
        <f>E50+E55</f>
        <v>33983</v>
      </c>
      <c r="F59" s="657">
        <f>B59-C59</f>
        <v>-22661.672000000253</v>
      </c>
      <c r="G59" s="625">
        <f>IF(C59&lt;&gt;0,(B59-C59)/C59)*100</f>
        <v>-1.9989101415821282</v>
      </c>
      <c r="H59" s="657">
        <f>D59-E59</f>
        <v>8354</v>
      </c>
      <c r="I59" s="625">
        <f>IF(E59&lt;&gt;0,(D59-E59)/E59)*100</f>
        <v>24.582879675131682</v>
      </c>
      <c r="L59" s="359"/>
    </row>
    <row r="60" spans="1:12" ht="16.5" customHeight="1" thickBot="1" x14ac:dyDescent="0.3">
      <c r="A60" s="539"/>
      <c r="B60" s="121"/>
      <c r="C60" s="122"/>
      <c r="D60" s="122"/>
      <c r="E60" s="122"/>
      <c r="F60" s="123"/>
      <c r="G60" s="124"/>
      <c r="H60" s="123"/>
      <c r="I60" s="125"/>
      <c r="L60" s="361"/>
    </row>
    <row r="61" spans="1:12" ht="16.5" customHeight="1" thickBot="1" x14ac:dyDescent="0.3">
      <c r="A61" s="106" t="s">
        <v>132</v>
      </c>
      <c r="B61" s="103">
        <f>B48+B59</f>
        <v>2505963.4099999997</v>
      </c>
      <c r="C61" s="104">
        <f>C48+C59</f>
        <v>2366547.3560000001</v>
      </c>
      <c r="D61" s="104">
        <f>D48+D59</f>
        <v>48428</v>
      </c>
      <c r="E61" s="104">
        <f>E48+E59</f>
        <v>38494</v>
      </c>
      <c r="F61" s="104">
        <f>B61-C61</f>
        <v>139416.05399999954</v>
      </c>
      <c r="G61" s="105">
        <f>IF(C61&lt;&gt;0,(B61-C61)/C61)*100</f>
        <v>5.8911161716892142</v>
      </c>
      <c r="H61" s="104">
        <f>D61-E61</f>
        <v>9934</v>
      </c>
      <c r="I61" s="105">
        <f>IF(E61&lt;&gt;0,(D61-E61)/E61)*100</f>
        <v>25.806619213383904</v>
      </c>
      <c r="L61" s="359"/>
    </row>
    <row r="62" spans="1:12" ht="12.5" x14ac:dyDescent="0.25">
      <c r="A62" s="94"/>
      <c r="B62" s="94"/>
      <c r="C62" s="94"/>
      <c r="D62" s="94"/>
      <c r="E62" s="94"/>
      <c r="F62" s="95"/>
      <c r="G62" s="95"/>
      <c r="H62" s="95"/>
      <c r="I62" s="95"/>
      <c r="L62" s="358"/>
    </row>
    <row r="63" spans="1:12" ht="12.5" x14ac:dyDescent="0.25">
      <c r="A63" s="126"/>
      <c r="B63" s="127"/>
      <c r="C63" s="126"/>
      <c r="D63" s="126"/>
      <c r="E63" s="126"/>
      <c r="F63" s="538"/>
      <c r="G63" s="538"/>
      <c r="H63" s="538"/>
      <c r="I63" s="538"/>
      <c r="L63" s="358"/>
    </row>
    <row r="64" spans="1:12" ht="16.5" customHeight="1" thickBot="1" x14ac:dyDescent="0.3">
      <c r="A64" s="404" t="s">
        <v>142</v>
      </c>
      <c r="B64" s="813"/>
      <c r="C64" s="813"/>
      <c r="D64" s="129"/>
      <c r="E64" s="129"/>
      <c r="F64" s="538"/>
      <c r="G64" s="538"/>
      <c r="H64" s="538"/>
      <c r="I64" s="538"/>
      <c r="L64" s="358"/>
    </row>
    <row r="65" spans="1:12" ht="24" customHeight="1" thickBot="1" x14ac:dyDescent="0.3">
      <c r="A65" s="824" t="s">
        <v>134</v>
      </c>
      <c r="B65" s="820" t="s">
        <v>105</v>
      </c>
      <c r="C65" s="821"/>
      <c r="D65" s="820" t="s">
        <v>106</v>
      </c>
      <c r="E65" s="821"/>
      <c r="F65" s="804" t="s">
        <v>107</v>
      </c>
      <c r="G65" s="805"/>
      <c r="H65" s="805"/>
      <c r="I65" s="806"/>
      <c r="L65" s="358"/>
    </row>
    <row r="66" spans="1:12" ht="16.5" customHeight="1" thickBot="1" x14ac:dyDescent="0.3">
      <c r="A66" s="825"/>
      <c r="B66" s="324" t="s">
        <v>147</v>
      </c>
      <c r="C66" s="324" t="s">
        <v>148</v>
      </c>
      <c r="D66" s="324" t="s">
        <v>147</v>
      </c>
      <c r="E66" s="324" t="s">
        <v>148</v>
      </c>
      <c r="F66" s="804" t="s">
        <v>105</v>
      </c>
      <c r="G66" s="806"/>
      <c r="H66" s="804" t="s">
        <v>106</v>
      </c>
      <c r="I66" s="806"/>
      <c r="L66" s="358"/>
    </row>
    <row r="67" spans="1:12" ht="12.5" x14ac:dyDescent="0.25">
      <c r="A67" s="130"/>
      <c r="B67" s="807"/>
      <c r="C67" s="808"/>
      <c r="D67" s="808"/>
      <c r="E67" s="809"/>
      <c r="F67" s="814" t="s">
        <v>110</v>
      </c>
      <c r="G67" s="816" t="s">
        <v>111</v>
      </c>
      <c r="H67" s="816" t="s">
        <v>112</v>
      </c>
      <c r="I67" s="816" t="s">
        <v>111</v>
      </c>
      <c r="L67" s="358"/>
    </row>
    <row r="68" spans="1:12" ht="16.5" customHeight="1" thickBot="1" x14ac:dyDescent="0.3">
      <c r="A68" s="131" t="s">
        <v>113</v>
      </c>
      <c r="B68" s="810"/>
      <c r="C68" s="811"/>
      <c r="D68" s="811"/>
      <c r="E68" s="812"/>
      <c r="F68" s="815"/>
      <c r="G68" s="817"/>
      <c r="H68" s="817"/>
      <c r="I68" s="817"/>
      <c r="L68" s="358"/>
    </row>
    <row r="69" spans="1:12" ht="16.5" customHeight="1" thickBot="1" x14ac:dyDescent="0.3">
      <c r="A69" s="540" t="s">
        <v>135</v>
      </c>
      <c r="B69" s="133">
        <f>B70+B71+B72</f>
        <v>1760541.8289999999</v>
      </c>
      <c r="C69" s="91">
        <f>C70+C71+C72</f>
        <v>1638511.6510000001</v>
      </c>
      <c r="D69" s="91">
        <f>D70+D71+D72</f>
        <v>10834</v>
      </c>
      <c r="E69" s="91">
        <f>E70+E71+E72</f>
        <v>9924</v>
      </c>
      <c r="F69" s="91">
        <f t="shared" ref="F69:F75" si="13">B69-C69</f>
        <v>122030.17799999984</v>
      </c>
      <c r="G69" s="92">
        <f t="shared" ref="G69:G75" si="14">IF(C69&lt;&gt;0,(B69-C69)/C69)*100</f>
        <v>7.4476234529991654</v>
      </c>
      <c r="H69" s="91">
        <f t="shared" ref="H69:H75" si="15">D69-E69</f>
        <v>910</v>
      </c>
      <c r="I69" s="92">
        <f t="shared" ref="I69:I75" si="16">IF(E69&lt;&gt;0,(D69-E69)/E69)*100</f>
        <v>9.1696896412736795</v>
      </c>
    </row>
    <row r="70" spans="1:12" ht="12.5" x14ac:dyDescent="0.25">
      <c r="A70" s="540" t="s">
        <v>136</v>
      </c>
      <c r="B70" s="542">
        <f t="shared" ref="B70:E71" si="17">B42+B98</f>
        <v>422824.3</v>
      </c>
      <c r="C70" s="542">
        <f t="shared" si="17"/>
        <v>429321.64199999999</v>
      </c>
      <c r="D70" s="542">
        <f t="shared" si="17"/>
        <v>5737</v>
      </c>
      <c r="E70" s="542">
        <f t="shared" si="17"/>
        <v>4344</v>
      </c>
      <c r="F70" s="680">
        <f t="shared" si="13"/>
        <v>-6497.3420000000042</v>
      </c>
      <c r="G70" s="681">
        <f t="shared" si="14"/>
        <v>-1.51339726777622</v>
      </c>
      <c r="H70" s="680">
        <f t="shared" si="15"/>
        <v>1393</v>
      </c>
      <c r="I70" s="681">
        <f t="shared" si="16"/>
        <v>32.067219152854513</v>
      </c>
    </row>
    <row r="71" spans="1:12" ht="12.5" x14ac:dyDescent="0.25">
      <c r="A71" s="540" t="s">
        <v>116</v>
      </c>
      <c r="B71" s="542">
        <f t="shared" si="17"/>
        <v>1337715.5079999999</v>
      </c>
      <c r="C71" s="542">
        <f t="shared" si="17"/>
        <v>1209187.987</v>
      </c>
      <c r="D71" s="542">
        <f t="shared" si="17"/>
        <v>5096</v>
      </c>
      <c r="E71" s="542">
        <f t="shared" si="17"/>
        <v>5579</v>
      </c>
      <c r="F71" s="680">
        <f t="shared" si="13"/>
        <v>128527.52099999995</v>
      </c>
      <c r="G71" s="681">
        <f t="shared" si="14"/>
        <v>10.629242299940245</v>
      </c>
      <c r="H71" s="680">
        <f t="shared" si="15"/>
        <v>-483</v>
      </c>
      <c r="I71" s="681">
        <f t="shared" si="16"/>
        <v>-8.6574654956085322</v>
      </c>
    </row>
    <row r="72" spans="1:12" ht="12.5" x14ac:dyDescent="0.25">
      <c r="A72" s="540" t="s">
        <v>143</v>
      </c>
      <c r="B72" s="542">
        <f>B45+B100</f>
        <v>2.0210000000000719</v>
      </c>
      <c r="C72" s="542">
        <f t="shared" ref="C72:E74" si="18">C45+C100</f>
        <v>2.0219999999999345</v>
      </c>
      <c r="D72" s="542">
        <f t="shared" si="18"/>
        <v>1</v>
      </c>
      <c r="E72" s="542">
        <f t="shared" si="18"/>
        <v>1</v>
      </c>
      <c r="F72" s="680">
        <f t="shared" si="13"/>
        <v>-9.999999998626663E-4</v>
      </c>
      <c r="G72" s="681">
        <f t="shared" si="14"/>
        <v>-4.9455984167294693E-2</v>
      </c>
      <c r="H72" s="680">
        <f t="shared" si="15"/>
        <v>0</v>
      </c>
      <c r="I72" s="681">
        <f t="shared" si="16"/>
        <v>0</v>
      </c>
    </row>
    <row r="73" spans="1:12" ht="12.5" x14ac:dyDescent="0.25">
      <c r="A73" s="540" t="s">
        <v>139</v>
      </c>
      <c r="B73" s="542">
        <f>B46+B101</f>
        <v>0</v>
      </c>
      <c r="C73" s="542">
        <f t="shared" si="18"/>
        <v>0</v>
      </c>
      <c r="D73" s="542">
        <f t="shared" si="18"/>
        <v>0</v>
      </c>
      <c r="E73" s="542">
        <f t="shared" si="18"/>
        <v>0</v>
      </c>
      <c r="F73" s="680">
        <f t="shared" si="13"/>
        <v>0</v>
      </c>
      <c r="G73" s="681">
        <f t="shared" si="14"/>
        <v>0</v>
      </c>
      <c r="H73" s="680">
        <f t="shared" si="15"/>
        <v>0</v>
      </c>
      <c r="I73" s="681">
        <f t="shared" si="16"/>
        <v>0</v>
      </c>
    </row>
    <row r="74" spans="1:12" ht="16.5" customHeight="1" thickBot="1" x14ac:dyDescent="0.3">
      <c r="A74" s="540" t="s">
        <v>140</v>
      </c>
      <c r="B74" s="542">
        <f>B47+B102</f>
        <v>0</v>
      </c>
      <c r="C74" s="542">
        <f t="shared" si="18"/>
        <v>0</v>
      </c>
      <c r="D74" s="542">
        <f t="shared" si="18"/>
        <v>0</v>
      </c>
      <c r="E74" s="542">
        <f t="shared" si="18"/>
        <v>0</v>
      </c>
      <c r="F74" s="680">
        <f t="shared" si="13"/>
        <v>0</v>
      </c>
      <c r="G74" s="681">
        <f t="shared" si="14"/>
        <v>0</v>
      </c>
      <c r="H74" s="680">
        <f t="shared" si="15"/>
        <v>0</v>
      </c>
      <c r="I74" s="681">
        <f t="shared" si="16"/>
        <v>0</v>
      </c>
    </row>
    <row r="75" spans="1:12" ht="16.5" customHeight="1" thickBot="1" x14ac:dyDescent="0.3">
      <c r="A75" s="134" t="s">
        <v>123</v>
      </c>
      <c r="B75" s="135">
        <f>B69+B73+B74</f>
        <v>1760541.8289999999</v>
      </c>
      <c r="C75" s="90">
        <f>C69+C73+C74</f>
        <v>1638511.6510000001</v>
      </c>
      <c r="D75" s="90">
        <f>D69+D73+D74</f>
        <v>10834</v>
      </c>
      <c r="E75" s="91">
        <f>E69+E73+E74</f>
        <v>9924</v>
      </c>
      <c r="F75" s="82">
        <f t="shared" si="13"/>
        <v>122030.17799999984</v>
      </c>
      <c r="G75" s="83">
        <f t="shared" si="14"/>
        <v>7.4476234529991654</v>
      </c>
      <c r="H75" s="82">
        <f t="shared" si="15"/>
        <v>910</v>
      </c>
      <c r="I75" s="83">
        <f t="shared" si="16"/>
        <v>9.1696896412736795</v>
      </c>
    </row>
    <row r="76" spans="1:12" ht="16.5" customHeight="1" x14ac:dyDescent="0.25">
      <c r="A76" s="136"/>
      <c r="B76" s="107"/>
      <c r="C76" s="108"/>
      <c r="D76" s="108"/>
      <c r="E76" s="108"/>
      <c r="F76" s="110"/>
      <c r="G76" s="110"/>
      <c r="H76" s="110"/>
      <c r="I76" s="137"/>
    </row>
    <row r="77" spans="1:12" ht="16.5" customHeight="1" thickBot="1" x14ac:dyDescent="0.3">
      <c r="A77" s="131" t="s">
        <v>124</v>
      </c>
      <c r="B77" s="114"/>
      <c r="C77" s="115"/>
      <c r="D77" s="115"/>
      <c r="E77" s="115"/>
      <c r="F77" s="116"/>
      <c r="G77" s="116"/>
      <c r="H77" s="116"/>
      <c r="I77" s="138"/>
    </row>
    <row r="78" spans="1:12" ht="16.5" customHeight="1" thickBot="1" x14ac:dyDescent="0.3">
      <c r="A78" s="540" t="s">
        <v>125</v>
      </c>
      <c r="B78" s="133">
        <f>SUM(B79:B82)</f>
        <v>1509366.341</v>
      </c>
      <c r="C78" s="91">
        <f>SUM(C79:C82)</f>
        <v>1612095.8689999999</v>
      </c>
      <c r="D78" s="91">
        <f>SUM(D79:D82)</f>
        <v>51738</v>
      </c>
      <c r="E78" s="91">
        <f>SUM(E79:E82)</f>
        <v>46904</v>
      </c>
      <c r="F78" s="91">
        <f t="shared" ref="F78:F83" si="19">B78-C78</f>
        <v>-102729.52799999993</v>
      </c>
      <c r="G78" s="92">
        <f t="shared" ref="G78:G83" si="20">IF(C78&lt;&gt;0,(B78-C78)/C78)*100</f>
        <v>-6.3724205225911383</v>
      </c>
      <c r="H78" s="91">
        <f t="shared" ref="H78:H83" si="21">D78-E78</f>
        <v>4834</v>
      </c>
      <c r="I78" s="92">
        <f t="shared" ref="I78:I83" si="22">IF(E78&lt;&gt;0,(D78-E78)/E78)*100</f>
        <v>10.306157257376769</v>
      </c>
    </row>
    <row r="79" spans="1:12" ht="12.5" x14ac:dyDescent="0.25">
      <c r="A79" s="119" t="s">
        <v>126</v>
      </c>
      <c r="B79" s="542">
        <f t="shared" ref="B79:E83" si="23">B51+B107</f>
        <v>441069.23</v>
      </c>
      <c r="C79" s="542">
        <f t="shared" si="23"/>
        <v>503415.96399999998</v>
      </c>
      <c r="D79" s="542">
        <f t="shared" si="23"/>
        <v>12874</v>
      </c>
      <c r="E79" s="542">
        <f t="shared" si="23"/>
        <v>11274</v>
      </c>
      <c r="F79" s="680">
        <f t="shared" si="19"/>
        <v>-62346.733999999997</v>
      </c>
      <c r="G79" s="681">
        <f t="shared" si="20"/>
        <v>-12.384735180944718</v>
      </c>
      <c r="H79" s="680">
        <f t="shared" si="21"/>
        <v>1600</v>
      </c>
      <c r="I79" s="681">
        <f t="shared" si="22"/>
        <v>14.191946070604933</v>
      </c>
    </row>
    <row r="80" spans="1:12" ht="12.5" x14ac:dyDescent="0.25">
      <c r="A80" s="119" t="s">
        <v>144</v>
      </c>
      <c r="B80" s="684">
        <f t="shared" si="23"/>
        <v>198272.16400000002</v>
      </c>
      <c r="C80" s="684">
        <f t="shared" si="23"/>
        <v>221957.21</v>
      </c>
      <c r="D80" s="684">
        <f t="shared" si="23"/>
        <v>15656</v>
      </c>
      <c r="E80" s="684">
        <f t="shared" si="23"/>
        <v>12994</v>
      </c>
      <c r="F80" s="680">
        <f t="shared" si="19"/>
        <v>-23685.045999999973</v>
      </c>
      <c r="G80" s="681">
        <f t="shared" si="20"/>
        <v>-10.670996450171623</v>
      </c>
      <c r="H80" s="680">
        <f t="shared" si="21"/>
        <v>2662</v>
      </c>
      <c r="I80" s="681">
        <f t="shared" si="22"/>
        <v>20.486378328459288</v>
      </c>
    </row>
    <row r="81" spans="1:9" ht="12.5" x14ac:dyDescent="0.25">
      <c r="A81" s="120" t="s">
        <v>141</v>
      </c>
      <c r="B81" s="542">
        <f t="shared" si="23"/>
        <v>21767.944</v>
      </c>
      <c r="C81" s="542">
        <f t="shared" si="23"/>
        <v>27673.235999999997</v>
      </c>
      <c r="D81" s="542">
        <f t="shared" si="23"/>
        <v>3756</v>
      </c>
      <c r="E81" s="542">
        <f t="shared" si="23"/>
        <v>2151</v>
      </c>
      <c r="F81" s="680">
        <f t="shared" si="19"/>
        <v>-5905.2919999999976</v>
      </c>
      <c r="G81" s="681">
        <f t="shared" si="20"/>
        <v>-21.339361974147145</v>
      </c>
      <c r="H81" s="680">
        <f t="shared" si="21"/>
        <v>1605</v>
      </c>
      <c r="I81" s="681">
        <f t="shared" si="22"/>
        <v>74.616457461645751</v>
      </c>
    </row>
    <row r="82" spans="1:9" ht="12.5" x14ac:dyDescent="0.25">
      <c r="A82" s="119" t="s">
        <v>129</v>
      </c>
      <c r="B82" s="542">
        <f t="shared" si="23"/>
        <v>848257.00300000003</v>
      </c>
      <c r="C82" s="542">
        <f t="shared" si="23"/>
        <v>859049.45900000003</v>
      </c>
      <c r="D82" s="542">
        <f t="shared" si="23"/>
        <v>19452</v>
      </c>
      <c r="E82" s="542">
        <f t="shared" si="23"/>
        <v>20485</v>
      </c>
      <c r="F82" s="680">
        <f t="shared" si="19"/>
        <v>-10792.456000000006</v>
      </c>
      <c r="G82" s="681">
        <f t="shared" si="20"/>
        <v>-1.2563253357453084</v>
      </c>
      <c r="H82" s="680">
        <f t="shared" si="21"/>
        <v>-1033</v>
      </c>
      <c r="I82" s="681">
        <f t="shared" si="22"/>
        <v>-5.0427141811081277</v>
      </c>
    </row>
    <row r="83" spans="1:9" ht="12.5" x14ac:dyDescent="0.25">
      <c r="A83" s="540" t="s">
        <v>130</v>
      </c>
      <c r="B83" s="542">
        <f t="shared" si="23"/>
        <v>196073.63500000001</v>
      </c>
      <c r="C83" s="542">
        <f t="shared" si="23"/>
        <v>179973.13399999999</v>
      </c>
      <c r="D83" s="542">
        <f t="shared" si="23"/>
        <v>4268</v>
      </c>
      <c r="E83" s="542">
        <f t="shared" si="23"/>
        <v>4312</v>
      </c>
      <c r="F83" s="680">
        <f t="shared" si="19"/>
        <v>16100.501000000018</v>
      </c>
      <c r="G83" s="681">
        <f t="shared" si="20"/>
        <v>8.9460580266385872</v>
      </c>
      <c r="H83" s="680">
        <f t="shared" si="21"/>
        <v>-44</v>
      </c>
      <c r="I83" s="681">
        <f t="shared" si="22"/>
        <v>-1.0204081632653061</v>
      </c>
    </row>
    <row r="84" spans="1:9" ht="12.5" x14ac:dyDescent="0.25">
      <c r="A84" s="540"/>
      <c r="B84" s="542"/>
      <c r="C84" s="542"/>
      <c r="D84" s="542"/>
      <c r="E84" s="542"/>
      <c r="F84" s="544"/>
      <c r="G84" s="545"/>
      <c r="H84" s="544"/>
      <c r="I84" s="545"/>
    </row>
    <row r="85" spans="1:9" ht="12.5" x14ac:dyDescent="0.25">
      <c r="A85" s="540"/>
      <c r="B85" s="542"/>
      <c r="C85" s="542"/>
      <c r="D85" s="542"/>
      <c r="E85" s="542"/>
      <c r="F85" s="544"/>
      <c r="G85" s="545"/>
      <c r="H85" s="544"/>
      <c r="I85" s="545"/>
    </row>
    <row r="86" spans="1:9" ht="16.5" customHeight="1" thickBot="1" x14ac:dyDescent="0.3">
      <c r="A86" s="540"/>
      <c r="B86" s="642"/>
      <c r="C86" s="636"/>
      <c r="D86" s="637"/>
      <c r="E86" s="637"/>
      <c r="F86" s="638"/>
      <c r="G86" s="639"/>
      <c r="H86" s="640"/>
      <c r="I86" s="641"/>
    </row>
    <row r="87" spans="1:9" ht="16.5" customHeight="1" thickBot="1" x14ac:dyDescent="0.3">
      <c r="A87" s="134" t="s">
        <v>131</v>
      </c>
      <c r="B87" s="103">
        <f>B78+B83</f>
        <v>1705439.976</v>
      </c>
      <c r="C87" s="104">
        <f>C78+C83</f>
        <v>1792069.003</v>
      </c>
      <c r="D87" s="104">
        <f>D78+D83</f>
        <v>56006</v>
      </c>
      <c r="E87" s="104">
        <f>E78+E83</f>
        <v>51216</v>
      </c>
      <c r="F87" s="657">
        <f>B87-C87</f>
        <v>-86629.027000000002</v>
      </c>
      <c r="G87" s="625">
        <f>IF(C87&lt;&gt;0,(B87-C87)/C87)*100</f>
        <v>-4.8340229564251889</v>
      </c>
      <c r="H87" s="657">
        <f>D87-E87</f>
        <v>4790</v>
      </c>
      <c r="I87" s="625">
        <f>IF(E87&lt;&gt;0,(D87-E87)/E87)*100</f>
        <v>9.3525460793502031</v>
      </c>
    </row>
    <row r="88" spans="1:9" ht="16.5" customHeight="1" thickBot="1" x14ac:dyDescent="0.3">
      <c r="A88" s="540"/>
      <c r="B88" s="121"/>
      <c r="C88" s="122"/>
      <c r="D88" s="122"/>
      <c r="E88" s="122"/>
      <c r="F88" s="123"/>
      <c r="G88" s="124"/>
      <c r="H88" s="123"/>
      <c r="I88" s="125"/>
    </row>
    <row r="89" spans="1:9" ht="16.5" customHeight="1" thickBot="1" x14ac:dyDescent="0.3">
      <c r="A89" s="134" t="s">
        <v>132</v>
      </c>
      <c r="B89" s="139">
        <f>B75+B87</f>
        <v>3465981.8049999997</v>
      </c>
      <c r="C89" s="140">
        <f>C75+C87</f>
        <v>3430580.6540000001</v>
      </c>
      <c r="D89" s="140">
        <f>D75+D87</f>
        <v>66840</v>
      </c>
      <c r="E89" s="140">
        <f>E75+E87</f>
        <v>61140</v>
      </c>
      <c r="F89" s="104">
        <f>B89-C89</f>
        <v>35401.150999999605</v>
      </c>
      <c r="G89" s="105">
        <f>IF(C89&lt;&gt;0,(B89-C89)/C89)*100</f>
        <v>1.0319288356833252</v>
      </c>
      <c r="H89" s="104">
        <f>D89-E89</f>
        <v>5700</v>
      </c>
      <c r="I89" s="105">
        <f>IF(E89&lt;&gt;0,(D89-E89)/E89)*100</f>
        <v>9.322865554465162</v>
      </c>
    </row>
    <row r="90" spans="1:9" x14ac:dyDescent="0.3">
      <c r="A90" s="94"/>
      <c r="B90" s="94"/>
      <c r="C90" s="94"/>
      <c r="D90" s="94"/>
      <c r="E90" s="94"/>
      <c r="F90" s="541"/>
      <c r="G90" s="541"/>
      <c r="H90" s="541"/>
      <c r="I90" s="541"/>
    </row>
    <row r="91" spans="1:9" x14ac:dyDescent="0.3">
      <c r="A91" s="126"/>
      <c r="B91" s="97"/>
      <c r="C91" s="97"/>
      <c r="D91" s="97"/>
      <c r="E91" s="97"/>
      <c r="F91" s="541"/>
      <c r="G91" s="541"/>
      <c r="H91" s="541"/>
      <c r="I91" s="541"/>
    </row>
    <row r="92" spans="1:9" ht="16.5" customHeight="1" thickBot="1" x14ac:dyDescent="0.35">
      <c r="A92" s="404" t="s">
        <v>145</v>
      </c>
      <c r="B92" s="813"/>
      <c r="C92" s="813"/>
      <c r="D92" s="129"/>
      <c r="E92" s="129"/>
      <c r="F92" s="541"/>
      <c r="G92" s="541"/>
      <c r="H92" s="541"/>
      <c r="I92" s="541"/>
    </row>
    <row r="93" spans="1:9" ht="24" customHeight="1" thickBot="1" x14ac:dyDescent="0.3">
      <c r="A93" s="824" t="s">
        <v>134</v>
      </c>
      <c r="B93" s="820" t="s">
        <v>105</v>
      </c>
      <c r="C93" s="835"/>
      <c r="D93" s="820" t="s">
        <v>106</v>
      </c>
      <c r="E93" s="821"/>
      <c r="F93" s="804" t="s">
        <v>107</v>
      </c>
      <c r="G93" s="805"/>
      <c r="H93" s="805"/>
      <c r="I93" s="806"/>
    </row>
    <row r="94" spans="1:9" ht="16.5" customHeight="1" thickBot="1" x14ac:dyDescent="0.3">
      <c r="A94" s="825"/>
      <c r="B94" s="324" t="s">
        <v>147</v>
      </c>
      <c r="C94" s="324" t="s">
        <v>148</v>
      </c>
      <c r="D94" s="324" t="s">
        <v>147</v>
      </c>
      <c r="E94" s="324" t="s">
        <v>148</v>
      </c>
      <c r="F94" s="804" t="s">
        <v>105</v>
      </c>
      <c r="G94" s="806"/>
      <c r="H94" s="804" t="s">
        <v>106</v>
      </c>
      <c r="I94" s="806"/>
    </row>
    <row r="95" spans="1:9" ht="16.5" customHeight="1" x14ac:dyDescent="0.25">
      <c r="A95" s="130"/>
      <c r="B95" s="807"/>
      <c r="C95" s="808"/>
      <c r="D95" s="808"/>
      <c r="E95" s="809"/>
      <c r="F95" s="814" t="s">
        <v>110</v>
      </c>
      <c r="G95" s="816" t="s">
        <v>111</v>
      </c>
      <c r="H95" s="816" t="s">
        <v>112</v>
      </c>
      <c r="I95" s="816" t="s">
        <v>111</v>
      </c>
    </row>
    <row r="96" spans="1:9" ht="16.5" customHeight="1" thickBot="1" x14ac:dyDescent="0.3">
      <c r="A96" s="131" t="s">
        <v>113</v>
      </c>
      <c r="B96" s="810"/>
      <c r="C96" s="811"/>
      <c r="D96" s="811"/>
      <c r="E96" s="812"/>
      <c r="F96" s="815"/>
      <c r="G96" s="817"/>
      <c r="H96" s="817"/>
      <c r="I96" s="817"/>
    </row>
    <row r="97" spans="1:12" ht="16.5" customHeight="1" thickBot="1" x14ac:dyDescent="0.3">
      <c r="A97" s="540" t="s">
        <v>135</v>
      </c>
      <c r="B97" s="91">
        <f>B98+B99+B100</f>
        <v>365618.13400000002</v>
      </c>
      <c r="C97" s="91">
        <f>C98+C99+C100</f>
        <v>405665.68200000003</v>
      </c>
      <c r="D97" s="91">
        <f>D98+D99+D100</f>
        <v>4743</v>
      </c>
      <c r="E97" s="91">
        <f>E98+E99+E100</f>
        <v>5413</v>
      </c>
      <c r="F97" s="91">
        <f t="shared" ref="F97:F103" si="24">B97-C97</f>
        <v>-40047.54800000001</v>
      </c>
      <c r="G97" s="92">
        <f t="shared" ref="G97:G103" si="25">IF(C97&lt;&gt;0,(B97-C97)/C97)*100</f>
        <v>-9.8720571586333996</v>
      </c>
      <c r="H97" s="91">
        <f t="shared" ref="H97:H103" si="26">D97-E97</f>
        <v>-670</v>
      </c>
      <c r="I97" s="92">
        <f t="shared" ref="I97:I103" si="27">IF(E97&lt;&gt;0,(D97-E97)/E97)*100</f>
        <v>-12.377609458710511</v>
      </c>
    </row>
    <row r="98" spans="1:12" ht="12.5" x14ac:dyDescent="0.25">
      <c r="A98" s="540" t="s">
        <v>136</v>
      </c>
      <c r="B98" s="543">
        <f>193257223/1000</f>
        <v>193257.223</v>
      </c>
      <c r="C98" s="543">
        <f>200440530/1000</f>
        <v>200440.53</v>
      </c>
      <c r="D98" s="543">
        <v>1477</v>
      </c>
      <c r="E98" s="543">
        <v>1861</v>
      </c>
      <c r="F98" s="680">
        <f t="shared" si="24"/>
        <v>-7183.3070000000007</v>
      </c>
      <c r="G98" s="681">
        <f t="shared" si="25"/>
        <v>-3.5837597316271319</v>
      </c>
      <c r="H98" s="680">
        <f t="shared" si="26"/>
        <v>-384</v>
      </c>
      <c r="I98" s="681">
        <f t="shared" si="27"/>
        <v>-20.634067705534658</v>
      </c>
    </row>
    <row r="99" spans="1:12" ht="12.5" x14ac:dyDescent="0.25">
      <c r="A99" s="540" t="s">
        <v>116</v>
      </c>
      <c r="B99" s="543">
        <f>171518503/1000</f>
        <v>171518.503</v>
      </c>
      <c r="C99" s="543">
        <f>203581719/1000</f>
        <v>203581.71900000001</v>
      </c>
      <c r="D99" s="543">
        <v>3218</v>
      </c>
      <c r="E99" s="543">
        <v>3551</v>
      </c>
      <c r="F99" s="680">
        <f t="shared" si="24"/>
        <v>-32063.216000000015</v>
      </c>
      <c r="G99" s="681">
        <f t="shared" si="25"/>
        <v>-15.749555587552541</v>
      </c>
      <c r="H99" s="680">
        <f t="shared" si="26"/>
        <v>-333</v>
      </c>
      <c r="I99" s="681">
        <f t="shared" si="27"/>
        <v>-9.3776401013798925</v>
      </c>
    </row>
    <row r="100" spans="1:12" ht="12.5" x14ac:dyDescent="0.25">
      <c r="A100" s="540" t="s">
        <v>143</v>
      </c>
      <c r="B100" s="543">
        <f>842408/1000</f>
        <v>842.40800000000002</v>
      </c>
      <c r="C100" s="543">
        <f>1643433/1000</f>
        <v>1643.433</v>
      </c>
      <c r="D100" s="543">
        <v>48</v>
      </c>
      <c r="E100" s="543">
        <v>1</v>
      </c>
      <c r="F100" s="680">
        <f t="shared" si="24"/>
        <v>-801.02499999999998</v>
      </c>
      <c r="G100" s="681">
        <f t="shared" si="25"/>
        <v>-48.740958712646027</v>
      </c>
      <c r="H100" s="680">
        <f t="shared" si="26"/>
        <v>47</v>
      </c>
      <c r="I100" s="681">
        <f t="shared" si="27"/>
        <v>4700</v>
      </c>
    </row>
    <row r="101" spans="1:12" ht="12.5" x14ac:dyDescent="0.25">
      <c r="A101" s="540" t="s">
        <v>139</v>
      </c>
      <c r="B101" s="543">
        <v>0</v>
      </c>
      <c r="C101" s="543">
        <v>0</v>
      </c>
      <c r="D101" s="543">
        <v>0</v>
      </c>
      <c r="E101" s="543">
        <v>0</v>
      </c>
      <c r="F101" s="680">
        <f t="shared" si="24"/>
        <v>0</v>
      </c>
      <c r="G101" s="681">
        <f t="shared" si="25"/>
        <v>0</v>
      </c>
      <c r="H101" s="680">
        <f t="shared" si="26"/>
        <v>0</v>
      </c>
      <c r="I101" s="681">
        <f t="shared" si="27"/>
        <v>0</v>
      </c>
    </row>
    <row r="102" spans="1:12" ht="16.5" customHeight="1" thickBot="1" x14ac:dyDescent="0.3">
      <c r="A102" s="540" t="s">
        <v>140</v>
      </c>
      <c r="B102" s="543">
        <v>0</v>
      </c>
      <c r="C102" s="543">
        <v>0</v>
      </c>
      <c r="D102" s="543">
        <v>0</v>
      </c>
      <c r="E102" s="543">
        <v>0</v>
      </c>
      <c r="F102" s="680">
        <f t="shared" si="24"/>
        <v>0</v>
      </c>
      <c r="G102" s="681">
        <f t="shared" si="25"/>
        <v>0</v>
      </c>
      <c r="H102" s="680">
        <f t="shared" si="26"/>
        <v>0</v>
      </c>
      <c r="I102" s="681">
        <f t="shared" si="27"/>
        <v>0</v>
      </c>
    </row>
    <row r="103" spans="1:12" ht="16.5" customHeight="1" thickBot="1" x14ac:dyDescent="0.3">
      <c r="A103" s="134" t="s">
        <v>123</v>
      </c>
      <c r="B103" s="81">
        <f>B97+B101+B102</f>
        <v>365618.13400000002</v>
      </c>
      <c r="C103" s="81">
        <f>C97+C101+C102</f>
        <v>405665.68200000003</v>
      </c>
      <c r="D103" s="81">
        <f>D97+D101+D102</f>
        <v>4743</v>
      </c>
      <c r="E103" s="82">
        <f>E97+E101+E102</f>
        <v>5413</v>
      </c>
      <c r="F103" s="91">
        <f t="shared" si="24"/>
        <v>-40047.54800000001</v>
      </c>
      <c r="G103" s="92">
        <f t="shared" si="25"/>
        <v>-9.8720571586333996</v>
      </c>
      <c r="H103" s="91">
        <f t="shared" si="26"/>
        <v>-670</v>
      </c>
      <c r="I103" s="92">
        <f t="shared" si="27"/>
        <v>-12.377609458710511</v>
      </c>
      <c r="L103" s="401"/>
    </row>
    <row r="104" spans="1:12" ht="16.5" customHeight="1" x14ac:dyDescent="0.25">
      <c r="A104" s="142"/>
      <c r="B104" s="107"/>
      <c r="C104" s="108"/>
      <c r="D104" s="109"/>
      <c r="E104" s="108"/>
      <c r="F104" s="110"/>
      <c r="G104" s="111"/>
      <c r="H104" s="112"/>
      <c r="I104" s="113"/>
    </row>
    <row r="105" spans="1:12" ht="16.5" customHeight="1" thickBot="1" x14ac:dyDescent="0.3">
      <c r="A105" s="143" t="s">
        <v>124</v>
      </c>
      <c r="B105" s="114"/>
      <c r="C105" s="115"/>
      <c r="D105" s="115"/>
      <c r="E105" s="115"/>
      <c r="F105" s="116"/>
      <c r="G105" s="117"/>
      <c r="H105" s="116"/>
      <c r="I105" s="118"/>
    </row>
    <row r="106" spans="1:12" ht="16.5" customHeight="1" thickBot="1" x14ac:dyDescent="0.3">
      <c r="A106" s="540" t="s">
        <v>125</v>
      </c>
      <c r="B106" s="104">
        <f>SUM(B107:B110)</f>
        <v>550058.27799999993</v>
      </c>
      <c r="C106" s="104">
        <f>SUM(C107:C110)</f>
        <v>651276.82499999995</v>
      </c>
      <c r="D106" s="104">
        <f>SUM(D107:D110)</f>
        <v>13223</v>
      </c>
      <c r="E106" s="104">
        <f>SUM(E107:E110)</f>
        <v>16818</v>
      </c>
      <c r="F106" s="91">
        <f t="shared" ref="F106:F111" si="28">B106-C106</f>
        <v>-101218.54700000002</v>
      </c>
      <c r="G106" s="92">
        <f t="shared" ref="G106:G111" si="29">IF(C106&lt;&gt;0,(B106-C106)/C106)*100</f>
        <v>-15.541555159743329</v>
      </c>
      <c r="H106" s="91">
        <f t="shared" ref="H106:H111" si="30">D106-E106</f>
        <v>-3595</v>
      </c>
      <c r="I106" s="92">
        <f t="shared" ref="I106:I111" si="31">IF(E106&lt;&gt;0,(D106-E106)/E106)*100</f>
        <v>-21.375906766559638</v>
      </c>
    </row>
    <row r="107" spans="1:12" ht="12.5" x14ac:dyDescent="0.25">
      <c r="A107" s="119" t="s">
        <v>126</v>
      </c>
      <c r="B107" s="543">
        <f>103256822/1000</f>
        <v>103256.822</v>
      </c>
      <c r="C107" s="543">
        <f>106544420/1000</f>
        <v>106544.42</v>
      </c>
      <c r="D107" s="543">
        <v>2553</v>
      </c>
      <c r="E107" s="543">
        <v>2565</v>
      </c>
      <c r="F107" s="680">
        <f t="shared" si="28"/>
        <v>-3287.5979999999981</v>
      </c>
      <c r="G107" s="681">
        <f t="shared" si="29"/>
        <v>-3.0856594836219466</v>
      </c>
      <c r="H107" s="680">
        <f t="shared" si="30"/>
        <v>-12</v>
      </c>
      <c r="I107" s="681">
        <f t="shared" si="31"/>
        <v>-0.46783625730994155</v>
      </c>
    </row>
    <row r="108" spans="1:12" ht="12.5" x14ac:dyDescent="0.25">
      <c r="A108" s="119" t="s">
        <v>144</v>
      </c>
      <c r="B108" s="543">
        <f>35379146/1000</f>
        <v>35379.146000000001</v>
      </c>
      <c r="C108" s="543">
        <f>30576476/1000</f>
        <v>30576.475999999999</v>
      </c>
      <c r="D108" s="543">
        <v>719</v>
      </c>
      <c r="E108" s="543">
        <v>1811</v>
      </c>
      <c r="F108" s="680">
        <f t="shared" si="28"/>
        <v>4802.6700000000019</v>
      </c>
      <c r="G108" s="681">
        <f t="shared" si="29"/>
        <v>15.707074942187591</v>
      </c>
      <c r="H108" s="680">
        <f t="shared" si="30"/>
        <v>-1092</v>
      </c>
      <c r="I108" s="681">
        <f t="shared" si="31"/>
        <v>-60.298177802319167</v>
      </c>
    </row>
    <row r="109" spans="1:12" ht="12.5" x14ac:dyDescent="0.25">
      <c r="A109" s="120" t="s">
        <v>141</v>
      </c>
      <c r="B109" s="543">
        <f>14919178/1000</f>
        <v>14919.178</v>
      </c>
      <c r="C109" s="543">
        <f>7798351/1000</f>
        <v>7798.3509999999997</v>
      </c>
      <c r="D109" s="543">
        <v>1237</v>
      </c>
      <c r="E109" s="543">
        <v>1116</v>
      </c>
      <c r="F109" s="680">
        <f t="shared" si="28"/>
        <v>7120.8270000000002</v>
      </c>
      <c r="G109" s="681">
        <f t="shared" si="29"/>
        <v>91.311958130635574</v>
      </c>
      <c r="H109" s="680">
        <f t="shared" si="30"/>
        <v>121</v>
      </c>
      <c r="I109" s="681">
        <f t="shared" si="31"/>
        <v>10.842293906810035</v>
      </c>
    </row>
    <row r="110" spans="1:12" ht="12.5" x14ac:dyDescent="0.25">
      <c r="A110" s="119" t="s">
        <v>129</v>
      </c>
      <c r="B110" s="543">
        <f>396503132/1000</f>
        <v>396503.13199999998</v>
      </c>
      <c r="C110" s="543">
        <f>506357578/1000</f>
        <v>506357.57799999998</v>
      </c>
      <c r="D110" s="543">
        <v>8714</v>
      </c>
      <c r="E110" s="543">
        <v>11326</v>
      </c>
      <c r="F110" s="680">
        <f t="shared" si="28"/>
        <v>-109854.446</v>
      </c>
      <c r="G110" s="681">
        <f t="shared" si="29"/>
        <v>-21.695033465066459</v>
      </c>
      <c r="H110" s="680">
        <f t="shared" si="30"/>
        <v>-2612</v>
      </c>
      <c r="I110" s="681">
        <f t="shared" si="31"/>
        <v>-23.061981282006002</v>
      </c>
    </row>
    <row r="111" spans="1:12" ht="12.5" x14ac:dyDescent="0.25">
      <c r="A111" s="540" t="s">
        <v>130</v>
      </c>
      <c r="B111" s="543">
        <f>44341983/1000</f>
        <v>44341.983</v>
      </c>
      <c r="C111" s="543">
        <f>7090791/1000</f>
        <v>7090.7910000000002</v>
      </c>
      <c r="D111" s="543">
        <v>446</v>
      </c>
      <c r="E111" s="543">
        <v>415</v>
      </c>
      <c r="F111" s="680">
        <f t="shared" si="28"/>
        <v>37251.192000000003</v>
      </c>
      <c r="G111" s="681">
        <f t="shared" si="29"/>
        <v>525.34607210958552</v>
      </c>
      <c r="H111" s="680">
        <f t="shared" si="30"/>
        <v>31</v>
      </c>
      <c r="I111" s="681">
        <f t="shared" si="31"/>
        <v>7.4698795180722897</v>
      </c>
    </row>
    <row r="112" spans="1:12" ht="12.5" x14ac:dyDescent="0.25">
      <c r="A112" s="540"/>
      <c r="B112" s="684"/>
      <c r="C112" s="684"/>
      <c r="D112" s="684"/>
      <c r="E112" s="684"/>
      <c r="F112" s="544"/>
      <c r="G112" s="545"/>
      <c r="H112" s="544"/>
      <c r="I112" s="545"/>
    </row>
    <row r="113" spans="1:9" ht="12.5" x14ac:dyDescent="0.25">
      <c r="A113" s="540"/>
      <c r="B113" s="684"/>
      <c r="C113" s="684"/>
      <c r="D113" s="684"/>
      <c r="E113" s="684"/>
      <c r="F113" s="544"/>
      <c r="G113" s="545"/>
      <c r="H113" s="544"/>
      <c r="I113" s="545"/>
    </row>
    <row r="114" spans="1:9" ht="16.5" customHeight="1" thickBot="1" x14ac:dyDescent="0.3">
      <c r="A114" s="540"/>
      <c r="B114" s="636"/>
      <c r="C114" s="636"/>
      <c r="D114" s="637"/>
      <c r="E114" s="637"/>
      <c r="F114" s="638"/>
      <c r="G114" s="639"/>
      <c r="H114" s="640"/>
      <c r="I114" s="641"/>
    </row>
    <row r="115" spans="1:9" ht="16.5" customHeight="1" thickBot="1" x14ac:dyDescent="0.3">
      <c r="A115" s="134" t="s">
        <v>131</v>
      </c>
      <c r="B115" s="104">
        <f>B106+B111</f>
        <v>594400.26099999994</v>
      </c>
      <c r="C115" s="104">
        <f>C106+C111</f>
        <v>658367.61599999992</v>
      </c>
      <c r="D115" s="104">
        <f>D106+D111</f>
        <v>13669</v>
      </c>
      <c r="E115" s="104">
        <f>E106+E111</f>
        <v>17233</v>
      </c>
      <c r="F115" s="657">
        <f>B115-C115</f>
        <v>-63967.354999999981</v>
      </c>
      <c r="G115" s="625">
        <f>IF(C115&lt;&gt;0,(B115-C115)/C115)*100</f>
        <v>-9.7160542902523304</v>
      </c>
      <c r="H115" s="657">
        <f>D115-E115</f>
        <v>-3564</v>
      </c>
      <c r="I115" s="625">
        <f>IF(E115&lt;&gt;0,(D115-E115)/E115)*100</f>
        <v>-20.68125108802878</v>
      </c>
    </row>
    <row r="116" spans="1:9" ht="16.5" customHeight="1" thickBot="1" x14ac:dyDescent="0.3">
      <c r="A116" s="540"/>
      <c r="B116" s="121"/>
      <c r="C116" s="122"/>
      <c r="D116" s="122"/>
      <c r="E116" s="122"/>
      <c r="F116" s="123"/>
      <c r="G116" s="124"/>
      <c r="H116" s="123"/>
      <c r="I116" s="125"/>
    </row>
    <row r="117" spans="1:9" ht="16.5" customHeight="1" thickBot="1" x14ac:dyDescent="0.3">
      <c r="A117" s="134" t="s">
        <v>132</v>
      </c>
      <c r="B117" s="104">
        <f>B103+B115</f>
        <v>960018.39500000002</v>
      </c>
      <c r="C117" s="104">
        <f>C103+C115</f>
        <v>1064033.298</v>
      </c>
      <c r="D117" s="104">
        <f>D103+D115</f>
        <v>18412</v>
      </c>
      <c r="E117" s="104">
        <f>E103+E115</f>
        <v>22646</v>
      </c>
      <c r="F117" s="104">
        <f>B117-C117</f>
        <v>-104014.90299999993</v>
      </c>
      <c r="G117" s="105">
        <f>IF(C117&lt;&gt;0,(B117-C117)/C117)*100</f>
        <v>-9.7755308217807251</v>
      </c>
      <c r="H117" s="104">
        <f>D117-E117</f>
        <v>-4234</v>
      </c>
      <c r="I117" s="105">
        <f>IF(E117&lt;&gt;0,(D117-E117)/E117)*100</f>
        <v>-18.69645853572375</v>
      </c>
    </row>
    <row r="118" spans="1:9" x14ac:dyDescent="0.3">
      <c r="D118" s="275"/>
      <c r="E118" s="275"/>
    </row>
    <row r="120" spans="1:9" ht="15.5" x14ac:dyDescent="0.35">
      <c r="D120" s="217">
        <f t="shared" ref="D120:E122" si="32">D41-D69+D97</f>
        <v>0</v>
      </c>
      <c r="E120" s="217">
        <f t="shared" si="32"/>
        <v>0</v>
      </c>
    </row>
    <row r="121" spans="1:9" ht="15.5" x14ac:dyDescent="0.35">
      <c r="D121" s="217">
        <f t="shared" si="32"/>
        <v>0</v>
      </c>
      <c r="E121" s="217">
        <f t="shared" si="32"/>
        <v>0</v>
      </c>
    </row>
    <row r="122" spans="1:9" ht="15.5" x14ac:dyDescent="0.35">
      <c r="D122" s="217">
        <f t="shared" si="32"/>
        <v>0</v>
      </c>
      <c r="E122" s="217">
        <f t="shared" si="32"/>
        <v>0</v>
      </c>
    </row>
    <row r="123" spans="1:9" ht="15.5" x14ac:dyDescent="0.35">
      <c r="D123" s="217">
        <f t="shared" ref="D123:E127" si="33">D45-D72+D100</f>
        <v>0</v>
      </c>
      <c r="E123" s="217">
        <f t="shared" si="33"/>
        <v>0</v>
      </c>
    </row>
    <row r="124" spans="1:9" ht="15.5" x14ac:dyDescent="0.35">
      <c r="D124" s="217">
        <f t="shared" si="33"/>
        <v>0</v>
      </c>
      <c r="E124" s="217">
        <f t="shared" si="33"/>
        <v>0</v>
      </c>
    </row>
    <row r="125" spans="1:9" ht="15.5" x14ac:dyDescent="0.35">
      <c r="D125" s="217">
        <f t="shared" si="33"/>
        <v>0</v>
      </c>
      <c r="E125" s="217">
        <f t="shared" si="33"/>
        <v>0</v>
      </c>
    </row>
    <row r="126" spans="1:9" ht="15.5" x14ac:dyDescent="0.35">
      <c r="D126" s="217">
        <f t="shared" si="33"/>
        <v>0</v>
      </c>
      <c r="E126" s="217">
        <f t="shared" si="33"/>
        <v>0</v>
      </c>
    </row>
    <row r="127" spans="1:9" ht="15.5" x14ac:dyDescent="0.35">
      <c r="D127" s="217">
        <f t="shared" si="33"/>
        <v>0</v>
      </c>
      <c r="E127" s="217">
        <f t="shared" si="33"/>
        <v>0</v>
      </c>
    </row>
    <row r="128" spans="1:9" ht="15.5" x14ac:dyDescent="0.35">
      <c r="D128" s="217">
        <f t="shared" ref="D128:E140" si="34">D49-D77+D105</f>
        <v>0</v>
      </c>
      <c r="E128" s="217">
        <f t="shared" si="34"/>
        <v>0</v>
      </c>
    </row>
    <row r="129" spans="1:9" ht="15.5" x14ac:dyDescent="0.35">
      <c r="A129" s="347"/>
      <c r="D129" s="217">
        <f t="shared" si="34"/>
        <v>0</v>
      </c>
      <c r="E129" s="217">
        <f t="shared" si="34"/>
        <v>0</v>
      </c>
      <c r="F129"/>
      <c r="G129"/>
      <c r="H129"/>
      <c r="I129"/>
    </row>
    <row r="130" spans="1:9" ht="15.5" x14ac:dyDescent="0.35">
      <c r="A130" s="347"/>
      <c r="D130" s="217">
        <f t="shared" si="34"/>
        <v>0</v>
      </c>
      <c r="E130" s="217">
        <f t="shared" si="34"/>
        <v>0</v>
      </c>
      <c r="F130"/>
      <c r="G130"/>
      <c r="H130"/>
      <c r="I130"/>
    </row>
    <row r="131" spans="1:9" ht="15.5" x14ac:dyDescent="0.35">
      <c r="A131" s="347"/>
      <c r="D131" s="217">
        <f t="shared" si="34"/>
        <v>0</v>
      </c>
      <c r="E131" s="217">
        <f t="shared" si="34"/>
        <v>0</v>
      </c>
      <c r="F131"/>
      <c r="G131"/>
      <c r="H131"/>
      <c r="I131"/>
    </row>
    <row r="132" spans="1:9" ht="15.5" x14ac:dyDescent="0.35">
      <c r="A132" s="347"/>
      <c r="D132" s="217">
        <f t="shared" si="34"/>
        <v>0</v>
      </c>
      <c r="E132" s="217">
        <f t="shared" si="34"/>
        <v>0</v>
      </c>
      <c r="F132"/>
      <c r="G132"/>
      <c r="H132"/>
      <c r="I132"/>
    </row>
    <row r="133" spans="1:9" ht="15.5" x14ac:dyDescent="0.35">
      <c r="A133" s="347"/>
      <c r="D133" s="217">
        <f t="shared" si="34"/>
        <v>0</v>
      </c>
      <c r="E133" s="217">
        <f t="shared" si="34"/>
        <v>0</v>
      </c>
      <c r="F133"/>
      <c r="G133"/>
      <c r="H133"/>
      <c r="I133"/>
    </row>
    <row r="134" spans="1:9" ht="15.5" x14ac:dyDescent="0.35">
      <c r="A134" s="347"/>
      <c r="D134" s="217">
        <f t="shared" si="34"/>
        <v>0</v>
      </c>
      <c r="E134" s="217">
        <f t="shared" si="34"/>
        <v>0</v>
      </c>
      <c r="F134"/>
      <c r="G134"/>
      <c r="H134"/>
      <c r="I134"/>
    </row>
    <row r="135" spans="1:9" ht="15.5" x14ac:dyDescent="0.35">
      <c r="A135" s="347"/>
      <c r="D135" s="217">
        <f t="shared" si="34"/>
        <v>0</v>
      </c>
      <c r="E135" s="217">
        <f t="shared" si="34"/>
        <v>0</v>
      </c>
      <c r="F135"/>
      <c r="G135"/>
      <c r="H135"/>
      <c r="I135"/>
    </row>
    <row r="136" spans="1:9" ht="15.5" x14ac:dyDescent="0.35">
      <c r="A136" s="347"/>
      <c r="D136" s="217">
        <f t="shared" si="34"/>
        <v>0</v>
      </c>
      <c r="E136" s="217">
        <f t="shared" si="34"/>
        <v>0</v>
      </c>
      <c r="F136"/>
      <c r="G136"/>
      <c r="H136"/>
      <c r="I136"/>
    </row>
    <row r="137" spans="1:9" ht="15.5" x14ac:dyDescent="0.35">
      <c r="A137" s="347"/>
      <c r="D137" s="217">
        <f t="shared" si="34"/>
        <v>0</v>
      </c>
      <c r="E137" s="217">
        <f t="shared" si="34"/>
        <v>0</v>
      </c>
      <c r="F137"/>
      <c r="G137"/>
      <c r="H137"/>
      <c r="I137"/>
    </row>
    <row r="138" spans="1:9" ht="15.5" x14ac:dyDescent="0.35">
      <c r="A138" s="347"/>
      <c r="D138" s="217">
        <f t="shared" si="34"/>
        <v>0</v>
      </c>
      <c r="E138" s="217">
        <f t="shared" si="34"/>
        <v>0</v>
      </c>
      <c r="F138"/>
      <c r="G138"/>
      <c r="H138"/>
      <c r="I138"/>
    </row>
    <row r="139" spans="1:9" ht="15.5" x14ac:dyDescent="0.35">
      <c r="A139" s="347"/>
      <c r="D139" s="217">
        <f t="shared" si="34"/>
        <v>0</v>
      </c>
      <c r="E139" s="217">
        <f t="shared" si="34"/>
        <v>0</v>
      </c>
      <c r="F139"/>
      <c r="G139"/>
      <c r="H139"/>
      <c r="I139"/>
    </row>
    <row r="140" spans="1:9" ht="15.5" x14ac:dyDescent="0.35">
      <c r="A140" s="347"/>
      <c r="D140" s="217">
        <f t="shared" si="34"/>
        <v>0</v>
      </c>
      <c r="E140" s="217">
        <f t="shared" si="34"/>
        <v>0</v>
      </c>
      <c r="F140"/>
      <c r="G140"/>
      <c r="H140"/>
      <c r="I140"/>
    </row>
  </sheetData>
  <mergeCells count="49">
    <mergeCell ref="F39:F40"/>
    <mergeCell ref="G39:G40"/>
    <mergeCell ref="H39:H40"/>
    <mergeCell ref="I39:I40"/>
    <mergeCell ref="B64:C64"/>
    <mergeCell ref="B39:E40"/>
    <mergeCell ref="H66:I66"/>
    <mergeCell ref="I67:I68"/>
    <mergeCell ref="F93:I93"/>
    <mergeCell ref="F94:G94"/>
    <mergeCell ref="H94:I94"/>
    <mergeCell ref="G67:G68"/>
    <mergeCell ref="H67:H68"/>
    <mergeCell ref="F6:I6"/>
    <mergeCell ref="F7:G7"/>
    <mergeCell ref="H7:I7"/>
    <mergeCell ref="A3:E3"/>
    <mergeCell ref="B5:C5"/>
    <mergeCell ref="B6:C6"/>
    <mergeCell ref="D6:E6"/>
    <mergeCell ref="I8:I9"/>
    <mergeCell ref="B36:C36"/>
    <mergeCell ref="A37:A38"/>
    <mergeCell ref="F37:I37"/>
    <mergeCell ref="A8:A9"/>
    <mergeCell ref="B8:E9"/>
    <mergeCell ref="F8:F9"/>
    <mergeCell ref="G8:G9"/>
    <mergeCell ref="H8:H9"/>
    <mergeCell ref="B37:C37"/>
    <mergeCell ref="D37:E37"/>
    <mergeCell ref="F38:G38"/>
    <mergeCell ref="H38:I38"/>
    <mergeCell ref="A93:A94"/>
    <mergeCell ref="B95:E96"/>
    <mergeCell ref="A65:A66"/>
    <mergeCell ref="B67:E68"/>
    <mergeCell ref="F67:F68"/>
    <mergeCell ref="B92:C92"/>
    <mergeCell ref="F95:F96"/>
    <mergeCell ref="B93:C93"/>
    <mergeCell ref="D93:E93"/>
    <mergeCell ref="B65:C65"/>
    <mergeCell ref="D65:E65"/>
    <mergeCell ref="F65:I65"/>
    <mergeCell ref="G95:G96"/>
    <mergeCell ref="H95:H96"/>
    <mergeCell ref="I95:I96"/>
    <mergeCell ref="F66:G66"/>
  </mergeCells>
  <dataValidations disablePrompts="1" count="1">
    <dataValidation type="list" allowBlank="1" showInputMessage="1" showErrorMessage="1" sqref="WBK983045 IQ36 SM36 ACI36 AME36 AWA36 BFW36 BPS36 BZO36 CJK36 CTG36 DDC36 DMY36 DWU36 EGQ36 EQM36 FAI36 FKE36 FUA36 GDW36 GNS36 GXO36 HHK36 HRG36 IBC36 IKY36 IUU36 JEQ36 JOM36 JYI36 KIE36 KSA36 LBW36 LLS36 LVO36 MFK36 MPG36 MZC36 NIY36 NSU36 OCQ36 OMM36 OWI36 PGE36 PQA36 PZW36 QJS36 QTO36 RDK36 RNG36 RXC36 SGY36 SQU36 TAQ36 TKM36 TUI36 UEE36 UOA36 UXW36 VHS36 VRO36 WBK36 WLG36 WVC36 VHS983045 IQ65572 SM65572 ACI65572 AME65572 AWA65572 BFW65572 BPS65572 BZO65572 CJK65572 CTG65572 DDC65572 DMY65572 DWU65572 EGQ65572 EQM65572 FAI65572 FKE65572 FUA65572 GDW65572 GNS65572 GXO65572 HHK65572 HRG65572 IBC65572 IKY65572 IUU65572 JEQ65572 JOM65572 JYI65572 KIE65572 KSA65572 LBW65572 LLS65572 LVO65572 MFK65572 MPG65572 MZC65572 NIY65572 NSU65572 OCQ65572 OMM65572 OWI65572 PGE65572 PQA65572 PZW65572 QJS65572 QTO65572 RDK65572 RNG65572 RXC65572 SGY65572 SQU65572 TAQ65572 TKM65572 TUI65572 UEE65572 UOA65572 UXW65572 VHS65572 VRO65572 WBK65572 WLG65572 WVC65572 IQ983045 IQ131108 SM131108 ACI131108 AME131108 AWA131108 BFW131108 BPS131108 BZO131108 CJK131108 CTG131108 DDC131108 DMY131108 DWU131108 EGQ131108 EQM131108 FAI131108 FKE131108 FUA131108 GDW131108 GNS131108 GXO131108 HHK131108 HRG131108 IBC131108 IKY131108 IUU131108 JEQ131108 JOM131108 JYI131108 KIE131108 KSA131108 LBW131108 LLS131108 LVO131108 MFK131108 MPG131108 MZC131108 NIY131108 NSU131108 OCQ131108 OMM131108 OWI131108 PGE131108 PQA131108 PZW131108 QJS131108 QTO131108 RDK131108 RNG131108 RXC131108 SGY131108 SQU131108 TAQ131108 TKM131108 TUI131108 UEE131108 UOA131108 UXW131108 VHS131108 VRO131108 WBK131108 WLG131108 WVC131108 SM983045 IQ196644 SM196644 ACI196644 AME196644 AWA196644 BFW196644 BPS196644 BZO196644 CJK196644 CTG196644 DDC196644 DMY196644 DWU196644 EGQ196644 EQM196644 FAI196644 FKE196644 FUA196644 GDW196644 GNS196644 GXO196644 HHK196644 HRG196644 IBC196644 IKY196644 IUU196644 JEQ196644 JOM196644 JYI196644 KIE196644 KSA196644 LBW196644 LLS196644 LVO196644 MFK196644 MPG196644 MZC196644 NIY196644 NSU196644 OCQ196644 OMM196644 OWI196644 PGE196644 PQA196644 PZW196644 QJS196644 QTO196644 RDK196644 RNG196644 RXC196644 SGY196644 SQU196644 TAQ196644 TKM196644 TUI196644 UEE196644 UOA196644 UXW196644 VHS196644 VRO196644 WBK196644 WLG196644 WVC196644 ACI983045 IQ262180 SM262180 ACI262180 AME262180 AWA262180 BFW262180 BPS262180 BZO262180 CJK262180 CTG262180 DDC262180 DMY262180 DWU262180 EGQ262180 EQM262180 FAI262180 FKE262180 FUA262180 GDW262180 GNS262180 GXO262180 HHK262180 HRG262180 IBC262180 IKY262180 IUU262180 JEQ262180 JOM262180 JYI262180 KIE262180 KSA262180 LBW262180 LLS262180 LVO262180 MFK262180 MPG262180 MZC262180 NIY262180 NSU262180 OCQ262180 OMM262180 OWI262180 PGE262180 PQA262180 PZW262180 QJS262180 QTO262180 RDK262180 RNG262180 RXC262180 SGY262180 SQU262180 TAQ262180 TKM262180 TUI262180 UEE262180 UOA262180 UXW262180 VHS262180 VRO262180 WBK262180 WLG262180 WVC262180 AME983045 IQ327716 SM327716 ACI327716 AME327716 AWA327716 BFW327716 BPS327716 BZO327716 CJK327716 CTG327716 DDC327716 DMY327716 DWU327716 EGQ327716 EQM327716 FAI327716 FKE327716 FUA327716 GDW327716 GNS327716 GXO327716 HHK327716 HRG327716 IBC327716 IKY327716 IUU327716 JEQ327716 JOM327716 JYI327716 KIE327716 KSA327716 LBW327716 LLS327716 LVO327716 MFK327716 MPG327716 MZC327716 NIY327716 NSU327716 OCQ327716 OMM327716 OWI327716 PGE327716 PQA327716 PZW327716 QJS327716 QTO327716 RDK327716 RNG327716 RXC327716 SGY327716 SQU327716 TAQ327716 TKM327716 TUI327716 UEE327716 UOA327716 UXW327716 VHS327716 VRO327716 WBK327716 WLG327716 WVC327716 AWA983045 IQ393252 SM393252 ACI393252 AME393252 AWA393252 BFW393252 BPS393252 BZO393252 CJK393252 CTG393252 DDC393252 DMY393252 DWU393252 EGQ393252 EQM393252 FAI393252 FKE393252 FUA393252 GDW393252 GNS393252 GXO393252 HHK393252 HRG393252 IBC393252 IKY393252 IUU393252 JEQ393252 JOM393252 JYI393252 KIE393252 KSA393252 LBW393252 LLS393252 LVO393252 MFK393252 MPG393252 MZC393252 NIY393252 NSU393252 OCQ393252 OMM393252 OWI393252 PGE393252 PQA393252 PZW393252 QJS393252 QTO393252 RDK393252 RNG393252 RXC393252 SGY393252 SQU393252 TAQ393252 TKM393252 TUI393252 UEE393252 UOA393252 UXW393252 VHS393252 VRO393252 WBK393252 WLG393252 WVC393252 BFW983045 IQ458788 SM458788 ACI458788 AME458788 AWA458788 BFW458788 BPS458788 BZO458788 CJK458788 CTG458788 DDC458788 DMY458788 DWU458788 EGQ458788 EQM458788 FAI458788 FKE458788 FUA458788 GDW458788 GNS458788 GXO458788 HHK458788 HRG458788 IBC458788 IKY458788 IUU458788 JEQ458788 JOM458788 JYI458788 KIE458788 KSA458788 LBW458788 LLS458788 LVO458788 MFK458788 MPG458788 MZC458788 NIY458788 NSU458788 OCQ458788 OMM458788 OWI458788 PGE458788 PQA458788 PZW458788 QJS458788 QTO458788 RDK458788 RNG458788 RXC458788 SGY458788 SQU458788 TAQ458788 TKM458788 TUI458788 UEE458788 UOA458788 UXW458788 VHS458788 VRO458788 WBK458788 WLG458788 WVC458788 BPS983045 IQ524324 SM524324 ACI524324 AME524324 AWA524324 BFW524324 BPS524324 BZO524324 CJK524324 CTG524324 DDC524324 DMY524324 DWU524324 EGQ524324 EQM524324 FAI524324 FKE524324 FUA524324 GDW524324 GNS524324 GXO524324 HHK524324 HRG524324 IBC524324 IKY524324 IUU524324 JEQ524324 JOM524324 JYI524324 KIE524324 KSA524324 LBW524324 LLS524324 LVO524324 MFK524324 MPG524324 MZC524324 NIY524324 NSU524324 OCQ524324 OMM524324 OWI524324 PGE524324 PQA524324 PZW524324 QJS524324 QTO524324 RDK524324 RNG524324 RXC524324 SGY524324 SQU524324 TAQ524324 TKM524324 TUI524324 UEE524324 UOA524324 UXW524324 VHS524324 VRO524324 WBK524324 WLG524324 WVC524324 BZO983045 IQ589860 SM589860 ACI589860 AME589860 AWA589860 BFW589860 BPS589860 BZO589860 CJK589860 CTG589860 DDC589860 DMY589860 DWU589860 EGQ589860 EQM589860 FAI589860 FKE589860 FUA589860 GDW589860 GNS589860 GXO589860 HHK589860 HRG589860 IBC589860 IKY589860 IUU589860 JEQ589860 JOM589860 JYI589860 KIE589860 KSA589860 LBW589860 LLS589860 LVO589860 MFK589860 MPG589860 MZC589860 NIY589860 NSU589860 OCQ589860 OMM589860 OWI589860 PGE589860 PQA589860 PZW589860 QJS589860 QTO589860 RDK589860 RNG589860 RXC589860 SGY589860 SQU589860 TAQ589860 TKM589860 TUI589860 UEE589860 UOA589860 UXW589860 VHS589860 VRO589860 WBK589860 WLG589860 WVC589860 CJK983045 IQ655396 SM655396 ACI655396 AME655396 AWA655396 BFW655396 BPS655396 BZO655396 CJK655396 CTG655396 DDC655396 DMY655396 DWU655396 EGQ655396 EQM655396 FAI655396 FKE655396 FUA655396 GDW655396 GNS655396 GXO655396 HHK655396 HRG655396 IBC655396 IKY655396 IUU655396 JEQ655396 JOM655396 JYI655396 KIE655396 KSA655396 LBW655396 LLS655396 LVO655396 MFK655396 MPG655396 MZC655396 NIY655396 NSU655396 OCQ655396 OMM655396 OWI655396 PGE655396 PQA655396 PZW655396 QJS655396 QTO655396 RDK655396 RNG655396 RXC655396 SGY655396 SQU655396 TAQ655396 TKM655396 TUI655396 UEE655396 UOA655396 UXW655396 VHS655396 VRO655396 WBK655396 WLG655396 WVC655396 CTG983045 IQ720932 SM720932 ACI720932 AME720932 AWA720932 BFW720932 BPS720932 BZO720932 CJK720932 CTG720932 DDC720932 DMY720932 DWU720932 EGQ720932 EQM720932 FAI720932 FKE720932 FUA720932 GDW720932 GNS720932 GXO720932 HHK720932 HRG720932 IBC720932 IKY720932 IUU720932 JEQ720932 JOM720932 JYI720932 KIE720932 KSA720932 LBW720932 LLS720932 LVO720932 MFK720932 MPG720932 MZC720932 NIY720932 NSU720932 OCQ720932 OMM720932 OWI720932 PGE720932 PQA720932 PZW720932 QJS720932 QTO720932 RDK720932 RNG720932 RXC720932 SGY720932 SQU720932 TAQ720932 TKM720932 TUI720932 UEE720932 UOA720932 UXW720932 VHS720932 VRO720932 WBK720932 WLG720932 WVC720932 DDC983045 IQ786468 SM786468 ACI786468 AME786468 AWA786468 BFW786468 BPS786468 BZO786468 CJK786468 CTG786468 DDC786468 DMY786468 DWU786468 EGQ786468 EQM786468 FAI786468 FKE786468 FUA786468 GDW786468 GNS786468 GXO786468 HHK786468 HRG786468 IBC786468 IKY786468 IUU786468 JEQ786468 JOM786468 JYI786468 KIE786468 KSA786468 LBW786468 LLS786468 LVO786468 MFK786468 MPG786468 MZC786468 NIY786468 NSU786468 OCQ786468 OMM786468 OWI786468 PGE786468 PQA786468 PZW786468 QJS786468 QTO786468 RDK786468 RNG786468 RXC786468 SGY786468 SQU786468 TAQ786468 TKM786468 TUI786468 UEE786468 UOA786468 UXW786468 VHS786468 VRO786468 WBK786468 WLG786468 WVC786468 DMY983045 IQ852004 SM852004 ACI852004 AME852004 AWA852004 BFW852004 BPS852004 BZO852004 CJK852004 CTG852004 DDC852004 DMY852004 DWU852004 EGQ852004 EQM852004 FAI852004 FKE852004 FUA852004 GDW852004 GNS852004 GXO852004 HHK852004 HRG852004 IBC852004 IKY852004 IUU852004 JEQ852004 JOM852004 JYI852004 KIE852004 KSA852004 LBW852004 LLS852004 LVO852004 MFK852004 MPG852004 MZC852004 NIY852004 NSU852004 OCQ852004 OMM852004 OWI852004 PGE852004 PQA852004 PZW852004 QJS852004 QTO852004 RDK852004 RNG852004 RXC852004 SGY852004 SQU852004 TAQ852004 TKM852004 TUI852004 UEE852004 UOA852004 UXW852004 VHS852004 VRO852004 WBK852004 WLG852004 WVC852004 DWU983045 IQ917540 SM917540 ACI917540 AME917540 AWA917540 BFW917540 BPS917540 BZO917540 CJK917540 CTG917540 DDC917540 DMY917540 DWU917540 EGQ917540 EQM917540 FAI917540 FKE917540 FUA917540 GDW917540 GNS917540 GXO917540 HHK917540 HRG917540 IBC917540 IKY917540 IUU917540 JEQ917540 JOM917540 JYI917540 KIE917540 KSA917540 LBW917540 LLS917540 LVO917540 MFK917540 MPG917540 MZC917540 NIY917540 NSU917540 OCQ917540 OMM917540 OWI917540 PGE917540 PQA917540 PZW917540 QJS917540 QTO917540 RDK917540 RNG917540 RXC917540 SGY917540 SQU917540 TAQ917540 TKM917540 TUI917540 UEE917540 UOA917540 UXW917540 VHS917540 VRO917540 WBK917540 WLG917540 WVC917540 EGQ983045 IQ983076 SM983076 ACI983076 AME983076 AWA983076 BFW983076 BPS983076 BZO983076 CJK983076 CTG983076 DDC983076 DMY983076 DWU983076 EGQ983076 EQM983076 FAI983076 FKE983076 FUA983076 GDW983076 GNS983076 GXO983076 HHK983076 HRG983076 IBC983076 IKY983076 IUU983076 JEQ983076 JOM983076 JYI983076 KIE983076 KSA983076 LBW983076 LLS983076 LVO983076 MFK983076 MPG983076 MZC983076 NIY983076 NSU983076 OCQ983076 OMM983076 OWI983076 PGE983076 PQA983076 PZW983076 QJS983076 QTO983076 RDK983076 RNG983076 RXC983076 SGY983076 SQU983076 TAQ983076 TKM983076 TUI983076 UEE983076 UOA983076 UXW983076 VHS983076 VRO983076 WBK983076 WLG983076 WVC983076 WLG983045 IQ64 SM64 ACI64 AME64 AWA64 BFW64 BPS64 BZO64 CJK64 CTG64 DDC64 DMY64 DWU64 EGQ64 EQM64 FAI64 FKE64 FUA64 GDW64 GNS64 GXO64 HHK64 HRG64 IBC64 IKY64 IUU64 JEQ64 JOM64 JYI64 KIE64 KSA64 LBW64 LLS64 LVO64 MFK64 MPG64 MZC64 NIY64 NSU64 OCQ64 OMM64 OWI64 PGE64 PQA64 PZW64 QJS64 QTO64 RDK64 RNG64 RXC64 SGY64 SQU64 TAQ64 TKM64 TUI64 UEE64 UOA64 UXW64 VHS64 VRO64 WBK64 WLG64 WVC64 EQM983045 IQ65600 SM65600 ACI65600 AME65600 AWA65600 BFW65600 BPS65600 BZO65600 CJK65600 CTG65600 DDC65600 DMY65600 DWU65600 EGQ65600 EQM65600 FAI65600 FKE65600 FUA65600 GDW65600 GNS65600 GXO65600 HHK65600 HRG65600 IBC65600 IKY65600 IUU65600 JEQ65600 JOM65600 JYI65600 KIE65600 KSA65600 LBW65600 LLS65600 LVO65600 MFK65600 MPG65600 MZC65600 NIY65600 NSU65600 OCQ65600 OMM65600 OWI65600 PGE65600 PQA65600 PZW65600 QJS65600 QTO65600 RDK65600 RNG65600 RXC65600 SGY65600 SQU65600 TAQ65600 TKM65600 TUI65600 UEE65600 UOA65600 UXW65600 VHS65600 VRO65600 WBK65600 WLG65600 WVC65600 FAI983045 IQ131136 SM131136 ACI131136 AME131136 AWA131136 BFW131136 BPS131136 BZO131136 CJK131136 CTG131136 DDC131136 DMY131136 DWU131136 EGQ131136 EQM131136 FAI131136 FKE131136 FUA131136 GDW131136 GNS131136 GXO131136 HHK131136 HRG131136 IBC131136 IKY131136 IUU131136 JEQ131136 JOM131136 JYI131136 KIE131136 KSA131136 LBW131136 LLS131136 LVO131136 MFK131136 MPG131136 MZC131136 NIY131136 NSU131136 OCQ131136 OMM131136 OWI131136 PGE131136 PQA131136 PZW131136 QJS131136 QTO131136 RDK131136 RNG131136 RXC131136 SGY131136 SQU131136 TAQ131136 TKM131136 TUI131136 UEE131136 UOA131136 UXW131136 VHS131136 VRO131136 WBK131136 WLG131136 WVC131136 FKE983045 IQ196672 SM196672 ACI196672 AME196672 AWA196672 BFW196672 BPS196672 BZO196672 CJK196672 CTG196672 DDC196672 DMY196672 DWU196672 EGQ196672 EQM196672 FAI196672 FKE196672 FUA196672 GDW196672 GNS196672 GXO196672 HHK196672 HRG196672 IBC196672 IKY196672 IUU196672 JEQ196672 JOM196672 JYI196672 KIE196672 KSA196672 LBW196672 LLS196672 LVO196672 MFK196672 MPG196672 MZC196672 NIY196672 NSU196672 OCQ196672 OMM196672 OWI196672 PGE196672 PQA196672 PZW196672 QJS196672 QTO196672 RDK196672 RNG196672 RXC196672 SGY196672 SQU196672 TAQ196672 TKM196672 TUI196672 UEE196672 UOA196672 UXW196672 VHS196672 VRO196672 WBK196672 WLG196672 WVC196672 FUA983045 IQ262208 SM262208 ACI262208 AME262208 AWA262208 BFW262208 BPS262208 BZO262208 CJK262208 CTG262208 DDC262208 DMY262208 DWU262208 EGQ262208 EQM262208 FAI262208 FKE262208 FUA262208 GDW262208 GNS262208 GXO262208 HHK262208 HRG262208 IBC262208 IKY262208 IUU262208 JEQ262208 JOM262208 JYI262208 KIE262208 KSA262208 LBW262208 LLS262208 LVO262208 MFK262208 MPG262208 MZC262208 NIY262208 NSU262208 OCQ262208 OMM262208 OWI262208 PGE262208 PQA262208 PZW262208 QJS262208 QTO262208 RDK262208 RNG262208 RXC262208 SGY262208 SQU262208 TAQ262208 TKM262208 TUI262208 UEE262208 UOA262208 UXW262208 VHS262208 VRO262208 WBK262208 WLG262208 WVC262208 GDW983045 IQ327744 SM327744 ACI327744 AME327744 AWA327744 BFW327744 BPS327744 BZO327744 CJK327744 CTG327744 DDC327744 DMY327744 DWU327744 EGQ327744 EQM327744 FAI327744 FKE327744 FUA327744 GDW327744 GNS327744 GXO327744 HHK327744 HRG327744 IBC327744 IKY327744 IUU327744 JEQ327744 JOM327744 JYI327744 KIE327744 KSA327744 LBW327744 LLS327744 LVO327744 MFK327744 MPG327744 MZC327744 NIY327744 NSU327744 OCQ327744 OMM327744 OWI327744 PGE327744 PQA327744 PZW327744 QJS327744 QTO327744 RDK327744 RNG327744 RXC327744 SGY327744 SQU327744 TAQ327744 TKM327744 TUI327744 UEE327744 UOA327744 UXW327744 VHS327744 VRO327744 WBK327744 WLG327744 WVC327744 GNS983045 IQ393280 SM393280 ACI393280 AME393280 AWA393280 BFW393280 BPS393280 BZO393280 CJK393280 CTG393280 DDC393280 DMY393280 DWU393280 EGQ393280 EQM393280 FAI393280 FKE393280 FUA393280 GDW393280 GNS393280 GXO393280 HHK393280 HRG393280 IBC393280 IKY393280 IUU393280 JEQ393280 JOM393280 JYI393280 KIE393280 KSA393280 LBW393280 LLS393280 LVO393280 MFK393280 MPG393280 MZC393280 NIY393280 NSU393280 OCQ393280 OMM393280 OWI393280 PGE393280 PQA393280 PZW393280 QJS393280 QTO393280 RDK393280 RNG393280 RXC393280 SGY393280 SQU393280 TAQ393280 TKM393280 TUI393280 UEE393280 UOA393280 UXW393280 VHS393280 VRO393280 WBK393280 WLG393280 WVC393280 GXO983045 IQ458816 SM458816 ACI458816 AME458816 AWA458816 BFW458816 BPS458816 BZO458816 CJK458816 CTG458816 DDC458816 DMY458816 DWU458816 EGQ458816 EQM458816 FAI458816 FKE458816 FUA458816 GDW458816 GNS458816 GXO458816 HHK458816 HRG458816 IBC458816 IKY458816 IUU458816 JEQ458816 JOM458816 JYI458816 KIE458816 KSA458816 LBW458816 LLS458816 LVO458816 MFK458816 MPG458816 MZC458816 NIY458816 NSU458816 OCQ458816 OMM458816 OWI458816 PGE458816 PQA458816 PZW458816 QJS458816 QTO458816 RDK458816 RNG458816 RXC458816 SGY458816 SQU458816 TAQ458816 TKM458816 TUI458816 UEE458816 UOA458816 UXW458816 VHS458816 VRO458816 WBK458816 WLG458816 WVC458816 HHK983045 IQ524352 SM524352 ACI524352 AME524352 AWA524352 BFW524352 BPS524352 BZO524352 CJK524352 CTG524352 DDC524352 DMY524352 DWU524352 EGQ524352 EQM524352 FAI524352 FKE524352 FUA524352 GDW524352 GNS524352 GXO524352 HHK524352 HRG524352 IBC524352 IKY524352 IUU524352 JEQ524352 JOM524352 JYI524352 KIE524352 KSA524352 LBW524352 LLS524352 LVO524352 MFK524352 MPG524352 MZC524352 NIY524352 NSU524352 OCQ524352 OMM524352 OWI524352 PGE524352 PQA524352 PZW524352 QJS524352 QTO524352 RDK524352 RNG524352 RXC524352 SGY524352 SQU524352 TAQ524352 TKM524352 TUI524352 UEE524352 UOA524352 UXW524352 VHS524352 VRO524352 WBK524352 WLG524352 WVC524352 HRG983045 IQ589888 SM589888 ACI589888 AME589888 AWA589888 BFW589888 BPS589888 BZO589888 CJK589888 CTG589888 DDC589888 DMY589888 DWU589888 EGQ589888 EQM589888 FAI589888 FKE589888 FUA589888 GDW589888 GNS589888 GXO589888 HHK589888 HRG589888 IBC589888 IKY589888 IUU589888 JEQ589888 JOM589888 JYI589888 KIE589888 KSA589888 LBW589888 LLS589888 LVO589888 MFK589888 MPG589888 MZC589888 NIY589888 NSU589888 OCQ589888 OMM589888 OWI589888 PGE589888 PQA589888 PZW589888 QJS589888 QTO589888 RDK589888 RNG589888 RXC589888 SGY589888 SQU589888 TAQ589888 TKM589888 TUI589888 UEE589888 UOA589888 UXW589888 VHS589888 VRO589888 WBK589888 WLG589888 WVC589888 IBC983045 IQ655424 SM655424 ACI655424 AME655424 AWA655424 BFW655424 BPS655424 BZO655424 CJK655424 CTG655424 DDC655424 DMY655424 DWU655424 EGQ655424 EQM655424 FAI655424 FKE655424 FUA655424 GDW655424 GNS655424 GXO655424 HHK655424 HRG655424 IBC655424 IKY655424 IUU655424 JEQ655424 JOM655424 JYI655424 KIE655424 KSA655424 LBW655424 LLS655424 LVO655424 MFK655424 MPG655424 MZC655424 NIY655424 NSU655424 OCQ655424 OMM655424 OWI655424 PGE655424 PQA655424 PZW655424 QJS655424 QTO655424 RDK655424 RNG655424 RXC655424 SGY655424 SQU655424 TAQ655424 TKM655424 TUI655424 UEE655424 UOA655424 UXW655424 VHS655424 VRO655424 WBK655424 WLG655424 WVC655424 IKY983045 IQ720960 SM720960 ACI720960 AME720960 AWA720960 BFW720960 BPS720960 BZO720960 CJK720960 CTG720960 DDC720960 DMY720960 DWU720960 EGQ720960 EQM720960 FAI720960 FKE720960 FUA720960 GDW720960 GNS720960 GXO720960 HHK720960 HRG720960 IBC720960 IKY720960 IUU720960 JEQ720960 JOM720960 JYI720960 KIE720960 KSA720960 LBW720960 LLS720960 LVO720960 MFK720960 MPG720960 MZC720960 NIY720960 NSU720960 OCQ720960 OMM720960 OWI720960 PGE720960 PQA720960 PZW720960 QJS720960 QTO720960 RDK720960 RNG720960 RXC720960 SGY720960 SQU720960 TAQ720960 TKM720960 TUI720960 UEE720960 UOA720960 UXW720960 VHS720960 VRO720960 WBK720960 WLG720960 WVC720960 IUU983045 IQ786496 SM786496 ACI786496 AME786496 AWA786496 BFW786496 BPS786496 BZO786496 CJK786496 CTG786496 DDC786496 DMY786496 DWU786496 EGQ786496 EQM786496 FAI786496 FKE786496 FUA786496 GDW786496 GNS786496 GXO786496 HHK786496 HRG786496 IBC786496 IKY786496 IUU786496 JEQ786496 JOM786496 JYI786496 KIE786496 KSA786496 LBW786496 LLS786496 LVO786496 MFK786496 MPG786496 MZC786496 NIY786496 NSU786496 OCQ786496 OMM786496 OWI786496 PGE786496 PQA786496 PZW786496 QJS786496 QTO786496 RDK786496 RNG786496 RXC786496 SGY786496 SQU786496 TAQ786496 TKM786496 TUI786496 UEE786496 UOA786496 UXW786496 VHS786496 VRO786496 WBK786496 WLG786496 WVC786496 JEQ983045 IQ852032 SM852032 ACI852032 AME852032 AWA852032 BFW852032 BPS852032 BZO852032 CJK852032 CTG852032 DDC852032 DMY852032 DWU852032 EGQ852032 EQM852032 FAI852032 FKE852032 FUA852032 GDW852032 GNS852032 GXO852032 HHK852032 HRG852032 IBC852032 IKY852032 IUU852032 JEQ852032 JOM852032 JYI852032 KIE852032 KSA852032 LBW852032 LLS852032 LVO852032 MFK852032 MPG852032 MZC852032 NIY852032 NSU852032 OCQ852032 OMM852032 OWI852032 PGE852032 PQA852032 PZW852032 QJS852032 QTO852032 RDK852032 RNG852032 RXC852032 SGY852032 SQU852032 TAQ852032 TKM852032 TUI852032 UEE852032 UOA852032 UXW852032 VHS852032 VRO852032 WBK852032 WLG852032 WVC852032 JOM983045 IQ917568 SM917568 ACI917568 AME917568 AWA917568 BFW917568 BPS917568 BZO917568 CJK917568 CTG917568 DDC917568 DMY917568 DWU917568 EGQ917568 EQM917568 FAI917568 FKE917568 FUA917568 GDW917568 GNS917568 GXO917568 HHK917568 HRG917568 IBC917568 IKY917568 IUU917568 JEQ917568 JOM917568 JYI917568 KIE917568 KSA917568 LBW917568 LLS917568 LVO917568 MFK917568 MPG917568 MZC917568 NIY917568 NSU917568 OCQ917568 OMM917568 OWI917568 PGE917568 PQA917568 PZW917568 QJS917568 QTO917568 RDK917568 RNG917568 RXC917568 SGY917568 SQU917568 TAQ917568 TKM917568 TUI917568 UEE917568 UOA917568 UXW917568 VHS917568 VRO917568 WBK917568 WLG917568 WVC917568 JYI983045 IQ983104 SM983104 ACI983104 AME983104 AWA983104 BFW983104 BPS983104 BZO983104 CJK983104 CTG983104 DDC983104 DMY983104 DWU983104 EGQ983104 EQM983104 FAI983104 FKE983104 FUA983104 GDW983104 GNS983104 GXO983104 HHK983104 HRG983104 IBC983104 IKY983104 IUU983104 JEQ983104 JOM983104 JYI983104 KIE983104 KSA983104 LBW983104 LLS983104 LVO983104 MFK983104 MPG983104 MZC983104 NIY983104 NSU983104 OCQ983104 OMM983104 OWI983104 PGE983104 PQA983104 PZW983104 QJS983104 QTO983104 RDK983104 RNG983104 RXC983104 SGY983104 SQU983104 TAQ983104 TKM983104 TUI983104 UEE983104 UOA983104 UXW983104 VHS983104 VRO983104 WBK983104 WLG983104 WVC983104 WVC983045 IQ92 SM92 ACI92 AME92 AWA92 BFW92 BPS92 BZO92 CJK92 CTG92 DDC92 DMY92 DWU92 EGQ92 EQM92 FAI92 FKE92 FUA92 GDW92 GNS92 GXO92 HHK92 HRG92 IBC92 IKY92 IUU92 JEQ92 JOM92 JYI92 KIE92 KSA92 LBW92 LLS92 LVO92 MFK92 MPG92 MZC92 NIY92 NSU92 OCQ92 OMM92 OWI92 PGE92 PQA92 PZW92 QJS92 QTO92 RDK92 RNG92 RXC92 SGY92 SQU92 TAQ92 TKM92 TUI92 UEE92 UOA92 UXW92 VHS92 VRO92 WBK92 WLG92 WVC92 KIE983045 IQ65628 SM65628 ACI65628 AME65628 AWA65628 BFW65628 BPS65628 BZO65628 CJK65628 CTG65628 DDC65628 DMY65628 DWU65628 EGQ65628 EQM65628 FAI65628 FKE65628 FUA65628 GDW65628 GNS65628 GXO65628 HHK65628 HRG65628 IBC65628 IKY65628 IUU65628 JEQ65628 JOM65628 JYI65628 KIE65628 KSA65628 LBW65628 LLS65628 LVO65628 MFK65628 MPG65628 MZC65628 NIY65628 NSU65628 OCQ65628 OMM65628 OWI65628 PGE65628 PQA65628 PZW65628 QJS65628 QTO65628 RDK65628 RNG65628 RXC65628 SGY65628 SQU65628 TAQ65628 TKM65628 TUI65628 UEE65628 UOA65628 UXW65628 VHS65628 VRO65628 WBK65628 WLG65628 WVC65628 KSA983045 IQ131164 SM131164 ACI131164 AME131164 AWA131164 BFW131164 BPS131164 BZO131164 CJK131164 CTG131164 DDC131164 DMY131164 DWU131164 EGQ131164 EQM131164 FAI131164 FKE131164 FUA131164 GDW131164 GNS131164 GXO131164 HHK131164 HRG131164 IBC131164 IKY131164 IUU131164 JEQ131164 JOM131164 JYI131164 KIE131164 KSA131164 LBW131164 LLS131164 LVO131164 MFK131164 MPG131164 MZC131164 NIY131164 NSU131164 OCQ131164 OMM131164 OWI131164 PGE131164 PQA131164 PZW131164 QJS131164 QTO131164 RDK131164 RNG131164 RXC131164 SGY131164 SQU131164 TAQ131164 TKM131164 TUI131164 UEE131164 UOA131164 UXW131164 VHS131164 VRO131164 WBK131164 WLG131164 WVC131164 LBW983045 IQ196700 SM196700 ACI196700 AME196700 AWA196700 BFW196700 BPS196700 BZO196700 CJK196700 CTG196700 DDC196700 DMY196700 DWU196700 EGQ196700 EQM196700 FAI196700 FKE196700 FUA196700 GDW196700 GNS196700 GXO196700 HHK196700 HRG196700 IBC196700 IKY196700 IUU196700 JEQ196700 JOM196700 JYI196700 KIE196700 KSA196700 LBW196700 LLS196700 LVO196700 MFK196700 MPG196700 MZC196700 NIY196700 NSU196700 OCQ196700 OMM196700 OWI196700 PGE196700 PQA196700 PZW196700 QJS196700 QTO196700 RDK196700 RNG196700 RXC196700 SGY196700 SQU196700 TAQ196700 TKM196700 TUI196700 UEE196700 UOA196700 UXW196700 VHS196700 VRO196700 WBK196700 WLG196700 WVC196700 LLS983045 IQ262236 SM262236 ACI262236 AME262236 AWA262236 BFW262236 BPS262236 BZO262236 CJK262236 CTG262236 DDC262236 DMY262236 DWU262236 EGQ262236 EQM262236 FAI262236 FKE262236 FUA262236 GDW262236 GNS262236 GXO262236 HHK262236 HRG262236 IBC262236 IKY262236 IUU262236 JEQ262236 JOM262236 JYI262236 KIE262236 KSA262236 LBW262236 LLS262236 LVO262236 MFK262236 MPG262236 MZC262236 NIY262236 NSU262236 OCQ262236 OMM262236 OWI262236 PGE262236 PQA262236 PZW262236 QJS262236 QTO262236 RDK262236 RNG262236 RXC262236 SGY262236 SQU262236 TAQ262236 TKM262236 TUI262236 UEE262236 UOA262236 UXW262236 VHS262236 VRO262236 WBK262236 WLG262236 WVC262236 LVO983045 IQ327772 SM327772 ACI327772 AME327772 AWA327772 BFW327772 BPS327772 BZO327772 CJK327772 CTG327772 DDC327772 DMY327772 DWU327772 EGQ327772 EQM327772 FAI327772 FKE327772 FUA327772 GDW327772 GNS327772 GXO327772 HHK327772 HRG327772 IBC327772 IKY327772 IUU327772 JEQ327772 JOM327772 JYI327772 KIE327772 KSA327772 LBW327772 LLS327772 LVO327772 MFK327772 MPG327772 MZC327772 NIY327772 NSU327772 OCQ327772 OMM327772 OWI327772 PGE327772 PQA327772 PZW327772 QJS327772 QTO327772 RDK327772 RNG327772 RXC327772 SGY327772 SQU327772 TAQ327772 TKM327772 TUI327772 UEE327772 UOA327772 UXW327772 VHS327772 VRO327772 WBK327772 WLG327772 WVC327772 MFK983045 IQ393308 SM393308 ACI393308 AME393308 AWA393308 BFW393308 BPS393308 BZO393308 CJK393308 CTG393308 DDC393308 DMY393308 DWU393308 EGQ393308 EQM393308 FAI393308 FKE393308 FUA393308 GDW393308 GNS393308 GXO393308 HHK393308 HRG393308 IBC393308 IKY393308 IUU393308 JEQ393308 JOM393308 JYI393308 KIE393308 KSA393308 LBW393308 LLS393308 LVO393308 MFK393308 MPG393308 MZC393308 NIY393308 NSU393308 OCQ393308 OMM393308 OWI393308 PGE393308 PQA393308 PZW393308 QJS393308 QTO393308 RDK393308 RNG393308 RXC393308 SGY393308 SQU393308 TAQ393308 TKM393308 TUI393308 UEE393308 UOA393308 UXW393308 VHS393308 VRO393308 WBK393308 WLG393308 WVC393308 MPG983045 IQ458844 SM458844 ACI458844 AME458844 AWA458844 BFW458844 BPS458844 BZO458844 CJK458844 CTG458844 DDC458844 DMY458844 DWU458844 EGQ458844 EQM458844 FAI458844 FKE458844 FUA458844 GDW458844 GNS458844 GXO458844 HHK458844 HRG458844 IBC458844 IKY458844 IUU458844 JEQ458844 JOM458844 JYI458844 KIE458844 KSA458844 LBW458844 LLS458844 LVO458844 MFK458844 MPG458844 MZC458844 NIY458844 NSU458844 OCQ458844 OMM458844 OWI458844 PGE458844 PQA458844 PZW458844 QJS458844 QTO458844 RDK458844 RNG458844 RXC458844 SGY458844 SQU458844 TAQ458844 TKM458844 TUI458844 UEE458844 UOA458844 UXW458844 VHS458844 VRO458844 WBK458844 WLG458844 WVC458844 MZC983045 IQ524380 SM524380 ACI524380 AME524380 AWA524380 BFW524380 BPS524380 BZO524380 CJK524380 CTG524380 DDC524380 DMY524380 DWU524380 EGQ524380 EQM524380 FAI524380 FKE524380 FUA524380 GDW524380 GNS524380 GXO524380 HHK524380 HRG524380 IBC524380 IKY524380 IUU524380 JEQ524380 JOM524380 JYI524380 KIE524380 KSA524380 LBW524380 LLS524380 LVO524380 MFK524380 MPG524380 MZC524380 NIY524380 NSU524380 OCQ524380 OMM524380 OWI524380 PGE524380 PQA524380 PZW524380 QJS524380 QTO524380 RDK524380 RNG524380 RXC524380 SGY524380 SQU524380 TAQ524380 TKM524380 TUI524380 UEE524380 UOA524380 UXW524380 VHS524380 VRO524380 WBK524380 WLG524380 WVC524380 NIY983045 IQ589916 SM589916 ACI589916 AME589916 AWA589916 BFW589916 BPS589916 BZO589916 CJK589916 CTG589916 DDC589916 DMY589916 DWU589916 EGQ589916 EQM589916 FAI589916 FKE589916 FUA589916 GDW589916 GNS589916 GXO589916 HHK589916 HRG589916 IBC589916 IKY589916 IUU589916 JEQ589916 JOM589916 JYI589916 KIE589916 KSA589916 LBW589916 LLS589916 LVO589916 MFK589916 MPG589916 MZC589916 NIY589916 NSU589916 OCQ589916 OMM589916 OWI589916 PGE589916 PQA589916 PZW589916 QJS589916 QTO589916 RDK589916 RNG589916 RXC589916 SGY589916 SQU589916 TAQ589916 TKM589916 TUI589916 UEE589916 UOA589916 UXW589916 VHS589916 VRO589916 WBK589916 WLG589916 WVC589916 NSU983045 IQ655452 SM655452 ACI655452 AME655452 AWA655452 BFW655452 BPS655452 BZO655452 CJK655452 CTG655452 DDC655452 DMY655452 DWU655452 EGQ655452 EQM655452 FAI655452 FKE655452 FUA655452 GDW655452 GNS655452 GXO655452 HHK655452 HRG655452 IBC655452 IKY655452 IUU655452 JEQ655452 JOM655452 JYI655452 KIE655452 KSA655452 LBW655452 LLS655452 LVO655452 MFK655452 MPG655452 MZC655452 NIY655452 NSU655452 OCQ655452 OMM655452 OWI655452 PGE655452 PQA655452 PZW655452 QJS655452 QTO655452 RDK655452 RNG655452 RXC655452 SGY655452 SQU655452 TAQ655452 TKM655452 TUI655452 UEE655452 UOA655452 UXW655452 VHS655452 VRO655452 WBK655452 WLG655452 WVC655452 OCQ983045 IQ720988 SM720988 ACI720988 AME720988 AWA720988 BFW720988 BPS720988 BZO720988 CJK720988 CTG720988 DDC720988 DMY720988 DWU720988 EGQ720988 EQM720988 FAI720988 FKE720988 FUA720988 GDW720988 GNS720988 GXO720988 HHK720988 HRG720988 IBC720988 IKY720988 IUU720988 JEQ720988 JOM720988 JYI720988 KIE720988 KSA720988 LBW720988 LLS720988 LVO720988 MFK720988 MPG720988 MZC720988 NIY720988 NSU720988 OCQ720988 OMM720988 OWI720988 PGE720988 PQA720988 PZW720988 QJS720988 QTO720988 RDK720988 RNG720988 RXC720988 SGY720988 SQU720988 TAQ720988 TKM720988 TUI720988 UEE720988 UOA720988 UXW720988 VHS720988 VRO720988 WBK720988 WLG720988 WVC720988 OMM983045 IQ786524 SM786524 ACI786524 AME786524 AWA786524 BFW786524 BPS786524 BZO786524 CJK786524 CTG786524 DDC786524 DMY786524 DWU786524 EGQ786524 EQM786524 FAI786524 FKE786524 FUA786524 GDW786524 GNS786524 GXO786524 HHK786524 HRG786524 IBC786524 IKY786524 IUU786524 JEQ786524 JOM786524 JYI786524 KIE786524 KSA786524 LBW786524 LLS786524 LVO786524 MFK786524 MPG786524 MZC786524 NIY786524 NSU786524 OCQ786524 OMM786524 OWI786524 PGE786524 PQA786524 PZW786524 QJS786524 QTO786524 RDK786524 RNG786524 RXC786524 SGY786524 SQU786524 TAQ786524 TKM786524 TUI786524 UEE786524 UOA786524 UXW786524 VHS786524 VRO786524 WBK786524 WLG786524 WVC786524 OWI983045 IQ852060 SM852060 ACI852060 AME852060 AWA852060 BFW852060 BPS852060 BZO852060 CJK852060 CTG852060 DDC852060 DMY852060 DWU852060 EGQ852060 EQM852060 FAI852060 FKE852060 FUA852060 GDW852060 GNS852060 GXO852060 HHK852060 HRG852060 IBC852060 IKY852060 IUU852060 JEQ852060 JOM852060 JYI852060 KIE852060 KSA852060 LBW852060 LLS852060 LVO852060 MFK852060 MPG852060 MZC852060 NIY852060 NSU852060 OCQ852060 OMM852060 OWI852060 PGE852060 PQA852060 PZW852060 QJS852060 QTO852060 RDK852060 RNG852060 RXC852060 SGY852060 SQU852060 TAQ852060 TKM852060 TUI852060 UEE852060 UOA852060 UXW852060 VHS852060 VRO852060 WBK852060 WLG852060 WVC852060 PGE983045 IQ917596 SM917596 ACI917596 AME917596 AWA917596 BFW917596 BPS917596 BZO917596 CJK917596 CTG917596 DDC917596 DMY917596 DWU917596 EGQ917596 EQM917596 FAI917596 FKE917596 FUA917596 GDW917596 GNS917596 GXO917596 HHK917596 HRG917596 IBC917596 IKY917596 IUU917596 JEQ917596 JOM917596 JYI917596 KIE917596 KSA917596 LBW917596 LLS917596 LVO917596 MFK917596 MPG917596 MZC917596 NIY917596 NSU917596 OCQ917596 OMM917596 OWI917596 PGE917596 PQA917596 PZW917596 QJS917596 QTO917596 RDK917596 RNG917596 RXC917596 SGY917596 SQU917596 TAQ917596 TKM917596 TUI917596 UEE917596 UOA917596 UXW917596 VHS917596 VRO917596 WBK917596 WLG917596 WVC917596 PQA983045 IQ983132 SM983132 ACI983132 AME983132 AWA983132 BFW983132 BPS983132 BZO983132 CJK983132 CTG983132 DDC983132 DMY983132 DWU983132 EGQ983132 EQM983132 FAI983132 FKE983132 FUA983132 GDW983132 GNS983132 GXO983132 HHK983132 HRG983132 IBC983132 IKY983132 IUU983132 JEQ983132 JOM983132 JYI983132 KIE983132 KSA983132 LBW983132 LLS983132 LVO983132 MFK983132 MPG983132 MZC983132 NIY983132 NSU983132 OCQ983132 OMM983132 OWI983132 PGE983132 PQA983132 PZW983132 QJS983132 QTO983132 RDK983132 RNG983132 RXC983132 SGY983132 SQU983132 TAQ983132 TKM983132 TUI983132 UEE983132 UOA983132 UXW983132 VHS983132 VRO983132 WBK983132 WLG983132 WVC983132 VRO983045 IQ5 SM5 ACI5 AME5 AWA5 BFW5 BPS5 BZO5 CJK5 CTG5 DDC5 DMY5 DWU5 EGQ5 EQM5 FAI5 FKE5 FUA5 GDW5 GNS5 GXO5 HHK5 HRG5 IBC5 IKY5 IUU5 JEQ5 JOM5 JYI5 KIE5 KSA5 LBW5 LLS5 LVO5 MFK5 MPG5 MZC5 NIY5 NSU5 OCQ5 OMM5 OWI5 PGE5 PQA5 PZW5 QJS5 QTO5 RDK5 RNG5 RXC5 SGY5 SQU5 TAQ5 TKM5 TUI5 UEE5 UOA5 UXW5 VHS5 VRO5 WBK5 WLG5 WVC5 PZW983045 IQ65541 SM65541 ACI65541 AME65541 AWA65541 BFW65541 BPS65541 BZO65541 CJK65541 CTG65541 DDC65541 DMY65541 DWU65541 EGQ65541 EQM65541 FAI65541 FKE65541 FUA65541 GDW65541 GNS65541 GXO65541 HHK65541 HRG65541 IBC65541 IKY65541 IUU65541 JEQ65541 JOM65541 JYI65541 KIE65541 KSA65541 LBW65541 LLS65541 LVO65541 MFK65541 MPG65541 MZC65541 NIY65541 NSU65541 OCQ65541 OMM65541 OWI65541 PGE65541 PQA65541 PZW65541 QJS65541 QTO65541 RDK65541 RNG65541 RXC65541 SGY65541 SQU65541 TAQ65541 TKM65541 TUI65541 UEE65541 UOA65541 UXW65541 VHS65541 VRO65541 WBK65541 WLG65541 WVC65541 QJS983045 IQ131077 SM131077 ACI131077 AME131077 AWA131077 BFW131077 BPS131077 BZO131077 CJK131077 CTG131077 DDC131077 DMY131077 DWU131077 EGQ131077 EQM131077 FAI131077 FKE131077 FUA131077 GDW131077 GNS131077 GXO131077 HHK131077 HRG131077 IBC131077 IKY131077 IUU131077 JEQ131077 JOM131077 JYI131077 KIE131077 KSA131077 LBW131077 LLS131077 LVO131077 MFK131077 MPG131077 MZC131077 NIY131077 NSU131077 OCQ131077 OMM131077 OWI131077 PGE131077 PQA131077 PZW131077 QJS131077 QTO131077 RDK131077 RNG131077 RXC131077 SGY131077 SQU131077 TAQ131077 TKM131077 TUI131077 UEE131077 UOA131077 UXW131077 VHS131077 VRO131077 WBK131077 WLG131077 WVC131077 QTO983045 IQ196613 SM196613 ACI196613 AME196613 AWA196613 BFW196613 BPS196613 BZO196613 CJK196613 CTG196613 DDC196613 DMY196613 DWU196613 EGQ196613 EQM196613 FAI196613 FKE196613 FUA196613 GDW196613 GNS196613 GXO196613 HHK196613 HRG196613 IBC196613 IKY196613 IUU196613 JEQ196613 JOM196613 JYI196613 KIE196613 KSA196613 LBW196613 LLS196613 LVO196613 MFK196613 MPG196613 MZC196613 NIY196613 NSU196613 OCQ196613 OMM196613 OWI196613 PGE196613 PQA196613 PZW196613 QJS196613 QTO196613 RDK196613 RNG196613 RXC196613 SGY196613 SQU196613 TAQ196613 TKM196613 TUI196613 UEE196613 UOA196613 UXW196613 VHS196613 VRO196613 WBK196613 WLG196613 WVC196613 RDK983045 IQ262149 SM262149 ACI262149 AME262149 AWA262149 BFW262149 BPS262149 BZO262149 CJK262149 CTG262149 DDC262149 DMY262149 DWU262149 EGQ262149 EQM262149 FAI262149 FKE262149 FUA262149 GDW262149 GNS262149 GXO262149 HHK262149 HRG262149 IBC262149 IKY262149 IUU262149 JEQ262149 JOM262149 JYI262149 KIE262149 KSA262149 LBW262149 LLS262149 LVO262149 MFK262149 MPG262149 MZC262149 NIY262149 NSU262149 OCQ262149 OMM262149 OWI262149 PGE262149 PQA262149 PZW262149 QJS262149 QTO262149 RDK262149 RNG262149 RXC262149 SGY262149 SQU262149 TAQ262149 TKM262149 TUI262149 UEE262149 UOA262149 UXW262149 VHS262149 VRO262149 WBK262149 WLG262149 WVC262149 RNG983045 IQ327685 SM327685 ACI327685 AME327685 AWA327685 BFW327685 BPS327685 BZO327685 CJK327685 CTG327685 DDC327685 DMY327685 DWU327685 EGQ327685 EQM327685 FAI327685 FKE327685 FUA327685 GDW327685 GNS327685 GXO327685 HHK327685 HRG327685 IBC327685 IKY327685 IUU327685 JEQ327685 JOM327685 JYI327685 KIE327685 KSA327685 LBW327685 LLS327685 LVO327685 MFK327685 MPG327685 MZC327685 NIY327685 NSU327685 OCQ327685 OMM327685 OWI327685 PGE327685 PQA327685 PZW327685 QJS327685 QTO327685 RDK327685 RNG327685 RXC327685 SGY327685 SQU327685 TAQ327685 TKM327685 TUI327685 UEE327685 UOA327685 UXW327685 VHS327685 VRO327685 WBK327685 WLG327685 WVC327685 RXC983045 IQ393221 SM393221 ACI393221 AME393221 AWA393221 BFW393221 BPS393221 BZO393221 CJK393221 CTG393221 DDC393221 DMY393221 DWU393221 EGQ393221 EQM393221 FAI393221 FKE393221 FUA393221 GDW393221 GNS393221 GXO393221 HHK393221 HRG393221 IBC393221 IKY393221 IUU393221 JEQ393221 JOM393221 JYI393221 KIE393221 KSA393221 LBW393221 LLS393221 LVO393221 MFK393221 MPG393221 MZC393221 NIY393221 NSU393221 OCQ393221 OMM393221 OWI393221 PGE393221 PQA393221 PZW393221 QJS393221 QTO393221 RDK393221 RNG393221 RXC393221 SGY393221 SQU393221 TAQ393221 TKM393221 TUI393221 UEE393221 UOA393221 UXW393221 VHS393221 VRO393221 WBK393221 WLG393221 WVC393221 SGY983045 IQ458757 SM458757 ACI458757 AME458757 AWA458757 BFW458757 BPS458757 BZO458757 CJK458757 CTG458757 DDC458757 DMY458757 DWU458757 EGQ458757 EQM458757 FAI458757 FKE458757 FUA458757 GDW458757 GNS458757 GXO458757 HHK458757 HRG458757 IBC458757 IKY458757 IUU458757 JEQ458757 JOM458757 JYI458757 KIE458757 KSA458757 LBW458757 LLS458757 LVO458757 MFK458757 MPG458757 MZC458757 NIY458757 NSU458757 OCQ458757 OMM458757 OWI458757 PGE458757 PQA458757 PZW458757 QJS458757 QTO458757 RDK458757 RNG458757 RXC458757 SGY458757 SQU458757 TAQ458757 TKM458757 TUI458757 UEE458757 UOA458757 UXW458757 VHS458757 VRO458757 WBK458757 WLG458757 WVC458757 SQU983045 IQ524293 SM524293 ACI524293 AME524293 AWA524293 BFW524293 BPS524293 BZO524293 CJK524293 CTG524293 DDC524293 DMY524293 DWU524293 EGQ524293 EQM524293 FAI524293 FKE524293 FUA524293 GDW524293 GNS524293 GXO524293 HHK524293 HRG524293 IBC524293 IKY524293 IUU524293 JEQ524293 JOM524293 JYI524293 KIE524293 KSA524293 LBW524293 LLS524293 LVO524293 MFK524293 MPG524293 MZC524293 NIY524293 NSU524293 OCQ524293 OMM524293 OWI524293 PGE524293 PQA524293 PZW524293 QJS524293 QTO524293 RDK524293 RNG524293 RXC524293 SGY524293 SQU524293 TAQ524293 TKM524293 TUI524293 UEE524293 UOA524293 UXW524293 VHS524293 VRO524293 WBK524293 WLG524293 WVC524293 TAQ983045 IQ589829 SM589829 ACI589829 AME589829 AWA589829 BFW589829 BPS589829 BZO589829 CJK589829 CTG589829 DDC589829 DMY589829 DWU589829 EGQ589829 EQM589829 FAI589829 FKE589829 FUA589829 GDW589829 GNS589829 GXO589829 HHK589829 HRG589829 IBC589829 IKY589829 IUU589829 JEQ589829 JOM589829 JYI589829 KIE589829 KSA589829 LBW589829 LLS589829 LVO589829 MFK589829 MPG589829 MZC589829 NIY589829 NSU589829 OCQ589829 OMM589829 OWI589829 PGE589829 PQA589829 PZW589829 QJS589829 QTO589829 RDK589829 RNG589829 RXC589829 SGY589829 SQU589829 TAQ589829 TKM589829 TUI589829 UEE589829 UOA589829 UXW589829 VHS589829 VRO589829 WBK589829 WLG589829 WVC589829 TKM983045 IQ655365 SM655365 ACI655365 AME655365 AWA655365 BFW655365 BPS655365 BZO655365 CJK655365 CTG655365 DDC655365 DMY655365 DWU655365 EGQ655365 EQM655365 FAI655365 FKE655365 FUA655365 GDW655365 GNS655365 GXO655365 HHK655365 HRG655365 IBC655365 IKY655365 IUU655365 JEQ655365 JOM655365 JYI655365 KIE655365 KSA655365 LBW655365 LLS655365 LVO655365 MFK655365 MPG655365 MZC655365 NIY655365 NSU655365 OCQ655365 OMM655365 OWI655365 PGE655365 PQA655365 PZW655365 QJS655365 QTO655365 RDK655365 RNG655365 RXC655365 SGY655365 SQU655365 TAQ655365 TKM655365 TUI655365 UEE655365 UOA655365 UXW655365 VHS655365 VRO655365 WBK655365 WLG655365 WVC655365 TUI983045 IQ720901 SM720901 ACI720901 AME720901 AWA720901 BFW720901 BPS720901 BZO720901 CJK720901 CTG720901 DDC720901 DMY720901 DWU720901 EGQ720901 EQM720901 FAI720901 FKE720901 FUA720901 GDW720901 GNS720901 GXO720901 HHK720901 HRG720901 IBC720901 IKY720901 IUU720901 JEQ720901 JOM720901 JYI720901 KIE720901 KSA720901 LBW720901 LLS720901 LVO720901 MFK720901 MPG720901 MZC720901 NIY720901 NSU720901 OCQ720901 OMM720901 OWI720901 PGE720901 PQA720901 PZW720901 QJS720901 QTO720901 RDK720901 RNG720901 RXC720901 SGY720901 SQU720901 TAQ720901 TKM720901 TUI720901 UEE720901 UOA720901 UXW720901 VHS720901 VRO720901 WBK720901 WLG720901 WVC720901 UEE983045 IQ786437 SM786437 ACI786437 AME786437 AWA786437 BFW786437 BPS786437 BZO786437 CJK786437 CTG786437 DDC786437 DMY786437 DWU786437 EGQ786437 EQM786437 FAI786437 FKE786437 FUA786437 GDW786437 GNS786437 GXO786437 HHK786437 HRG786437 IBC786437 IKY786437 IUU786437 JEQ786437 JOM786437 JYI786437 KIE786437 KSA786437 LBW786437 LLS786437 LVO786437 MFK786437 MPG786437 MZC786437 NIY786437 NSU786437 OCQ786437 OMM786437 OWI786437 PGE786437 PQA786437 PZW786437 QJS786437 QTO786437 RDK786437 RNG786437 RXC786437 SGY786437 SQU786437 TAQ786437 TKM786437 TUI786437 UEE786437 UOA786437 UXW786437 VHS786437 VRO786437 WBK786437 WLG786437 WVC786437 UOA983045 IQ851973 SM851973 ACI851973 AME851973 AWA851973 BFW851973 BPS851973 BZO851973 CJK851973 CTG851973 DDC851973 DMY851973 DWU851973 EGQ851973 EQM851973 FAI851973 FKE851973 FUA851973 GDW851973 GNS851973 GXO851973 HHK851973 HRG851973 IBC851973 IKY851973 IUU851973 JEQ851973 JOM851973 JYI851973 KIE851973 KSA851973 LBW851973 LLS851973 LVO851973 MFK851973 MPG851973 MZC851973 NIY851973 NSU851973 OCQ851973 OMM851973 OWI851973 PGE851973 PQA851973 PZW851973 QJS851973 QTO851973 RDK851973 RNG851973 RXC851973 SGY851973 SQU851973 TAQ851973 TKM851973 TUI851973 UEE851973 UOA851973 UXW851973 VHS851973 VRO851973 WBK851973 WLG851973 WVC851973 UXW983045 IQ917509 SM917509 ACI917509 AME917509 AWA917509 BFW917509 BPS917509 BZO917509 CJK917509 CTG917509 DDC917509 DMY917509 DWU917509 EGQ917509 EQM917509 FAI917509 FKE917509 FUA917509 GDW917509 GNS917509 GXO917509 HHK917509 HRG917509 IBC917509 IKY917509 IUU917509 JEQ917509 JOM917509 JYI917509 KIE917509 KSA917509 LBW917509 LLS917509 LVO917509 MFK917509 MPG917509 MZC917509 NIY917509 NSU917509 OCQ917509 OMM917509 OWI917509 PGE917509 PQA917509 PZW917509 QJS917509 QTO917509 RDK917509 RNG917509 RXC917509 SGY917509 SQU917509 TAQ917509 TKM917509 TUI917509 UEE917509 UOA917509 UXW917509 VHS917509 VRO917509 WBK917509 WLG917509 WVC917509 B786437:C786437 B65572:C65572 B131108:C131108 B196644:C196644 B262180:C262180 B327716:C327716 B393252:C393252 B458788:C458788 B524324:C524324 B589860:C589860 B655396:C655396 B720932:C720932 B786468:C786468 B852004:C852004 B917540:C917540 B983076:C983076 B851973:C851973 B65600:C65600 B131136:C131136 B196672:C196672 B262208:C262208 B327744:C327744 B393280:C393280 B458816:C458816 B524352:C524352 B589888:C589888 B655424:C655424 B720960:C720960 B786496:C786496 B852032:C852032 B917568:C917568 B983104:C983104 B917509:C917509 B65628:C65628 B131164:C131164 B196700:C196700 B262236:C262236 B327772:C327772 B393308:C393308 B458844:C458844 B524380:C524380 B589916:C589916 B655452:C655452 B720988:C720988 B786524:C786524 B852060:C852060 B917596:C917596 B983132:C983132 B983045:C983045 B65541:C65541 B131077:C131077 B196613:C196613 B262149:C262149 B327685:C327685 B393221:C393221 B458757:C458757 B524293:C524293 B589829:C589829 B655365:C655365 B720901:C720901 B5 B36 B64 B92" xr:uid="{00000000-0002-0000-1300-000000000000}">
      <formula1>#REF!</formula1>
    </dataValidation>
  </dataValidations>
  <pageMargins left="0.7" right="0.7" top="0.75" bottom="0.75" header="0.3" footer="0.3"/>
  <pageSetup paperSize="9" scale="43" orientation="portrait" r:id="rId1"/>
  <rowBreaks count="1" manualBreakCount="1">
    <brk id="117" max="8"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1">
    <tabColor rgb="FFFF0000"/>
  </sheetPr>
  <dimension ref="A1:K140"/>
  <sheetViews>
    <sheetView showGridLines="0" view="pageBreakPreview" topLeftCell="BZ1" zoomScale="90" zoomScaleNormal="80" zoomScaleSheetLayoutView="90" workbookViewId="0">
      <selection activeCell="B10" sqref="B10"/>
    </sheetView>
  </sheetViews>
  <sheetFormatPr baseColWidth="10" defaultColWidth="10.26953125" defaultRowHeight="13" x14ac:dyDescent="0.3"/>
  <cols>
    <col min="1" max="1" width="49.81640625" style="141" customWidth="1"/>
    <col min="2" max="9" width="16.1796875" style="141" customWidth="1"/>
    <col min="249" max="249" width="49.81640625" customWidth="1"/>
    <col min="250" max="257" width="16.1796875" customWidth="1"/>
    <col min="258" max="258" width="12.453125" customWidth="1"/>
    <col min="505" max="505" width="49.81640625" customWidth="1"/>
    <col min="506" max="513" width="16.1796875" customWidth="1"/>
    <col min="514" max="514" width="12.453125" customWidth="1"/>
    <col min="761" max="761" width="49.81640625" customWidth="1"/>
    <col min="762" max="769" width="16.1796875" customWidth="1"/>
    <col min="770" max="770" width="12.453125" customWidth="1"/>
    <col min="1017" max="1017" width="49.81640625" customWidth="1"/>
    <col min="1018" max="1025" width="16.1796875" customWidth="1"/>
    <col min="1026" max="1026" width="12.453125" customWidth="1"/>
    <col min="1273" max="1273" width="49.81640625" customWidth="1"/>
    <col min="1274" max="1281" width="16.1796875" customWidth="1"/>
    <col min="1282" max="1282" width="12.453125" customWidth="1"/>
    <col min="1529" max="1529" width="49.81640625" customWidth="1"/>
    <col min="1530" max="1537" width="16.1796875" customWidth="1"/>
    <col min="1538" max="1538" width="12.453125" customWidth="1"/>
    <col min="1785" max="1785" width="49.81640625" customWidth="1"/>
    <col min="1786" max="1793" width="16.1796875" customWidth="1"/>
    <col min="1794" max="1794" width="12.453125" customWidth="1"/>
    <col min="2041" max="2041" width="49.81640625" customWidth="1"/>
    <col min="2042" max="2049" width="16.1796875" customWidth="1"/>
    <col min="2050" max="2050" width="12.453125" customWidth="1"/>
    <col min="2297" max="2297" width="49.81640625" customWidth="1"/>
    <col min="2298" max="2305" width="16.1796875" customWidth="1"/>
    <col min="2306" max="2306" width="12.453125" customWidth="1"/>
    <col min="2553" max="2553" width="49.81640625" customWidth="1"/>
    <col min="2554" max="2561" width="16.1796875" customWidth="1"/>
    <col min="2562" max="2562" width="12.453125" customWidth="1"/>
    <col min="2809" max="2809" width="49.81640625" customWidth="1"/>
    <col min="2810" max="2817" width="16.1796875" customWidth="1"/>
    <col min="2818" max="2818" width="12.453125" customWidth="1"/>
    <col min="3065" max="3065" width="49.81640625" customWidth="1"/>
    <col min="3066" max="3073" width="16.1796875" customWidth="1"/>
    <col min="3074" max="3074" width="12.453125" customWidth="1"/>
    <col min="3321" max="3321" width="49.81640625" customWidth="1"/>
    <col min="3322" max="3329" width="16.1796875" customWidth="1"/>
    <col min="3330" max="3330" width="12.453125" customWidth="1"/>
    <col min="3577" max="3577" width="49.81640625" customWidth="1"/>
    <col min="3578" max="3585" width="16.1796875" customWidth="1"/>
    <col min="3586" max="3586" width="12.453125" customWidth="1"/>
    <col min="3833" max="3833" width="49.81640625" customWidth="1"/>
    <col min="3834" max="3841" width="16.1796875" customWidth="1"/>
    <col min="3842" max="3842" width="12.453125" customWidth="1"/>
    <col min="4089" max="4089" width="49.81640625" customWidth="1"/>
    <col min="4090" max="4097" width="16.1796875" customWidth="1"/>
    <col min="4098" max="4098" width="12.453125" customWidth="1"/>
    <col min="4345" max="4345" width="49.81640625" customWidth="1"/>
    <col min="4346" max="4353" width="16.1796875" customWidth="1"/>
    <col min="4354" max="4354" width="12.453125" customWidth="1"/>
    <col min="4601" max="4601" width="49.81640625" customWidth="1"/>
    <col min="4602" max="4609" width="16.1796875" customWidth="1"/>
    <col min="4610" max="4610" width="12.453125" customWidth="1"/>
    <col min="4857" max="4857" width="49.81640625" customWidth="1"/>
    <col min="4858" max="4865" width="16.1796875" customWidth="1"/>
    <col min="4866" max="4866" width="12.453125" customWidth="1"/>
    <col min="5113" max="5113" width="49.81640625" customWidth="1"/>
    <col min="5114" max="5121" width="16.1796875" customWidth="1"/>
    <col min="5122" max="5122" width="12.453125" customWidth="1"/>
    <col min="5369" max="5369" width="49.81640625" customWidth="1"/>
    <col min="5370" max="5377" width="16.1796875" customWidth="1"/>
    <col min="5378" max="5378" width="12.453125" customWidth="1"/>
    <col min="5625" max="5625" width="49.81640625" customWidth="1"/>
    <col min="5626" max="5633" width="16.1796875" customWidth="1"/>
    <col min="5634" max="5634" width="12.453125" customWidth="1"/>
    <col min="5881" max="5881" width="49.81640625" customWidth="1"/>
    <col min="5882" max="5889" width="16.1796875" customWidth="1"/>
    <col min="5890" max="5890" width="12.453125" customWidth="1"/>
    <col min="6137" max="6137" width="49.81640625" customWidth="1"/>
    <col min="6138" max="6145" width="16.1796875" customWidth="1"/>
    <col min="6146" max="6146" width="12.453125" customWidth="1"/>
    <col min="6393" max="6393" width="49.81640625" customWidth="1"/>
    <col min="6394" max="6401" width="16.1796875" customWidth="1"/>
    <col min="6402" max="6402" width="12.453125" customWidth="1"/>
    <col min="6649" max="6649" width="49.81640625" customWidth="1"/>
    <col min="6650" max="6657" width="16.1796875" customWidth="1"/>
    <col min="6658" max="6658" width="12.453125" customWidth="1"/>
    <col min="6905" max="6905" width="49.81640625" customWidth="1"/>
    <col min="6906" max="6913" width="16.1796875" customWidth="1"/>
    <col min="6914" max="6914" width="12.453125" customWidth="1"/>
    <col min="7161" max="7161" width="49.81640625" customWidth="1"/>
    <col min="7162" max="7169" width="16.1796875" customWidth="1"/>
    <col min="7170" max="7170" width="12.453125" customWidth="1"/>
    <col min="7417" max="7417" width="49.81640625" customWidth="1"/>
    <col min="7418" max="7425" width="16.1796875" customWidth="1"/>
    <col min="7426" max="7426" width="12.453125" customWidth="1"/>
    <col min="7673" max="7673" width="49.81640625" customWidth="1"/>
    <col min="7674" max="7681" width="16.1796875" customWidth="1"/>
    <col min="7682" max="7682" width="12.453125" customWidth="1"/>
    <col min="7929" max="7929" width="49.81640625" customWidth="1"/>
    <col min="7930" max="7937" width="16.1796875" customWidth="1"/>
    <col min="7938" max="7938" width="12.453125" customWidth="1"/>
    <col min="8185" max="8185" width="49.81640625" customWidth="1"/>
    <col min="8186" max="8193" width="16.1796875" customWidth="1"/>
    <col min="8194" max="8194" width="12.453125" customWidth="1"/>
    <col min="8441" max="8441" width="49.81640625" customWidth="1"/>
    <col min="8442" max="8449" width="16.1796875" customWidth="1"/>
    <col min="8450" max="8450" width="12.453125" customWidth="1"/>
    <col min="8697" max="8697" width="49.81640625" customWidth="1"/>
    <col min="8698" max="8705" width="16.1796875" customWidth="1"/>
    <col min="8706" max="8706" width="12.453125" customWidth="1"/>
    <col min="8953" max="8953" width="49.81640625" customWidth="1"/>
    <col min="8954" max="8961" width="16.1796875" customWidth="1"/>
    <col min="8962" max="8962" width="12.453125" customWidth="1"/>
    <col min="9209" max="9209" width="49.81640625" customWidth="1"/>
    <col min="9210" max="9217" width="16.1796875" customWidth="1"/>
    <col min="9218" max="9218" width="12.453125" customWidth="1"/>
    <col min="9465" max="9465" width="49.81640625" customWidth="1"/>
    <col min="9466" max="9473" width="16.1796875" customWidth="1"/>
    <col min="9474" max="9474" width="12.453125" customWidth="1"/>
    <col min="9721" max="9721" width="49.81640625" customWidth="1"/>
    <col min="9722" max="9729" width="16.1796875" customWidth="1"/>
    <col min="9730" max="9730" width="12.453125" customWidth="1"/>
    <col min="9977" max="9977" width="49.81640625" customWidth="1"/>
    <col min="9978" max="9985" width="16.1796875" customWidth="1"/>
    <col min="9986" max="9986" width="12.453125" customWidth="1"/>
    <col min="10233" max="10233" width="49.81640625" customWidth="1"/>
    <col min="10234" max="10241" width="16.1796875" customWidth="1"/>
    <col min="10242" max="10242" width="12.453125" customWidth="1"/>
    <col min="10489" max="10489" width="49.81640625" customWidth="1"/>
    <col min="10490" max="10497" width="16.1796875" customWidth="1"/>
    <col min="10498" max="10498" width="12.453125" customWidth="1"/>
    <col min="10745" max="10745" width="49.81640625" customWidth="1"/>
    <col min="10746" max="10753" width="16.1796875" customWidth="1"/>
    <col min="10754" max="10754" width="12.453125" customWidth="1"/>
    <col min="11001" max="11001" width="49.81640625" customWidth="1"/>
    <col min="11002" max="11009" width="16.1796875" customWidth="1"/>
    <col min="11010" max="11010" width="12.453125" customWidth="1"/>
    <col min="11257" max="11257" width="49.81640625" customWidth="1"/>
    <col min="11258" max="11265" width="16.1796875" customWidth="1"/>
    <col min="11266" max="11266" width="12.453125" customWidth="1"/>
    <col min="11513" max="11513" width="49.81640625" customWidth="1"/>
    <col min="11514" max="11521" width="16.1796875" customWidth="1"/>
    <col min="11522" max="11522" width="12.453125" customWidth="1"/>
    <col min="11769" max="11769" width="49.81640625" customWidth="1"/>
    <col min="11770" max="11777" width="16.1796875" customWidth="1"/>
    <col min="11778" max="11778" width="12.453125" customWidth="1"/>
    <col min="12025" max="12025" width="49.81640625" customWidth="1"/>
    <col min="12026" max="12033" width="16.1796875" customWidth="1"/>
    <col min="12034" max="12034" width="12.453125" customWidth="1"/>
    <col min="12281" max="12281" width="49.81640625" customWidth="1"/>
    <col min="12282" max="12289" width="16.1796875" customWidth="1"/>
    <col min="12290" max="12290" width="12.453125" customWidth="1"/>
    <col min="12537" max="12537" width="49.81640625" customWidth="1"/>
    <col min="12538" max="12545" width="16.1796875" customWidth="1"/>
    <col min="12546" max="12546" width="12.453125" customWidth="1"/>
    <col min="12793" max="12793" width="49.81640625" customWidth="1"/>
    <col min="12794" max="12801" width="16.1796875" customWidth="1"/>
    <col min="12802" max="12802" width="12.453125" customWidth="1"/>
    <col min="13049" max="13049" width="49.81640625" customWidth="1"/>
    <col min="13050" max="13057" width="16.1796875" customWidth="1"/>
    <col min="13058" max="13058" width="12.453125" customWidth="1"/>
    <col min="13305" max="13305" width="49.81640625" customWidth="1"/>
    <col min="13306" max="13313" width="16.1796875" customWidth="1"/>
    <col min="13314" max="13314" width="12.453125" customWidth="1"/>
    <col min="13561" max="13561" width="49.81640625" customWidth="1"/>
    <col min="13562" max="13569" width="16.1796875" customWidth="1"/>
    <col min="13570" max="13570" width="12.453125" customWidth="1"/>
    <col min="13817" max="13817" width="49.81640625" customWidth="1"/>
    <col min="13818" max="13825" width="16.1796875" customWidth="1"/>
    <col min="13826" max="13826" width="12.453125" customWidth="1"/>
    <col min="14073" max="14073" width="49.81640625" customWidth="1"/>
    <col min="14074" max="14081" width="16.1796875" customWidth="1"/>
    <col min="14082" max="14082" width="12.453125" customWidth="1"/>
    <col min="14329" max="14329" width="49.81640625" customWidth="1"/>
    <col min="14330" max="14337" width="16.1796875" customWidth="1"/>
    <col min="14338" max="14338" width="12.453125" customWidth="1"/>
    <col min="14585" max="14585" width="49.81640625" customWidth="1"/>
    <col min="14586" max="14593" width="16.1796875" customWidth="1"/>
    <col min="14594" max="14594" width="12.453125" customWidth="1"/>
    <col min="14841" max="14841" width="49.81640625" customWidth="1"/>
    <col min="14842" max="14849" width="16.1796875" customWidth="1"/>
    <col min="14850" max="14850" width="12.453125" customWidth="1"/>
    <col min="15097" max="15097" width="49.81640625" customWidth="1"/>
    <col min="15098" max="15105" width="16.1796875" customWidth="1"/>
    <col min="15106" max="15106" width="12.453125" customWidth="1"/>
    <col min="15353" max="15353" width="49.81640625" customWidth="1"/>
    <col min="15354" max="15361" width="16.1796875" customWidth="1"/>
    <col min="15362" max="15362" width="12.453125" customWidth="1"/>
    <col min="15609" max="15609" width="49.81640625" customWidth="1"/>
    <col min="15610" max="15617" width="16.1796875" customWidth="1"/>
    <col min="15618" max="15618" width="12.453125" customWidth="1"/>
    <col min="15865" max="15865" width="49.81640625" customWidth="1"/>
    <col min="15866" max="15873" width="16.1796875" customWidth="1"/>
    <col min="15874" max="15874" width="12.453125" customWidth="1"/>
    <col min="16121" max="16121" width="49.81640625" customWidth="1"/>
    <col min="16122" max="16129" width="16.1796875" customWidth="1"/>
    <col min="16130" max="16130" width="12.453125" customWidth="1"/>
  </cols>
  <sheetData>
    <row r="1" spans="1:11" ht="14" x14ac:dyDescent="0.3">
      <c r="A1" s="65" t="s">
        <v>101</v>
      </c>
      <c r="B1" s="66"/>
      <c r="C1" s="66"/>
      <c r="D1" s="66"/>
      <c r="E1" s="66"/>
      <c r="F1" s="66"/>
      <c r="G1" s="66"/>
      <c r="H1" s="66"/>
      <c r="I1" s="66"/>
    </row>
    <row r="2" spans="1:11" ht="12.5" x14ac:dyDescent="0.25">
      <c r="A2" s="66"/>
      <c r="B2" s="66"/>
      <c r="C2" s="66"/>
      <c r="D2" s="66"/>
      <c r="E2" s="66"/>
      <c r="F2" s="66"/>
      <c r="G2" s="66"/>
      <c r="H2" s="66"/>
      <c r="I2" s="66"/>
    </row>
    <row r="3" spans="1:11" ht="12.5" x14ac:dyDescent="0.25">
      <c r="A3" s="800" t="s">
        <v>146</v>
      </c>
      <c r="B3" s="800"/>
      <c r="C3" s="800"/>
      <c r="D3" s="800"/>
      <c r="E3" s="800"/>
      <c r="F3" s="66"/>
      <c r="G3" s="66"/>
      <c r="H3" s="66"/>
      <c r="I3" s="66"/>
    </row>
    <row r="4" spans="1:11" ht="12.5" x14ac:dyDescent="0.25">
      <c r="A4" s="66"/>
      <c r="B4" s="66"/>
      <c r="C4" s="66"/>
      <c r="D4" s="66"/>
      <c r="E4" s="66"/>
      <c r="F4" s="66"/>
      <c r="G4" s="66"/>
      <c r="H4" s="66"/>
      <c r="I4" s="66"/>
    </row>
    <row r="5" spans="1:11" ht="17.149999999999999" customHeight="1" thickBot="1" x14ac:dyDescent="0.35">
      <c r="A5" s="404" t="s">
        <v>103</v>
      </c>
      <c r="B5" s="836"/>
      <c r="C5" s="836"/>
      <c r="D5" s="68"/>
      <c r="E5" s="68"/>
      <c r="F5" s="66"/>
      <c r="G5" s="66"/>
      <c r="H5" s="66"/>
      <c r="I5" s="66"/>
      <c r="J5" s="141"/>
    </row>
    <row r="6" spans="1:11" ht="17.149999999999999" customHeight="1" thickBot="1" x14ac:dyDescent="0.35">
      <c r="A6" s="500" t="s">
        <v>104</v>
      </c>
      <c r="B6" s="413" t="s">
        <v>153</v>
      </c>
      <c r="C6" s="501"/>
      <c r="D6" s="502" t="s">
        <v>106</v>
      </c>
      <c r="E6" s="503"/>
      <c r="F6" s="413" t="s">
        <v>107</v>
      </c>
      <c r="G6" s="414"/>
      <c r="H6" s="414"/>
      <c r="I6" s="415"/>
      <c r="J6" s="141"/>
    </row>
    <row r="7" spans="1:11" ht="17.149999999999999" customHeight="1" thickBot="1" x14ac:dyDescent="0.35">
      <c r="A7" s="504" t="s">
        <v>108</v>
      </c>
      <c r="B7" s="417">
        <v>2025</v>
      </c>
      <c r="C7" s="418">
        <v>2024</v>
      </c>
      <c r="D7" s="417">
        <v>2025</v>
      </c>
      <c r="E7" s="418">
        <v>2024</v>
      </c>
      <c r="F7" s="413" t="s">
        <v>105</v>
      </c>
      <c r="G7" s="415"/>
      <c r="H7" s="413" t="s">
        <v>106</v>
      </c>
      <c r="I7" s="415"/>
      <c r="J7" s="141"/>
    </row>
    <row r="8" spans="1:11" ht="17.149999999999999" customHeight="1" x14ac:dyDescent="0.3">
      <c r="A8" s="505" t="s">
        <v>109</v>
      </c>
      <c r="B8" s="506"/>
      <c r="C8" s="507"/>
      <c r="D8" s="508"/>
      <c r="E8" s="509"/>
      <c r="F8" s="425" t="s">
        <v>110</v>
      </c>
      <c r="G8" s="425" t="s">
        <v>111</v>
      </c>
      <c r="H8" s="425" t="s">
        <v>112</v>
      </c>
      <c r="I8" s="425" t="s">
        <v>111</v>
      </c>
      <c r="J8" s="141"/>
    </row>
    <row r="9" spans="1:11" ht="17.149999999999999" customHeight="1" thickBot="1" x14ac:dyDescent="0.35">
      <c r="A9" s="510"/>
      <c r="B9" s="511"/>
      <c r="C9" s="512"/>
      <c r="D9" s="513"/>
      <c r="E9" s="514"/>
      <c r="F9" s="432"/>
      <c r="G9" s="432"/>
      <c r="H9" s="432"/>
      <c r="I9" s="432"/>
      <c r="J9" s="141"/>
    </row>
    <row r="10" spans="1:11" ht="17.149999999999999" customHeight="1" thickBot="1" x14ac:dyDescent="0.35">
      <c r="A10" s="515" t="s">
        <v>113</v>
      </c>
      <c r="B10" s="516"/>
      <c r="C10" s="517"/>
      <c r="D10" s="518"/>
      <c r="E10" s="519"/>
      <c r="F10" s="520"/>
      <c r="G10" s="520"/>
      <c r="H10" s="520"/>
      <c r="I10" s="521"/>
      <c r="J10" s="141"/>
    </row>
    <row r="11" spans="1:11" ht="17.149999999999999" customHeight="1" x14ac:dyDescent="0.3">
      <c r="A11" s="694" t="s">
        <v>114</v>
      </c>
      <c r="B11" s="522">
        <f>B12+B13+B17</f>
        <v>2870929.124513342</v>
      </c>
      <c r="C11" s="522">
        <f>C12+C13+C17</f>
        <v>2374846.4179666685</v>
      </c>
      <c r="D11" s="522">
        <f>D12+D13+D17</f>
        <v>12681</v>
      </c>
      <c r="E11" s="522">
        <f>E12+E13+E17</f>
        <v>10600</v>
      </c>
      <c r="F11" s="522">
        <f>B11-C11</f>
        <v>496082.70654667355</v>
      </c>
      <c r="G11" s="522">
        <f>IF(C11&lt;&gt;0,(B11-C11)/C11)*100</f>
        <v>20.889043720621608</v>
      </c>
      <c r="H11" s="522">
        <f>D11-E11</f>
        <v>2081</v>
      </c>
      <c r="I11" s="522">
        <f>IF(E11&lt;&gt;0,(D11-E11)/E11)*100</f>
        <v>19.632075471698112</v>
      </c>
      <c r="J11" s="141"/>
      <c r="K11">
        <v>1000</v>
      </c>
    </row>
    <row r="12" spans="1:11" ht="17.149999999999999" customHeight="1" x14ac:dyDescent="0.3">
      <c r="A12" s="694" t="s">
        <v>115</v>
      </c>
      <c r="B12" s="695">
        <f>(+[10]Déclaré!B12)/1000</f>
        <v>1477587.7146600005</v>
      </c>
      <c r="C12" s="696">
        <f>(+[11]Déclaré!B12)/1000</f>
        <v>1209540.0634300001</v>
      </c>
      <c r="D12" s="695">
        <f>[10]Déclaré!D12</f>
        <v>5490</v>
      </c>
      <c r="E12" s="696">
        <f>+[11]Déclaré!D12</f>
        <v>5091</v>
      </c>
      <c r="F12" s="644">
        <f>B12-C12</f>
        <v>268047.65123000043</v>
      </c>
      <c r="G12" s="697">
        <f>IF(C12&lt;&gt;0,(B12-C12)/C12)*100</f>
        <v>22.161122176463831</v>
      </c>
      <c r="H12" s="644">
        <f>D12-E12</f>
        <v>399</v>
      </c>
      <c r="I12" s="697">
        <f>IF(E12&lt;&gt;0,(D12-E12)/E12)*100</f>
        <v>7.8373600471420151</v>
      </c>
      <c r="J12" s="141"/>
    </row>
    <row r="13" spans="1:11" ht="17.149999999999999" customHeight="1" x14ac:dyDescent="0.3">
      <c r="A13" s="694" t="s">
        <v>116</v>
      </c>
      <c r="B13" s="695">
        <f>B14-B15-B16</f>
        <v>1393341.4098533413</v>
      </c>
      <c r="C13" s="695">
        <f>C14-C15-C16</f>
        <v>1165306.3545366684</v>
      </c>
      <c r="D13" s="695">
        <f>[10]Déclaré!D13</f>
        <v>7191</v>
      </c>
      <c r="E13" s="696">
        <f>+[11]Déclaré!D13</f>
        <v>5509</v>
      </c>
      <c r="F13" s="644">
        <f>B13-C13</f>
        <v>228035.05531667289</v>
      </c>
      <c r="G13" s="697">
        <f t="shared" ref="G13:G19" si="0">IF(C13&lt;&gt;0,(B13-C13)/C13)*100</f>
        <v>19.56867860789627</v>
      </c>
      <c r="H13" s="644">
        <f>D13-E13</f>
        <v>1682</v>
      </c>
      <c r="I13" s="697">
        <f>IF(E13&lt;&gt;0,(D13-E13)/E13)*100</f>
        <v>30.531856961335997</v>
      </c>
      <c r="J13" s="141"/>
    </row>
    <row r="14" spans="1:11" ht="17.149999999999999" customHeight="1" x14ac:dyDescent="0.3">
      <c r="A14" s="698" t="s">
        <v>117</v>
      </c>
      <c r="B14" s="695">
        <f>(+[10]Déclaré!B14)/1000</f>
        <v>1992951.3404200077</v>
      </c>
      <c r="C14" s="696">
        <f>(+[11]Déclaré!B14)/1000</f>
        <v>1632506.9418700011</v>
      </c>
      <c r="D14" s="695">
        <f>[10]Déclaré!D14</f>
        <v>0</v>
      </c>
      <c r="E14" s="696"/>
      <c r="F14" s="644"/>
      <c r="G14" s="699"/>
      <c r="H14" s="644"/>
      <c r="I14" s="699"/>
      <c r="J14" s="141"/>
    </row>
    <row r="15" spans="1:11" ht="17.149999999999999" customHeight="1" x14ac:dyDescent="0.3">
      <c r="A15" s="698" t="s">
        <v>118</v>
      </c>
      <c r="B15" s="695">
        <f>(+[10]Déclaré!B15)/1000</f>
        <v>93084.262616666208</v>
      </c>
      <c r="C15" s="696">
        <f>(+[11]Déclaré!B15)/1000</f>
        <v>88645.048349999925</v>
      </c>
      <c r="D15" s="695">
        <f>[10]Déclaré!D15</f>
        <v>0</v>
      </c>
      <c r="E15" s="696"/>
      <c r="F15" s="644"/>
      <c r="G15" s="699"/>
      <c r="H15" s="644"/>
      <c r="I15" s="699"/>
      <c r="J15" s="141"/>
    </row>
    <row r="16" spans="1:11" ht="17.149999999999999" customHeight="1" x14ac:dyDescent="0.3">
      <c r="A16" s="698" t="s">
        <v>119</v>
      </c>
      <c r="B16" s="695">
        <f>(+[10]Déclaré!B16)/1000</f>
        <v>506525.66795000009</v>
      </c>
      <c r="C16" s="696">
        <f>(+[11]Déclaré!B16)/1000</f>
        <v>378555.53898333304</v>
      </c>
      <c r="D16" s="695">
        <f>[10]Déclaré!D16</f>
        <v>0</v>
      </c>
      <c r="E16" s="696"/>
      <c r="F16" s="644"/>
      <c r="G16" s="699"/>
      <c r="H16" s="644"/>
      <c r="I16" s="699"/>
      <c r="J16" s="141"/>
    </row>
    <row r="17" spans="1:10" ht="17.149999999999999" customHeight="1" x14ac:dyDescent="0.3">
      <c r="A17" s="700" t="s">
        <v>120</v>
      </c>
      <c r="B17" s="695">
        <f>(+[10]Déclaré!B17)/1000</f>
        <v>0</v>
      </c>
      <c r="C17" s="696">
        <f>(+[11]Déclaré!B17)/1000</f>
        <v>0</v>
      </c>
      <c r="D17" s="695">
        <f>[10]Déclaré!D17</f>
        <v>0</v>
      </c>
      <c r="E17" s="696">
        <v>0</v>
      </c>
      <c r="F17" s="644">
        <f>B17-C17</f>
        <v>0</v>
      </c>
      <c r="G17" s="697">
        <f t="shared" si="0"/>
        <v>0</v>
      </c>
      <c r="H17" s="644">
        <f>D17-E17</f>
        <v>0</v>
      </c>
      <c r="I17" s="697">
        <f>IF(E17&lt;&gt;0,(D17-E17)/E17)*100</f>
        <v>0</v>
      </c>
      <c r="J17" s="141"/>
    </row>
    <row r="18" spans="1:10" ht="17.149999999999999" customHeight="1" x14ac:dyDescent="0.3">
      <c r="A18" s="694" t="s">
        <v>121</v>
      </c>
      <c r="B18" s="695">
        <f>(+[10]Déclaré!B18)/1000</f>
        <v>1143.1022999999998</v>
      </c>
      <c r="C18" s="696">
        <f>(+[11]Déclaré!B18)/1000</f>
        <v>2242.694</v>
      </c>
      <c r="D18" s="695">
        <f>[10]Déclaré!D18</f>
        <v>118</v>
      </c>
      <c r="E18" s="696">
        <f>+[11]Déclaré!D18</f>
        <v>152</v>
      </c>
      <c r="F18" s="644">
        <f>B18-C18</f>
        <v>-1099.5917000000002</v>
      </c>
      <c r="G18" s="697">
        <f t="shared" si="0"/>
        <v>-49.029947910860791</v>
      </c>
      <c r="H18" s="644">
        <f>D18-E18</f>
        <v>-34</v>
      </c>
      <c r="I18" s="697">
        <f>IF(E18&lt;&gt;0,(D18-E18)/E18)*100</f>
        <v>-22.368421052631579</v>
      </c>
      <c r="J18" s="141"/>
    </row>
    <row r="19" spans="1:10" ht="17.149999999999999" customHeight="1" thickBot="1" x14ac:dyDescent="0.35">
      <c r="A19" s="701" t="s">
        <v>122</v>
      </c>
      <c r="B19" s="695">
        <f>(+[10]Déclaré!B19)/1000</f>
        <v>0</v>
      </c>
      <c r="C19" s="696">
        <f>(+[11]Déclaré!B19)/1000</f>
        <v>0</v>
      </c>
      <c r="D19" s="695">
        <f>[10]Déclaré!D19</f>
        <v>0</v>
      </c>
      <c r="E19" s="702">
        <v>0</v>
      </c>
      <c r="F19" s="644">
        <f>B19-C19</f>
        <v>0</v>
      </c>
      <c r="G19" s="703">
        <f t="shared" si="0"/>
        <v>0</v>
      </c>
      <c r="H19" s="644">
        <f>D19-E19</f>
        <v>0</v>
      </c>
      <c r="I19" s="703">
        <f>IF(E19&lt;&gt;0,(D19-E19)/E19)*100</f>
        <v>0</v>
      </c>
      <c r="J19" s="141"/>
    </row>
    <row r="20" spans="1:10" ht="17.149999999999999" customHeight="1" thickBot="1" x14ac:dyDescent="0.35">
      <c r="A20" s="523" t="s">
        <v>123</v>
      </c>
      <c r="B20" s="494">
        <f>B11+B18+B19</f>
        <v>2872072.226813342</v>
      </c>
      <c r="C20" s="494">
        <f>C11+C18+C19</f>
        <v>2377089.1119666686</v>
      </c>
      <c r="D20" s="494">
        <f>D11+D18+D19</f>
        <v>12799</v>
      </c>
      <c r="E20" s="494">
        <f>E11+E18+E19</f>
        <v>10752</v>
      </c>
      <c r="F20" s="524">
        <f>F11+F18+F19</f>
        <v>494983.11484667356</v>
      </c>
      <c r="G20" s="525">
        <f>IF(C20&lt;&gt;0,(B20-C20)/C20)*100</f>
        <v>20.823077786812643</v>
      </c>
      <c r="H20" s="524">
        <f>H11+H18+H19</f>
        <v>2047</v>
      </c>
      <c r="I20" s="525">
        <f>IF(E20&lt;&gt;0,(D20-E20)/E20)*100</f>
        <v>19.038318452380953</v>
      </c>
      <c r="J20" s="141"/>
    </row>
    <row r="21" spans="1:10" ht="17.149999999999999" customHeight="1" thickBot="1" x14ac:dyDescent="0.35">
      <c r="A21" s="526" t="s">
        <v>109</v>
      </c>
      <c r="B21" s="527"/>
      <c r="C21" s="528"/>
      <c r="D21" s="527"/>
      <c r="E21" s="528"/>
      <c r="F21" s="529"/>
      <c r="G21" s="529"/>
      <c r="H21" s="529"/>
      <c r="I21" s="530"/>
      <c r="J21" s="141"/>
    </row>
    <row r="22" spans="1:10" ht="17.149999999999999" customHeight="1" x14ac:dyDescent="0.3">
      <c r="A22" s="704" t="s">
        <v>124</v>
      </c>
      <c r="B22" s="705"/>
      <c r="C22" s="706"/>
      <c r="D22" s="705"/>
      <c r="E22" s="706"/>
      <c r="F22" s="707"/>
      <c r="G22" s="708"/>
      <c r="H22" s="708"/>
      <c r="I22" s="709"/>
      <c r="J22" s="141"/>
    </row>
    <row r="23" spans="1:10" ht="17.149999999999999" customHeight="1" x14ac:dyDescent="0.3">
      <c r="A23" s="694" t="s">
        <v>125</v>
      </c>
      <c r="B23" s="710">
        <f>SUM(B24:B27)</f>
        <v>427944.80401999998</v>
      </c>
      <c r="C23" s="710">
        <f>SUM(C24:C27)</f>
        <v>365996.13644999999</v>
      </c>
      <c r="D23" s="710">
        <f>SUM(D24:D27)</f>
        <v>4623</v>
      </c>
      <c r="E23" s="710">
        <f>SUM(E24:E27)</f>
        <v>5361</v>
      </c>
      <c r="F23" s="711">
        <f t="shared" ref="F23:F28" si="1">B23-C23</f>
        <v>61948.667569999991</v>
      </c>
      <c r="G23" s="712">
        <f t="shared" ref="G23:G28" si="2">IF(C23&lt;&gt;0,(B23-C23)/C23)*100</f>
        <v>16.926044130103275</v>
      </c>
      <c r="H23" s="711">
        <f t="shared" ref="H23:H28" si="3">D23-E23</f>
        <v>-738</v>
      </c>
      <c r="I23" s="712">
        <f t="shared" ref="I23:I28" si="4">IF(E23&lt;&gt;0,(D23-E23)/E23)*100</f>
        <v>-13.766088416340235</v>
      </c>
      <c r="J23" s="141"/>
    </row>
    <row r="24" spans="1:10" ht="17.149999999999999" customHeight="1" x14ac:dyDescent="0.3">
      <c r="A24" s="694" t="s">
        <v>126</v>
      </c>
      <c r="B24" s="695">
        <f>[10]V1!$B$24/1000</f>
        <v>69775.158639999994</v>
      </c>
      <c r="C24" s="696">
        <f>[11]V1!$B$24/1000</f>
        <v>94865.97258999999</v>
      </c>
      <c r="D24" s="695">
        <f>[10]V1!$D$24</f>
        <v>1728</v>
      </c>
      <c r="E24" s="696">
        <f>+[11]Déclaré!D24</f>
        <v>2536.6999999999998</v>
      </c>
      <c r="F24" s="644">
        <f t="shared" si="1"/>
        <v>-25090.813949999996</v>
      </c>
      <c r="G24" s="697">
        <f t="shared" si="2"/>
        <v>-26.448697319996555</v>
      </c>
      <c r="H24" s="644">
        <f t="shared" si="3"/>
        <v>-808.69999999999982</v>
      </c>
      <c r="I24" s="697">
        <f t="shared" si="4"/>
        <v>-31.880001576851814</v>
      </c>
      <c r="J24" s="141"/>
    </row>
    <row r="25" spans="1:10" ht="17.149999999999999" customHeight="1" x14ac:dyDescent="0.3">
      <c r="A25" s="694" t="s">
        <v>127</v>
      </c>
      <c r="B25" s="695">
        <f>[10]V1!$B$25/1000</f>
        <v>56340.571200000013</v>
      </c>
      <c r="C25" s="696">
        <f>[11]V1!$B$25/1000</f>
        <v>58514.491979999984</v>
      </c>
      <c r="D25" s="695">
        <f>[10]V1!$D$25</f>
        <v>1889</v>
      </c>
      <c r="E25" s="696">
        <f>+[11]Déclaré!D25</f>
        <v>1544</v>
      </c>
      <c r="F25" s="644">
        <f t="shared" si="1"/>
        <v>-2173.9207799999713</v>
      </c>
      <c r="G25" s="697">
        <f t="shared" si="2"/>
        <v>-3.7151835493043475</v>
      </c>
      <c r="H25" s="644">
        <f t="shared" si="3"/>
        <v>345</v>
      </c>
      <c r="I25" s="697">
        <f t="shared" si="4"/>
        <v>22.344559585492227</v>
      </c>
      <c r="J25" s="141"/>
    </row>
    <row r="26" spans="1:10" ht="17.149999999999999" customHeight="1" x14ac:dyDescent="0.3">
      <c r="A26" s="713" t="s">
        <v>128</v>
      </c>
      <c r="B26" s="695">
        <f>[10]V1!$B$26/1000</f>
        <v>715.67445999999995</v>
      </c>
      <c r="C26" s="696">
        <f>[11]V1!$B$26/1000</f>
        <v>1396.0064100000002</v>
      </c>
      <c r="D26" s="695">
        <f>[10]V1!$D$26</f>
        <v>16</v>
      </c>
      <c r="E26" s="696">
        <f>+[11]Déclaré!D26</f>
        <v>262.98</v>
      </c>
      <c r="F26" s="644">
        <f t="shared" si="1"/>
        <v>-680.33195000000023</v>
      </c>
      <c r="G26" s="697">
        <f t="shared" si="2"/>
        <v>-48.734156600326791</v>
      </c>
      <c r="H26" s="644">
        <f t="shared" si="3"/>
        <v>-246.98000000000002</v>
      </c>
      <c r="I26" s="697">
        <f t="shared" si="4"/>
        <v>-93.915887139706442</v>
      </c>
      <c r="J26" s="141"/>
    </row>
    <row r="27" spans="1:10" ht="17.149999999999999" customHeight="1" x14ac:dyDescent="0.3">
      <c r="A27" s="694" t="s">
        <v>129</v>
      </c>
      <c r="B27" s="695">
        <f>[10]V1!$B$27/1000</f>
        <v>301113.39971999999</v>
      </c>
      <c r="C27" s="696">
        <f>[11]V1!$B$27/1000</f>
        <v>211219.66547000001</v>
      </c>
      <c r="D27" s="695">
        <f>[10]V1!$D$27</f>
        <v>990</v>
      </c>
      <c r="E27" s="696">
        <f>+[11]Déclaré!D27</f>
        <v>1017.32</v>
      </c>
      <c r="F27" s="644">
        <f t="shared" si="1"/>
        <v>89893.73424999998</v>
      </c>
      <c r="G27" s="697">
        <f t="shared" si="2"/>
        <v>42.559358310681439</v>
      </c>
      <c r="H27" s="644">
        <f t="shared" si="3"/>
        <v>-27.32000000000005</v>
      </c>
      <c r="I27" s="697">
        <f t="shared" si="4"/>
        <v>-2.6854873589431101</v>
      </c>
      <c r="J27" s="141"/>
    </row>
    <row r="28" spans="1:10" ht="17.149999999999999" customHeight="1" x14ac:dyDescent="0.3">
      <c r="A28" s="694" t="s">
        <v>130</v>
      </c>
      <c r="B28" s="695">
        <v>0</v>
      </c>
      <c r="C28" s="696">
        <f>(+[11]Déclaré!B28)/1000</f>
        <v>0</v>
      </c>
      <c r="D28" s="695">
        <v>0</v>
      </c>
      <c r="E28" s="696">
        <f>+[11]Déclaré!D28</f>
        <v>0</v>
      </c>
      <c r="F28" s="644">
        <f t="shared" si="1"/>
        <v>0</v>
      </c>
      <c r="G28" s="697">
        <f t="shared" si="2"/>
        <v>0</v>
      </c>
      <c r="H28" s="644">
        <f t="shared" si="3"/>
        <v>0</v>
      </c>
      <c r="I28" s="697">
        <f t="shared" si="4"/>
        <v>0</v>
      </c>
      <c r="J28" s="141"/>
    </row>
    <row r="29" spans="1:10" ht="17.149999999999999" customHeight="1" x14ac:dyDescent="0.3">
      <c r="A29" s="694"/>
      <c r="B29" s="714">
        <v>0</v>
      </c>
      <c r="C29" s="715">
        <v>0</v>
      </c>
      <c r="D29" s="714"/>
      <c r="E29" s="715"/>
      <c r="F29" s="711"/>
      <c r="G29" s="712"/>
      <c r="H29" s="716"/>
      <c r="I29" s="717"/>
      <c r="J29" s="141"/>
    </row>
    <row r="30" spans="1:10" ht="17.149999999999999" customHeight="1" x14ac:dyDescent="0.3">
      <c r="A30" s="694"/>
      <c r="B30" s="714"/>
      <c r="C30" s="715"/>
      <c r="D30" s="714"/>
      <c r="E30" s="715"/>
      <c r="F30" s="711"/>
      <c r="G30" s="712"/>
      <c r="H30" s="716"/>
      <c r="I30" s="717"/>
      <c r="J30" s="141"/>
    </row>
    <row r="31" spans="1:10" ht="17.149999999999999" customHeight="1" thickBot="1" x14ac:dyDescent="0.35">
      <c r="A31" s="510" t="s">
        <v>109</v>
      </c>
      <c r="B31" s="718"/>
      <c r="C31" s="719"/>
      <c r="D31" s="718"/>
      <c r="E31" s="719"/>
      <c r="F31" s="720"/>
      <c r="G31" s="721"/>
      <c r="H31" s="722"/>
      <c r="I31" s="723"/>
      <c r="J31" s="141"/>
    </row>
    <row r="32" spans="1:10" ht="17.149999999999999" customHeight="1" thickBot="1" x14ac:dyDescent="0.35">
      <c r="A32" s="531" t="s">
        <v>131</v>
      </c>
      <c r="B32" s="439">
        <f>B23+B28</f>
        <v>427944.80401999998</v>
      </c>
      <c r="C32" s="439">
        <f>C23+C28</f>
        <v>365996.13644999999</v>
      </c>
      <c r="D32" s="439">
        <f>D23+D28</f>
        <v>4623</v>
      </c>
      <c r="E32" s="439">
        <f>E23+E28</f>
        <v>5361</v>
      </c>
      <c r="F32" s="532">
        <f>B32-C32</f>
        <v>61948.667569999991</v>
      </c>
      <c r="G32" s="533">
        <f>IF(C32&lt;&gt;0,(B32-C32)/C32)*100</f>
        <v>16.926044130103275</v>
      </c>
      <c r="H32" s="532">
        <f>D32-E32</f>
        <v>-738</v>
      </c>
      <c r="I32" s="533">
        <f>IF(E32&lt;&gt;0,(D32-E32)/E32)*100</f>
        <v>-13.766088416340235</v>
      </c>
      <c r="J32" s="141"/>
    </row>
    <row r="33" spans="1:10" ht="17.149999999999999" customHeight="1" thickBot="1" x14ac:dyDescent="0.35">
      <c r="A33" s="534" t="s">
        <v>132</v>
      </c>
      <c r="B33" s="439">
        <f>B20+B32</f>
        <v>3300017.0308333421</v>
      </c>
      <c r="C33" s="439">
        <f>C20+C32</f>
        <v>2743085.2484166687</v>
      </c>
      <c r="D33" s="439">
        <f>D20+D32</f>
        <v>17422</v>
      </c>
      <c r="E33" s="439">
        <f>E20+E32</f>
        <v>16113</v>
      </c>
      <c r="F33" s="532">
        <f>B33-C33</f>
        <v>556931.78241667338</v>
      </c>
      <c r="G33" s="533">
        <f>IF(C33&lt;&gt;0,(B33-C33)/C33)*100</f>
        <v>20.303116089379248</v>
      </c>
      <c r="H33" s="532">
        <f>D33-E33</f>
        <v>1309</v>
      </c>
      <c r="I33" s="533">
        <f>IF(E33&lt;&gt;0,(D33-E33)/E33)*100</f>
        <v>8.1238751318810891</v>
      </c>
      <c r="J33" s="141"/>
    </row>
    <row r="34" spans="1:10" ht="17.149999999999999" customHeight="1" x14ac:dyDescent="0.3">
      <c r="A34" s="94"/>
      <c r="B34" s="94"/>
      <c r="C34" s="94"/>
      <c r="D34" s="94"/>
      <c r="E34" s="94"/>
      <c r="F34" s="95"/>
      <c r="G34" s="95"/>
      <c r="H34" s="95"/>
      <c r="I34" s="95"/>
      <c r="J34" s="141"/>
    </row>
    <row r="35" spans="1:10" ht="17.149999999999999" customHeight="1" x14ac:dyDescent="0.3">
      <c r="A35" s="68"/>
      <c r="B35" s="96"/>
      <c r="C35" s="97"/>
      <c r="D35" s="97"/>
      <c r="E35" s="97"/>
      <c r="F35" s="66"/>
      <c r="G35" s="66"/>
      <c r="H35" s="66"/>
      <c r="I35" s="66"/>
      <c r="J35" s="141"/>
    </row>
    <row r="36" spans="1:10" ht="17.149999999999999" customHeight="1" thickBot="1" x14ac:dyDescent="0.35">
      <c r="A36" s="404" t="s">
        <v>133</v>
      </c>
      <c r="B36" s="836"/>
      <c r="C36" s="836"/>
      <c r="D36" s="99"/>
      <c r="E36" s="99"/>
      <c r="F36" s="66"/>
      <c r="G36" s="66"/>
      <c r="H36" s="66"/>
      <c r="I36" s="66"/>
      <c r="J36" s="141"/>
    </row>
    <row r="37" spans="1:10" ht="17.149999999999999" customHeight="1" thickBot="1" x14ac:dyDescent="0.35">
      <c r="A37" s="410" t="s">
        <v>134</v>
      </c>
      <c r="B37" s="411" t="s">
        <v>153</v>
      </c>
      <c r="C37" s="412"/>
      <c r="D37" s="411" t="s">
        <v>106</v>
      </c>
      <c r="E37" s="412"/>
      <c r="F37" s="413" t="s">
        <v>107</v>
      </c>
      <c r="G37" s="414"/>
      <c r="H37" s="414"/>
      <c r="I37" s="415"/>
      <c r="J37" s="141"/>
    </row>
    <row r="38" spans="1:10" ht="17.149999999999999" customHeight="1" thickBot="1" x14ac:dyDescent="0.35">
      <c r="A38" s="416"/>
      <c r="B38" s="324" t="s">
        <v>148</v>
      </c>
      <c r="C38" s="324" t="s">
        <v>149</v>
      </c>
      <c r="D38" s="324" t="s">
        <v>148</v>
      </c>
      <c r="E38" s="324" t="s">
        <v>149</v>
      </c>
      <c r="F38" s="413" t="s">
        <v>105</v>
      </c>
      <c r="G38" s="415"/>
      <c r="H38" s="413" t="s">
        <v>106</v>
      </c>
      <c r="I38" s="415"/>
      <c r="J38" s="141"/>
    </row>
    <row r="39" spans="1:10" ht="17.149999999999999" customHeight="1" x14ac:dyDescent="0.3">
      <c r="A39" s="419"/>
      <c r="B39" s="420"/>
      <c r="C39" s="421"/>
      <c r="D39" s="422"/>
      <c r="E39" s="423"/>
      <c r="F39" s="424" t="s">
        <v>110</v>
      </c>
      <c r="G39" s="425" t="s">
        <v>111</v>
      </c>
      <c r="H39" s="425" t="s">
        <v>112</v>
      </c>
      <c r="I39" s="425" t="s">
        <v>111</v>
      </c>
      <c r="J39" s="141"/>
    </row>
    <row r="40" spans="1:10" ht="17.149999999999999" customHeight="1" thickBot="1" x14ac:dyDescent="0.35">
      <c r="A40" s="426" t="s">
        <v>113</v>
      </c>
      <c r="B40" s="427"/>
      <c r="C40" s="428"/>
      <c r="D40" s="429"/>
      <c r="E40" s="430"/>
      <c r="F40" s="431"/>
      <c r="G40" s="432"/>
      <c r="H40" s="432"/>
      <c r="I40" s="432"/>
      <c r="J40" s="141"/>
    </row>
    <row r="41" spans="1:10" ht="17.149999999999999" customHeight="1" thickBot="1" x14ac:dyDescent="0.35">
      <c r="A41" s="433" t="s">
        <v>135</v>
      </c>
      <c r="B41" s="434">
        <f>B42+B43+B45</f>
        <v>15645978.55111699</v>
      </c>
      <c r="C41" s="434">
        <f>C42+C43+C45</f>
        <v>12107152.613800153</v>
      </c>
      <c r="D41" s="435">
        <f>D42+D43+D45</f>
        <v>87325</v>
      </c>
      <c r="E41" s="435">
        <f>E42+E43+E45</f>
        <v>74469</v>
      </c>
      <c r="F41" s="435">
        <f t="shared" ref="F41:F48" si="5">B41-C41</f>
        <v>3538825.9373168368</v>
      </c>
      <c r="G41" s="436">
        <f t="shared" ref="G41:G48" si="6">IF(C41&lt;&gt;0,(B41-C41)/C41)*100</f>
        <v>29.229217225552773</v>
      </c>
      <c r="H41" s="435">
        <f t="shared" ref="H41:H48" si="7">D41-E41</f>
        <v>12856</v>
      </c>
      <c r="I41" s="436">
        <f t="shared" ref="I41:I48" si="8">IF(E41&lt;&gt;0,(D41-E41)/E41)*100</f>
        <v>17.263559333413902</v>
      </c>
      <c r="J41" s="141"/>
    </row>
    <row r="42" spans="1:10" ht="17.149999999999999" customHeight="1" x14ac:dyDescent="0.3">
      <c r="A42" s="433" t="s">
        <v>136</v>
      </c>
      <c r="B42" s="437">
        <f>[10]V1!$B$42/1000</f>
        <v>5385317.5980803072</v>
      </c>
      <c r="C42" s="724">
        <f>(+[11]Déclaré!B42)/1000</f>
        <v>4215569.6626302171</v>
      </c>
      <c r="D42" s="725">
        <f>[10]V1!$D$42</f>
        <v>35115</v>
      </c>
      <c r="E42" s="724">
        <f>[11]Déclaré!D42</f>
        <v>30649</v>
      </c>
      <c r="F42" s="644">
        <f t="shared" si="5"/>
        <v>1169747.9354500901</v>
      </c>
      <c r="G42" s="697">
        <f t="shared" si="6"/>
        <v>27.748276723299366</v>
      </c>
      <c r="H42" s="644">
        <f t="shared" si="7"/>
        <v>4466</v>
      </c>
      <c r="I42" s="697">
        <f t="shared" si="8"/>
        <v>14.571437893569122</v>
      </c>
      <c r="J42" s="141"/>
    </row>
    <row r="43" spans="1:10" ht="17.149999999999999" customHeight="1" x14ac:dyDescent="0.3">
      <c r="A43" s="433" t="s">
        <v>116</v>
      </c>
      <c r="B43" s="437">
        <f>[10]V1!$B$43/1000</f>
        <v>10260660.953036683</v>
      </c>
      <c r="C43" s="724">
        <f>(+[11]Déclaré!B43)/1000</f>
        <v>7891582.951169936</v>
      </c>
      <c r="D43" s="725">
        <f>[10]V1!$D$43</f>
        <v>52210</v>
      </c>
      <c r="E43" s="724">
        <f>[11]Déclaré!D43</f>
        <v>43820</v>
      </c>
      <c r="F43" s="644">
        <f t="shared" si="5"/>
        <v>2369078.0018667467</v>
      </c>
      <c r="G43" s="697">
        <f t="shared" si="6"/>
        <v>30.020314257933865</v>
      </c>
      <c r="H43" s="644">
        <f t="shared" si="7"/>
        <v>8390</v>
      </c>
      <c r="I43" s="697">
        <f t="shared" si="8"/>
        <v>19.146508443633046</v>
      </c>
      <c r="J43" s="141"/>
    </row>
    <row r="44" spans="1:10" ht="17.149999999999999" customHeight="1" x14ac:dyDescent="0.3">
      <c r="A44" s="102" t="s">
        <v>137</v>
      </c>
      <c r="B44" s="437">
        <f>[10]V1!$B$44/1000</f>
        <v>4248875.6838097749</v>
      </c>
      <c r="C44" s="724">
        <f>(+[11]Déclaré!B44)/1000</f>
        <v>3458557.1628300161</v>
      </c>
      <c r="D44" s="725"/>
      <c r="E44" s="724"/>
      <c r="F44" s="644"/>
      <c r="G44" s="697"/>
      <c r="H44" s="644"/>
      <c r="I44" s="697"/>
      <c r="J44" s="141"/>
    </row>
    <row r="45" spans="1:10" ht="17.149999999999999" customHeight="1" x14ac:dyDescent="0.3">
      <c r="A45" s="433" t="s">
        <v>138</v>
      </c>
      <c r="B45" s="437">
        <v>0</v>
      </c>
      <c r="C45" s="724">
        <f>(+[11]Déclaré!B45)/1000</f>
        <v>0</v>
      </c>
      <c r="D45" s="725">
        <v>0</v>
      </c>
      <c r="E45" s="724">
        <f>[11]Déclaré!D45</f>
        <v>0</v>
      </c>
      <c r="F45" s="644">
        <f t="shared" si="5"/>
        <v>0</v>
      </c>
      <c r="G45" s="697">
        <f t="shared" si="6"/>
        <v>0</v>
      </c>
      <c r="H45" s="644">
        <f t="shared" si="7"/>
        <v>0</v>
      </c>
      <c r="I45" s="697">
        <f t="shared" si="8"/>
        <v>0</v>
      </c>
      <c r="J45" s="141"/>
    </row>
    <row r="46" spans="1:10" ht="17.149999999999999" customHeight="1" x14ac:dyDescent="0.3">
      <c r="A46" s="433" t="s">
        <v>139</v>
      </c>
      <c r="B46" s="726">
        <f>[10]V1!$B$46/1000</f>
        <v>4423.4978799999953</v>
      </c>
      <c r="C46" s="724">
        <f>(+[11]Déclaré!B46)/1000</f>
        <v>5489.2908299999945</v>
      </c>
      <c r="D46" s="725">
        <f>[10]V1!$D$46</f>
        <v>668</v>
      </c>
      <c r="E46" s="724">
        <f>[11]Déclaré!D46</f>
        <v>644</v>
      </c>
      <c r="F46" s="644">
        <f t="shared" si="5"/>
        <v>-1065.7929499999991</v>
      </c>
      <c r="G46" s="697">
        <f t="shared" si="6"/>
        <v>-19.415858678415116</v>
      </c>
      <c r="H46" s="644">
        <f t="shared" si="7"/>
        <v>24</v>
      </c>
      <c r="I46" s="697">
        <f t="shared" si="8"/>
        <v>3.7267080745341614</v>
      </c>
      <c r="J46" s="141"/>
    </row>
    <row r="47" spans="1:10" ht="17.149999999999999" customHeight="1" thickBot="1" x14ac:dyDescent="0.35">
      <c r="A47" s="433" t="s">
        <v>140</v>
      </c>
      <c r="B47" s="727">
        <v>0</v>
      </c>
      <c r="C47" s="724">
        <f>(+[11]Déclaré!B47)/1000</f>
        <v>0</v>
      </c>
      <c r="D47" s="728">
        <v>0</v>
      </c>
      <c r="E47" s="724">
        <f>[11]Déclaré!D47</f>
        <v>0</v>
      </c>
      <c r="F47" s="644">
        <f t="shared" si="5"/>
        <v>0</v>
      </c>
      <c r="G47" s="697">
        <f t="shared" si="6"/>
        <v>0</v>
      </c>
      <c r="H47" s="644">
        <f t="shared" si="7"/>
        <v>0</v>
      </c>
      <c r="I47" s="697">
        <f t="shared" si="8"/>
        <v>0</v>
      </c>
      <c r="J47" s="141"/>
    </row>
    <row r="48" spans="1:10" ht="17.149999999999999" customHeight="1" thickBot="1" x14ac:dyDescent="0.35">
      <c r="A48" s="438" t="s">
        <v>123</v>
      </c>
      <c r="B48" s="439">
        <f>B41+B46+B47</f>
        <v>15650402.048996991</v>
      </c>
      <c r="C48" s="440">
        <f>C41+C46+C47</f>
        <v>12112641.904630153</v>
      </c>
      <c r="D48" s="439">
        <f>D41+D46+D47</f>
        <v>87993</v>
      </c>
      <c r="E48" s="439">
        <f>E41+E46+E47</f>
        <v>75113</v>
      </c>
      <c r="F48" s="440">
        <f t="shared" si="5"/>
        <v>3537760.144366838</v>
      </c>
      <c r="G48" s="441">
        <f t="shared" si="6"/>
        <v>29.207171913622755</v>
      </c>
      <c r="H48" s="440">
        <f t="shared" si="7"/>
        <v>12880</v>
      </c>
      <c r="I48" s="441">
        <f t="shared" si="8"/>
        <v>17.147497770026494</v>
      </c>
      <c r="J48" s="141"/>
    </row>
    <row r="49" spans="1:10" ht="17.149999999999999" customHeight="1" thickBot="1" x14ac:dyDescent="0.35">
      <c r="A49" s="426" t="s">
        <v>124</v>
      </c>
      <c r="B49" s="442"/>
      <c r="C49" s="443"/>
      <c r="D49" s="444"/>
      <c r="E49" s="443"/>
      <c r="F49" s="444"/>
      <c r="G49" s="445"/>
      <c r="H49" s="444"/>
      <c r="I49" s="446"/>
      <c r="J49" s="141"/>
    </row>
    <row r="50" spans="1:10" ht="17.149999999999999" customHeight="1" thickBot="1" x14ac:dyDescent="0.35">
      <c r="A50" s="433" t="s">
        <v>125</v>
      </c>
      <c r="B50" s="434">
        <f>SUM(B51:B54)</f>
        <v>3875022.7334800041</v>
      </c>
      <c r="C50" s="434">
        <f>SUM(C51:C54)</f>
        <v>3408099.1241499921</v>
      </c>
      <c r="D50" s="435">
        <f>SUM(D51:D54)</f>
        <v>55049</v>
      </c>
      <c r="E50" s="435">
        <f>SUM(E51:E54)</f>
        <v>51735</v>
      </c>
      <c r="F50" s="435">
        <f t="shared" ref="F50:F55" si="9">B50-C50</f>
        <v>466923.609330012</v>
      </c>
      <c r="G50" s="436">
        <f t="shared" ref="G50:G55" si="10">IF(C50&lt;&gt;0,(B50-C50)/C50)*100</f>
        <v>13.700411646520596</v>
      </c>
      <c r="H50" s="435">
        <f t="shared" ref="H50:H55" si="11">D50-E50</f>
        <v>3314</v>
      </c>
      <c r="I50" s="436">
        <f t="shared" ref="I50:I55" si="12">IF(E50&lt;&gt;0,(D50-E50)/E50)*100</f>
        <v>6.405721465158984</v>
      </c>
      <c r="J50" s="141"/>
    </row>
    <row r="51" spans="1:10" ht="17.149999999999999" customHeight="1" x14ac:dyDescent="0.3">
      <c r="A51" s="447" t="s">
        <v>126</v>
      </c>
      <c r="B51" s="729">
        <f>[10]V1!$B$51/1000</f>
        <v>984421.86239999637</v>
      </c>
      <c r="C51" s="724">
        <f>(+[11]Déclaré!B51)/1000</f>
        <v>995991.99280899356</v>
      </c>
      <c r="D51" s="729">
        <f>[10]V1!$D$51</f>
        <v>20309</v>
      </c>
      <c r="E51" s="724">
        <f>[11]Déclaré!D51</f>
        <v>21321</v>
      </c>
      <c r="F51" s="644">
        <f>B51-C51</f>
        <v>-11570.130408997182</v>
      </c>
      <c r="G51" s="697">
        <f t="shared" si="10"/>
        <v>-1.1616690186801577</v>
      </c>
      <c r="H51" s="644">
        <f t="shared" si="11"/>
        <v>-1012</v>
      </c>
      <c r="I51" s="697">
        <f t="shared" si="12"/>
        <v>-4.7464940668824163</v>
      </c>
      <c r="J51" s="141"/>
    </row>
    <row r="52" spans="1:10" ht="17.149999999999999" customHeight="1" x14ac:dyDescent="0.3">
      <c r="A52" s="447" t="s">
        <v>127</v>
      </c>
      <c r="B52" s="729">
        <f>[10]V1!$B$52/1000</f>
        <v>1047513.4314800019</v>
      </c>
      <c r="C52" s="724">
        <f>(+[11]Déclaré!B52)/1000</f>
        <v>487564.24693000177</v>
      </c>
      <c r="D52" s="729">
        <f>[10]V1!$D$52</f>
        <v>22525</v>
      </c>
      <c r="E52" s="724">
        <f>[11]Déclaré!D52</f>
        <v>9739</v>
      </c>
      <c r="F52" s="644">
        <f t="shared" si="9"/>
        <v>559949.18455000012</v>
      </c>
      <c r="G52" s="697">
        <f t="shared" si="10"/>
        <v>114.84623576806084</v>
      </c>
      <c r="H52" s="644">
        <f t="shared" si="11"/>
        <v>12786</v>
      </c>
      <c r="I52" s="697">
        <f t="shared" si="12"/>
        <v>131.28657973097856</v>
      </c>
      <c r="J52" s="141"/>
    </row>
    <row r="53" spans="1:10" ht="17.149999999999999" customHeight="1" x14ac:dyDescent="0.3">
      <c r="A53" s="448" t="s">
        <v>141</v>
      </c>
      <c r="B53" s="729">
        <f>[10]V1!$B$53/1000</f>
        <v>93372.04432999964</v>
      </c>
      <c r="C53" s="724">
        <f>(+[11]Déclaré!B53)/1000</f>
        <v>452028.13676260092</v>
      </c>
      <c r="D53" s="729">
        <f>[10]V1!$D$53</f>
        <v>1922</v>
      </c>
      <c r="E53" s="724">
        <f>[11]Déclaré!D53</f>
        <v>10800</v>
      </c>
      <c r="F53" s="644">
        <f t="shared" si="9"/>
        <v>-358656.09243260126</v>
      </c>
      <c r="G53" s="697">
        <f t="shared" si="10"/>
        <v>-79.343753909054243</v>
      </c>
      <c r="H53" s="644">
        <f t="shared" si="11"/>
        <v>-8878</v>
      </c>
      <c r="I53" s="697">
        <f t="shared" si="12"/>
        <v>-82.203703703703695</v>
      </c>
      <c r="J53" s="141"/>
    </row>
    <row r="54" spans="1:10" ht="17.149999999999999" customHeight="1" x14ac:dyDescent="0.3">
      <c r="A54" s="447" t="s">
        <v>129</v>
      </c>
      <c r="B54" s="729">
        <f>[10]V1!$B$54/1000</f>
        <v>1749715.3952700063</v>
      </c>
      <c r="C54" s="724">
        <f>(+[11]Déclaré!B54)/1000</f>
        <v>1472514.7476483961</v>
      </c>
      <c r="D54" s="729">
        <f>[10]V1!$D$54</f>
        <v>10293</v>
      </c>
      <c r="E54" s="724">
        <f>[11]Déclaré!D54</f>
        <v>9875</v>
      </c>
      <c r="F54" s="644">
        <f t="shared" si="9"/>
        <v>277200.6476216102</v>
      </c>
      <c r="G54" s="697">
        <f t="shared" si="10"/>
        <v>18.824982776186062</v>
      </c>
      <c r="H54" s="644">
        <f t="shared" si="11"/>
        <v>418</v>
      </c>
      <c r="I54" s="697">
        <f t="shared" si="12"/>
        <v>4.2329113924050636</v>
      </c>
      <c r="J54" s="141"/>
    </row>
    <row r="55" spans="1:10" ht="17.149999999999999" customHeight="1" x14ac:dyDescent="0.3">
      <c r="A55" s="433" t="s">
        <v>130</v>
      </c>
      <c r="B55" s="729">
        <v>0</v>
      </c>
      <c r="C55" s="724">
        <f>(+[11]Déclaré!B55)/1000</f>
        <v>0</v>
      </c>
      <c r="D55" s="729">
        <v>0</v>
      </c>
      <c r="E55" s="724">
        <f>[11]Déclaré!D55</f>
        <v>0</v>
      </c>
      <c r="F55" s="644">
        <f t="shared" si="9"/>
        <v>0</v>
      </c>
      <c r="G55" s="697">
        <f t="shared" si="10"/>
        <v>0</v>
      </c>
      <c r="H55" s="644">
        <f t="shared" si="11"/>
        <v>0</v>
      </c>
      <c r="I55" s="697">
        <f t="shared" si="12"/>
        <v>0</v>
      </c>
      <c r="J55" s="141"/>
    </row>
    <row r="56" spans="1:10" ht="17.149999999999999" customHeight="1" x14ac:dyDescent="0.3">
      <c r="A56" s="433"/>
      <c r="B56" s="729">
        <v>0</v>
      </c>
      <c r="C56" s="696">
        <v>0</v>
      </c>
      <c r="D56" s="729"/>
      <c r="E56" s="696"/>
      <c r="F56" s="437"/>
      <c r="G56" s="449"/>
      <c r="H56" s="437"/>
      <c r="I56" s="449"/>
      <c r="J56" s="141"/>
    </row>
    <row r="57" spans="1:10" ht="17.149999999999999" customHeight="1" x14ac:dyDescent="0.3">
      <c r="A57" s="433"/>
      <c r="B57" s="729"/>
      <c r="C57" s="696"/>
      <c r="D57" s="729"/>
      <c r="E57" s="696"/>
      <c r="F57" s="437"/>
      <c r="G57" s="449"/>
      <c r="H57" s="437"/>
      <c r="I57" s="449"/>
      <c r="J57" s="141"/>
    </row>
    <row r="58" spans="1:10" ht="17.149999999999999" customHeight="1" thickBot="1" x14ac:dyDescent="0.35">
      <c r="A58" s="433"/>
      <c r="B58" s="730"/>
      <c r="C58" s="731"/>
      <c r="D58" s="732"/>
      <c r="E58" s="733"/>
      <c r="F58" s="734"/>
      <c r="G58" s="735"/>
      <c r="H58" s="732"/>
      <c r="I58" s="736"/>
      <c r="J58" s="141"/>
    </row>
    <row r="59" spans="1:10" ht="17.149999999999999" customHeight="1" thickBot="1" x14ac:dyDescent="0.35">
      <c r="A59" s="438" t="s">
        <v>131</v>
      </c>
      <c r="B59" s="434">
        <f>B50+B55</f>
        <v>3875022.7334800041</v>
      </c>
      <c r="C59" s="434">
        <f>C50+C55</f>
        <v>3408099.1241499921</v>
      </c>
      <c r="D59" s="435">
        <f>D50+D55</f>
        <v>55049</v>
      </c>
      <c r="E59" s="435">
        <f>E50+E55</f>
        <v>51735</v>
      </c>
      <c r="F59" s="711">
        <f>B59-C59</f>
        <v>466923.609330012</v>
      </c>
      <c r="G59" s="712">
        <f>IF(C59&lt;&gt;0,(B59-C59)/C59)*100</f>
        <v>13.700411646520596</v>
      </c>
      <c r="H59" s="711">
        <f>D59-E59</f>
        <v>3314</v>
      </c>
      <c r="I59" s="712">
        <f>IF(E59&lt;&gt;0,(D59-E59)/E59)*100</f>
        <v>6.405721465158984</v>
      </c>
      <c r="J59" s="141"/>
    </row>
    <row r="60" spans="1:10" ht="17.149999999999999" customHeight="1" thickBot="1" x14ac:dyDescent="0.35">
      <c r="A60" s="433"/>
      <c r="B60" s="450"/>
      <c r="C60" s="451"/>
      <c r="D60" s="452"/>
      <c r="E60" s="451"/>
      <c r="F60" s="452"/>
      <c r="G60" s="453"/>
      <c r="H60" s="452"/>
      <c r="I60" s="454"/>
      <c r="J60" s="141"/>
    </row>
    <row r="61" spans="1:10" ht="17.149999999999999" customHeight="1" thickBot="1" x14ac:dyDescent="0.35">
      <c r="A61" s="438" t="s">
        <v>132</v>
      </c>
      <c r="B61" s="434">
        <f>B48+B59</f>
        <v>19525424.782476995</v>
      </c>
      <c r="C61" s="434">
        <f>C48+C59</f>
        <v>15520741.028780144</v>
      </c>
      <c r="D61" s="435">
        <f>D48+D59</f>
        <v>143042</v>
      </c>
      <c r="E61" s="435">
        <f>E48+E59</f>
        <v>126848</v>
      </c>
      <c r="F61" s="435">
        <f>B61-C61</f>
        <v>4004683.7536968514</v>
      </c>
      <c r="G61" s="436">
        <f>IF(C61&lt;&gt;0,(B61-C61)/C61)*100</f>
        <v>25.802142734492882</v>
      </c>
      <c r="H61" s="435">
        <f>D61-E61</f>
        <v>16194</v>
      </c>
      <c r="I61" s="436">
        <f>IF(E61&lt;&gt;0,(D61-E61)/E61)*100</f>
        <v>12.766460645812311</v>
      </c>
      <c r="J61" s="141"/>
    </row>
    <row r="62" spans="1:10" ht="17.149999999999999" customHeight="1" x14ac:dyDescent="0.3">
      <c r="A62" s="455"/>
      <c r="B62" s="455"/>
      <c r="C62" s="455"/>
      <c r="D62" s="455"/>
      <c r="E62" s="455"/>
      <c r="F62" s="455"/>
      <c r="G62" s="455"/>
      <c r="H62" s="455"/>
      <c r="I62" s="455"/>
      <c r="J62" s="141"/>
    </row>
    <row r="63" spans="1:10" ht="17.149999999999999" customHeight="1" x14ac:dyDescent="0.3">
      <c r="A63" s="456"/>
      <c r="B63" s="457"/>
      <c r="C63" s="458"/>
      <c r="D63" s="456"/>
      <c r="E63" s="458"/>
      <c r="F63" s="66"/>
      <c r="G63" s="66"/>
      <c r="H63" s="66"/>
      <c r="I63" s="66"/>
      <c r="J63" s="141"/>
    </row>
    <row r="64" spans="1:10" ht="17.149999999999999" customHeight="1" thickBot="1" x14ac:dyDescent="0.35">
      <c r="A64" s="459" t="s">
        <v>142</v>
      </c>
      <c r="B64" s="460"/>
      <c r="C64" s="461"/>
      <c r="D64" s="462"/>
      <c r="E64" s="463"/>
      <c r="F64" s="66"/>
      <c r="G64" s="66"/>
      <c r="H64" s="66"/>
      <c r="I64" s="66"/>
      <c r="J64" s="141"/>
    </row>
    <row r="65" spans="1:10" ht="17.149999999999999" customHeight="1" thickBot="1" x14ac:dyDescent="0.35">
      <c r="A65" s="464" t="s">
        <v>134</v>
      </c>
      <c r="B65" s="465" t="s">
        <v>153</v>
      </c>
      <c r="C65" s="466"/>
      <c r="D65" s="465" t="s">
        <v>106</v>
      </c>
      <c r="E65" s="466"/>
      <c r="F65" s="413" t="s">
        <v>107</v>
      </c>
      <c r="G65" s="414"/>
      <c r="H65" s="414"/>
      <c r="I65" s="415"/>
      <c r="J65" s="141"/>
    </row>
    <row r="66" spans="1:10" ht="17.149999999999999" customHeight="1" thickBot="1" x14ac:dyDescent="0.35">
      <c r="A66" s="467"/>
      <c r="B66" s="324" t="s">
        <v>148</v>
      </c>
      <c r="C66" s="324" t="s">
        <v>149</v>
      </c>
      <c r="D66" s="324" t="s">
        <v>148</v>
      </c>
      <c r="E66" s="324" t="s">
        <v>149</v>
      </c>
      <c r="F66" s="413" t="s">
        <v>105</v>
      </c>
      <c r="G66" s="415"/>
      <c r="H66" s="413" t="s">
        <v>106</v>
      </c>
      <c r="I66" s="415"/>
      <c r="J66" s="141"/>
    </row>
    <row r="67" spans="1:10" ht="17.149999999999999" customHeight="1" x14ac:dyDescent="0.3">
      <c r="A67" s="468"/>
      <c r="B67" s="469"/>
      <c r="C67" s="470"/>
      <c r="D67" s="471"/>
      <c r="E67" s="472"/>
      <c r="F67" s="425" t="s">
        <v>110</v>
      </c>
      <c r="G67" s="425" t="s">
        <v>111</v>
      </c>
      <c r="H67" s="425" t="s">
        <v>112</v>
      </c>
      <c r="I67" s="425" t="s">
        <v>111</v>
      </c>
      <c r="J67" s="141"/>
    </row>
    <row r="68" spans="1:10" ht="17.149999999999999" customHeight="1" thickBot="1" x14ac:dyDescent="0.35">
      <c r="A68" s="473" t="s">
        <v>113</v>
      </c>
      <c r="B68" s="474"/>
      <c r="C68" s="475"/>
      <c r="D68" s="476"/>
      <c r="E68" s="477"/>
      <c r="F68" s="432"/>
      <c r="G68" s="432"/>
      <c r="H68" s="432"/>
      <c r="I68" s="432"/>
      <c r="J68" s="141"/>
    </row>
    <row r="69" spans="1:10" ht="17.149999999999999" customHeight="1" thickBot="1" x14ac:dyDescent="0.35">
      <c r="A69" s="478" t="s">
        <v>135</v>
      </c>
      <c r="B69" s="479">
        <f>B70+B71+B72</f>
        <v>17284726.87471699</v>
      </c>
      <c r="C69" s="479">
        <f>C70+C71+C72</f>
        <v>13339759.383070156</v>
      </c>
      <c r="D69" s="440">
        <f>D70+D71+D72</f>
        <v>101426</v>
      </c>
      <c r="E69" s="440">
        <f>E70+E71+E72</f>
        <v>86435</v>
      </c>
      <c r="F69" s="440">
        <f t="shared" ref="F69:F75" si="13">B69-C69</f>
        <v>3944967.4916468337</v>
      </c>
      <c r="G69" s="441">
        <f t="shared" ref="G69:G75" si="14">IF(C69&lt;&gt;0,(B69-C69)/C69)*100</f>
        <v>29.573003368062974</v>
      </c>
      <c r="H69" s="440">
        <f t="shared" ref="H69:H75" si="15">D69-E69</f>
        <v>14991</v>
      </c>
      <c r="I69" s="441">
        <f t="shared" ref="I69:I75" si="16">IF(E69&lt;&gt;0,(D69-E69)/E69)*100</f>
        <v>17.343668652744839</v>
      </c>
      <c r="J69" s="141"/>
    </row>
    <row r="70" spans="1:10" ht="17.149999999999999" customHeight="1" x14ac:dyDescent="0.3">
      <c r="A70" s="478" t="s">
        <v>136</v>
      </c>
      <c r="B70" s="437">
        <f t="shared" ref="B70:E71" si="17">B42+B98</f>
        <v>6553685.5465903068</v>
      </c>
      <c r="C70" s="437">
        <f t="shared" si="17"/>
        <v>5133592.8186002197</v>
      </c>
      <c r="D70" s="437">
        <f t="shared" si="17"/>
        <v>44421</v>
      </c>
      <c r="E70" s="437">
        <f t="shared" si="17"/>
        <v>38808</v>
      </c>
      <c r="F70" s="644">
        <f t="shared" si="13"/>
        <v>1420092.7279900871</v>
      </c>
      <c r="G70" s="697">
        <f t="shared" si="14"/>
        <v>27.662745725464543</v>
      </c>
      <c r="H70" s="644">
        <f t="shared" si="15"/>
        <v>5613</v>
      </c>
      <c r="I70" s="697">
        <f t="shared" si="16"/>
        <v>14.463512677798393</v>
      </c>
      <c r="J70" s="141"/>
    </row>
    <row r="71" spans="1:10" ht="17.149999999999999" customHeight="1" x14ac:dyDescent="0.3">
      <c r="A71" s="478" t="s">
        <v>116</v>
      </c>
      <c r="B71" s="437">
        <f t="shared" si="17"/>
        <v>10731041.328126684</v>
      </c>
      <c r="C71" s="437">
        <f t="shared" si="17"/>
        <v>8206166.5644699363</v>
      </c>
      <c r="D71" s="437">
        <f t="shared" si="17"/>
        <v>57005</v>
      </c>
      <c r="E71" s="437">
        <f t="shared" si="17"/>
        <v>47627</v>
      </c>
      <c r="F71" s="644">
        <f t="shared" si="13"/>
        <v>2524874.7636567475</v>
      </c>
      <c r="G71" s="697">
        <f t="shared" si="14"/>
        <v>30.768017488075905</v>
      </c>
      <c r="H71" s="644">
        <f t="shared" si="15"/>
        <v>9378</v>
      </c>
      <c r="I71" s="697">
        <f t="shared" si="16"/>
        <v>19.690511684548682</v>
      </c>
      <c r="J71" s="141"/>
    </row>
    <row r="72" spans="1:10" ht="17.149999999999999" customHeight="1" x14ac:dyDescent="0.3">
      <c r="A72" s="478" t="s">
        <v>143</v>
      </c>
      <c r="B72" s="437">
        <f t="shared" ref="B72:E74" si="18">B45+B100</f>
        <v>0</v>
      </c>
      <c r="C72" s="437">
        <f t="shared" si="18"/>
        <v>0</v>
      </c>
      <c r="D72" s="437">
        <f t="shared" si="18"/>
        <v>0</v>
      </c>
      <c r="E72" s="437">
        <f t="shared" si="18"/>
        <v>0</v>
      </c>
      <c r="F72" s="644">
        <f t="shared" si="13"/>
        <v>0</v>
      </c>
      <c r="G72" s="697">
        <f t="shared" si="14"/>
        <v>0</v>
      </c>
      <c r="H72" s="644">
        <f t="shared" si="15"/>
        <v>0</v>
      </c>
      <c r="I72" s="697">
        <f t="shared" si="16"/>
        <v>0</v>
      </c>
      <c r="J72" s="141"/>
    </row>
    <row r="73" spans="1:10" ht="17.149999999999999" customHeight="1" x14ac:dyDescent="0.3">
      <c r="A73" s="478" t="s">
        <v>139</v>
      </c>
      <c r="B73" s="437">
        <f t="shared" si="18"/>
        <v>4745.1359899999952</v>
      </c>
      <c r="C73" s="437">
        <f t="shared" si="18"/>
        <v>5669.4519999999948</v>
      </c>
      <c r="D73" s="437">
        <f t="shared" si="18"/>
        <v>711</v>
      </c>
      <c r="E73" s="437">
        <f>E46+E101</f>
        <v>674</v>
      </c>
      <c r="F73" s="644">
        <f t="shared" si="13"/>
        <v>-924.31600999999955</v>
      </c>
      <c r="G73" s="697">
        <f t="shared" si="14"/>
        <v>-16.303445377084071</v>
      </c>
      <c r="H73" s="644">
        <f t="shared" si="15"/>
        <v>37</v>
      </c>
      <c r="I73" s="697">
        <f t="shared" si="16"/>
        <v>5.4896142433234418</v>
      </c>
      <c r="J73" s="141"/>
    </row>
    <row r="74" spans="1:10" ht="17.149999999999999" customHeight="1" thickBot="1" x14ac:dyDescent="0.35">
      <c r="A74" s="478" t="s">
        <v>140</v>
      </c>
      <c r="B74" s="437">
        <f t="shared" si="18"/>
        <v>0</v>
      </c>
      <c r="C74" s="437">
        <f t="shared" si="18"/>
        <v>0</v>
      </c>
      <c r="D74" s="437">
        <f t="shared" si="18"/>
        <v>0</v>
      </c>
      <c r="E74" s="437">
        <f t="shared" si="18"/>
        <v>0</v>
      </c>
      <c r="F74" s="644">
        <f t="shared" si="13"/>
        <v>0</v>
      </c>
      <c r="G74" s="697">
        <f t="shared" si="14"/>
        <v>0</v>
      </c>
      <c r="H74" s="644">
        <f t="shared" si="15"/>
        <v>0</v>
      </c>
      <c r="I74" s="697">
        <f t="shared" si="16"/>
        <v>0</v>
      </c>
      <c r="J74" s="141"/>
    </row>
    <row r="75" spans="1:10" ht="17.149999999999999" customHeight="1" thickBot="1" x14ac:dyDescent="0.35">
      <c r="A75" s="480" t="s">
        <v>123</v>
      </c>
      <c r="B75" s="481">
        <f>B69+B73+B74</f>
        <v>17289472.010706991</v>
      </c>
      <c r="C75" s="481">
        <f>C69+C73+C74</f>
        <v>13345428.835070156</v>
      </c>
      <c r="D75" s="439">
        <f>D69+D73+D74</f>
        <v>102137</v>
      </c>
      <c r="E75" s="439">
        <f>E69+E73+E74</f>
        <v>87109</v>
      </c>
      <c r="F75" s="482">
        <f t="shared" si="13"/>
        <v>3944043.1756368354</v>
      </c>
      <c r="G75" s="483">
        <f t="shared" si="14"/>
        <v>29.553513973806311</v>
      </c>
      <c r="H75" s="482">
        <f t="shared" si="15"/>
        <v>15028</v>
      </c>
      <c r="I75" s="483">
        <f t="shared" si="16"/>
        <v>17.251948707940628</v>
      </c>
      <c r="J75" s="141"/>
    </row>
    <row r="76" spans="1:10" ht="17.149999999999999" customHeight="1" x14ac:dyDescent="0.3">
      <c r="A76" s="484"/>
      <c r="B76" s="485"/>
      <c r="C76" s="486"/>
      <c r="D76" s="487"/>
      <c r="E76" s="486"/>
      <c r="F76" s="487"/>
      <c r="G76" s="487"/>
      <c r="H76" s="487"/>
      <c r="I76" s="488"/>
      <c r="J76" s="141"/>
    </row>
    <row r="77" spans="1:10" ht="17.149999999999999" customHeight="1" thickBot="1" x14ac:dyDescent="0.35">
      <c r="A77" s="473" t="s">
        <v>124</v>
      </c>
      <c r="B77" s="442"/>
      <c r="C77" s="443"/>
      <c r="D77" s="444"/>
      <c r="E77" s="443"/>
      <c r="F77" s="444"/>
      <c r="G77" s="444"/>
      <c r="H77" s="444"/>
      <c r="I77" s="489"/>
      <c r="J77" s="141"/>
    </row>
    <row r="78" spans="1:10" ht="17.149999999999999" customHeight="1" thickBot="1" x14ac:dyDescent="0.35">
      <c r="A78" s="478" t="s">
        <v>125</v>
      </c>
      <c r="B78" s="479">
        <f>SUM(B79:B82)</f>
        <v>4659231.3230700027</v>
      </c>
      <c r="C78" s="479">
        <f>SUM(C79:C82)</f>
        <v>4109631.7927699918</v>
      </c>
      <c r="D78" s="440">
        <f>SUM(D79:D82)</f>
        <v>64486</v>
      </c>
      <c r="E78" s="440">
        <f>SUM(E79:E82)</f>
        <v>60549</v>
      </c>
      <c r="F78" s="440">
        <f t="shared" ref="F78:F83" si="19">B78-C78</f>
        <v>549599.53030001093</v>
      </c>
      <c r="G78" s="441">
        <f t="shared" ref="G78:G83" si="20">IF(C78&lt;&gt;0,(B78-C78)/C78)*100</f>
        <v>13.373449447877848</v>
      </c>
      <c r="H78" s="440">
        <f t="shared" ref="H78:H83" si="21">D78-E78</f>
        <v>3937</v>
      </c>
      <c r="I78" s="441">
        <f t="shared" ref="I78:I83" si="22">IF(E78&lt;&gt;0,(D78-E78)/E78)*100</f>
        <v>6.5021717947447515</v>
      </c>
      <c r="J78" s="141"/>
    </row>
    <row r="79" spans="1:10" ht="17.149999999999999" customHeight="1" x14ac:dyDescent="0.3">
      <c r="A79" s="447" t="s">
        <v>126</v>
      </c>
      <c r="B79" s="437">
        <f t="shared" ref="B79:E83" si="23">B51+B107</f>
        <v>1054713.9369099964</v>
      </c>
      <c r="C79" s="437">
        <f t="shared" si="23"/>
        <v>1063913.6399889935</v>
      </c>
      <c r="D79" s="437">
        <f t="shared" si="23"/>
        <v>21742</v>
      </c>
      <c r="E79" s="437">
        <f t="shared" si="23"/>
        <v>22692</v>
      </c>
      <c r="F79" s="644">
        <f>B79-C79</f>
        <v>-9199.7030789970886</v>
      </c>
      <c r="G79" s="697">
        <f t="shared" si="20"/>
        <v>-0.86470393208721918</v>
      </c>
      <c r="H79" s="644">
        <f t="shared" si="21"/>
        <v>-950</v>
      </c>
      <c r="I79" s="697">
        <f t="shared" si="22"/>
        <v>-4.1864974440331393</v>
      </c>
      <c r="J79" s="141"/>
    </row>
    <row r="80" spans="1:10" ht="17.149999999999999" customHeight="1" x14ac:dyDescent="0.3">
      <c r="A80" s="447" t="s">
        <v>144</v>
      </c>
      <c r="B80" s="729">
        <f t="shared" si="23"/>
        <v>1074751.3829100018</v>
      </c>
      <c r="C80" s="729">
        <f t="shared" si="23"/>
        <v>507206.00937000173</v>
      </c>
      <c r="D80" s="729">
        <f t="shared" si="23"/>
        <v>23233</v>
      </c>
      <c r="E80" s="729">
        <f t="shared" si="23"/>
        <v>10309</v>
      </c>
      <c r="F80" s="644">
        <f t="shared" si="19"/>
        <v>567545.37354000006</v>
      </c>
      <c r="G80" s="697">
        <f t="shared" si="20"/>
        <v>111.89642138604501</v>
      </c>
      <c r="H80" s="644">
        <f t="shared" si="21"/>
        <v>12924</v>
      </c>
      <c r="I80" s="697">
        <f t="shared" si="22"/>
        <v>125.36618488699193</v>
      </c>
      <c r="J80" s="141"/>
    </row>
    <row r="81" spans="1:10" ht="17.149999999999999" customHeight="1" x14ac:dyDescent="0.3">
      <c r="A81" s="448" t="s">
        <v>141</v>
      </c>
      <c r="B81" s="437">
        <f t="shared" si="23"/>
        <v>163091.42910999968</v>
      </c>
      <c r="C81" s="437">
        <f t="shared" si="23"/>
        <v>525843.94492260087</v>
      </c>
      <c r="D81" s="437">
        <f t="shared" si="23"/>
        <v>3111</v>
      </c>
      <c r="E81" s="437">
        <f t="shared" si="23"/>
        <v>11943</v>
      </c>
      <c r="F81" s="644">
        <f t="shared" si="19"/>
        <v>-362752.5158126012</v>
      </c>
      <c r="G81" s="697">
        <f t="shared" si="20"/>
        <v>-68.984823218986548</v>
      </c>
      <c r="H81" s="644">
        <f t="shared" si="21"/>
        <v>-8832</v>
      </c>
      <c r="I81" s="697">
        <f t="shared" si="22"/>
        <v>-73.951268525496104</v>
      </c>
      <c r="J81" s="141"/>
    </row>
    <row r="82" spans="1:10" ht="17.149999999999999" customHeight="1" x14ac:dyDescent="0.3">
      <c r="A82" s="447" t="s">
        <v>129</v>
      </c>
      <c r="B82" s="437">
        <f t="shared" si="23"/>
        <v>2366674.5741400048</v>
      </c>
      <c r="C82" s="437">
        <f t="shared" si="23"/>
        <v>2012668.1984883959</v>
      </c>
      <c r="D82" s="437">
        <f t="shared" si="23"/>
        <v>16400</v>
      </c>
      <c r="E82" s="437">
        <f t="shared" si="23"/>
        <v>15605</v>
      </c>
      <c r="F82" s="644">
        <f t="shared" si="19"/>
        <v>354006.37565160892</v>
      </c>
      <c r="G82" s="697">
        <f t="shared" si="20"/>
        <v>17.588908888086152</v>
      </c>
      <c r="H82" s="644">
        <f t="shared" si="21"/>
        <v>795</v>
      </c>
      <c r="I82" s="697">
        <f t="shared" si="22"/>
        <v>5.0945209868631851</v>
      </c>
      <c r="J82" s="141"/>
    </row>
    <row r="83" spans="1:10" ht="17.149999999999999" customHeight="1" x14ac:dyDescent="0.3">
      <c r="A83" s="478" t="s">
        <v>130</v>
      </c>
      <c r="B83" s="437">
        <f t="shared" si="23"/>
        <v>0</v>
      </c>
      <c r="C83" s="437">
        <f t="shared" si="23"/>
        <v>0</v>
      </c>
      <c r="D83" s="437">
        <f t="shared" si="23"/>
        <v>0</v>
      </c>
      <c r="E83" s="437">
        <f t="shared" si="23"/>
        <v>0</v>
      </c>
      <c r="F83" s="644">
        <f t="shared" si="19"/>
        <v>0</v>
      </c>
      <c r="G83" s="697">
        <f t="shared" si="20"/>
        <v>0</v>
      </c>
      <c r="H83" s="644">
        <f t="shared" si="21"/>
        <v>0</v>
      </c>
      <c r="I83" s="697">
        <f t="shared" si="22"/>
        <v>0</v>
      </c>
      <c r="J83" s="141"/>
    </row>
    <row r="84" spans="1:10" ht="17.149999999999999" customHeight="1" x14ac:dyDescent="0.3">
      <c r="A84" s="478"/>
      <c r="B84" s="437"/>
      <c r="C84" s="490"/>
      <c r="D84" s="437"/>
      <c r="E84" s="437"/>
      <c r="F84" s="437"/>
      <c r="G84" s="449"/>
      <c r="H84" s="437"/>
      <c r="I84" s="449"/>
      <c r="J84" s="141"/>
    </row>
    <row r="85" spans="1:10" ht="17.149999999999999" customHeight="1" x14ac:dyDescent="0.3">
      <c r="A85" s="478"/>
      <c r="B85" s="437"/>
      <c r="C85" s="490"/>
      <c r="D85" s="437"/>
      <c r="E85" s="437"/>
      <c r="F85" s="437"/>
      <c r="G85" s="449"/>
      <c r="H85" s="437"/>
      <c r="I85" s="449"/>
      <c r="J85" s="141"/>
    </row>
    <row r="86" spans="1:10" ht="17.149999999999999" customHeight="1" thickBot="1" x14ac:dyDescent="0.35">
      <c r="A86" s="478"/>
      <c r="B86" s="734"/>
      <c r="C86" s="731"/>
      <c r="D86" s="732"/>
      <c r="E86" s="732"/>
      <c r="F86" s="734"/>
      <c r="G86" s="735"/>
      <c r="H86" s="732"/>
      <c r="I86" s="736"/>
      <c r="J86" s="141"/>
    </row>
    <row r="87" spans="1:10" ht="17.149999999999999" customHeight="1" thickBot="1" x14ac:dyDescent="0.35">
      <c r="A87" s="480" t="s">
        <v>131</v>
      </c>
      <c r="B87" s="434">
        <f>B78+B83</f>
        <v>4659231.3230700027</v>
      </c>
      <c r="C87" s="434">
        <f>C78+C83</f>
        <v>4109631.7927699918</v>
      </c>
      <c r="D87" s="435">
        <f>D78+D83</f>
        <v>64486</v>
      </c>
      <c r="E87" s="435">
        <f>E78+E83</f>
        <v>60549</v>
      </c>
      <c r="F87" s="711">
        <f>B87-C87</f>
        <v>549599.53030001093</v>
      </c>
      <c r="G87" s="712">
        <f>IF(C87&lt;&gt;0,(B87-C87)/C87)*100</f>
        <v>13.373449447877848</v>
      </c>
      <c r="H87" s="711">
        <f>D87-E87</f>
        <v>3937</v>
      </c>
      <c r="I87" s="712">
        <f>IF(E87&lt;&gt;0,(D87-E87)/E87)*100</f>
        <v>6.5021717947447515</v>
      </c>
      <c r="J87" s="141"/>
    </row>
    <row r="88" spans="1:10" ht="17.149999999999999" customHeight="1" thickBot="1" x14ac:dyDescent="0.35">
      <c r="A88" s="478"/>
      <c r="B88" s="450"/>
      <c r="C88" s="451"/>
      <c r="D88" s="452"/>
      <c r="E88" s="452"/>
      <c r="F88" s="452"/>
      <c r="G88" s="453"/>
      <c r="H88" s="452"/>
      <c r="I88" s="454"/>
      <c r="J88" s="141"/>
    </row>
    <row r="89" spans="1:10" ht="17.149999999999999" customHeight="1" thickBot="1" x14ac:dyDescent="0.35">
      <c r="A89" s="480" t="s">
        <v>132</v>
      </c>
      <c r="B89" s="434">
        <f>B75+B87</f>
        <v>21948703.333776996</v>
      </c>
      <c r="C89" s="434">
        <f>C75+C87</f>
        <v>17455060.627840146</v>
      </c>
      <c r="D89" s="435">
        <f>D75+D87</f>
        <v>166623</v>
      </c>
      <c r="E89" s="435">
        <f>E75+E87</f>
        <v>147658</v>
      </c>
      <c r="F89" s="435">
        <f>B89-C89</f>
        <v>4493642.7059368491</v>
      </c>
      <c r="G89" s="436">
        <f>IF(C89&lt;&gt;0,(B89-C89)/C89)*100</f>
        <v>25.744068163072793</v>
      </c>
      <c r="H89" s="435">
        <f>D89-E89</f>
        <v>18965</v>
      </c>
      <c r="I89" s="436">
        <f>IF(E89&lt;&gt;0,(D89-E89)/E89)*100</f>
        <v>12.843868940389278</v>
      </c>
      <c r="J89" s="141"/>
    </row>
    <row r="90" spans="1:10" ht="17.149999999999999" customHeight="1" x14ac:dyDescent="0.3">
      <c r="A90" s="455"/>
      <c r="B90" s="455"/>
      <c r="C90" s="455"/>
      <c r="D90" s="455"/>
      <c r="E90" s="455"/>
      <c r="F90" s="455"/>
      <c r="G90" s="455"/>
      <c r="H90" s="455"/>
      <c r="I90" s="455"/>
      <c r="J90" s="141"/>
    </row>
    <row r="91" spans="1:10" ht="17.149999999999999" customHeight="1" x14ac:dyDescent="0.3">
      <c r="A91" s="456"/>
      <c r="B91" s="491"/>
      <c r="C91" s="492"/>
      <c r="D91" s="491"/>
      <c r="E91" s="492"/>
      <c r="F91" s="493"/>
      <c r="G91" s="493"/>
      <c r="H91" s="493"/>
      <c r="I91" s="493"/>
      <c r="J91" s="141"/>
    </row>
    <row r="92" spans="1:10" ht="17.149999999999999" customHeight="1" thickBot="1" x14ac:dyDescent="0.35">
      <c r="A92" s="459" t="s">
        <v>145</v>
      </c>
      <c r="B92" s="460"/>
      <c r="C92" s="461"/>
      <c r="D92" s="462"/>
      <c r="E92" s="463"/>
      <c r="F92" s="493"/>
      <c r="G92" s="493"/>
      <c r="H92" s="493"/>
      <c r="I92" s="493"/>
      <c r="J92" s="141"/>
    </row>
    <row r="93" spans="1:10" ht="17.149999999999999" customHeight="1" thickBot="1" x14ac:dyDescent="0.35">
      <c r="A93" s="464" t="s">
        <v>134</v>
      </c>
      <c r="B93" s="465" t="s">
        <v>153</v>
      </c>
      <c r="C93" s="466"/>
      <c r="D93" s="465" t="s">
        <v>106</v>
      </c>
      <c r="E93" s="466"/>
      <c r="F93" s="413" t="s">
        <v>107</v>
      </c>
      <c r="G93" s="414"/>
      <c r="H93" s="414"/>
      <c r="I93" s="415"/>
      <c r="J93" s="141"/>
    </row>
    <row r="94" spans="1:10" ht="17.149999999999999" customHeight="1" thickBot="1" x14ac:dyDescent="0.35">
      <c r="A94" s="467"/>
      <c r="B94" s="324" t="s">
        <v>148</v>
      </c>
      <c r="C94" s="324" t="s">
        <v>149</v>
      </c>
      <c r="D94" s="324" t="s">
        <v>148</v>
      </c>
      <c r="E94" s="324" t="s">
        <v>149</v>
      </c>
      <c r="F94" s="413" t="s">
        <v>105</v>
      </c>
      <c r="G94" s="415"/>
      <c r="H94" s="413" t="s">
        <v>106</v>
      </c>
      <c r="I94" s="415"/>
      <c r="J94" s="141"/>
    </row>
    <row r="95" spans="1:10" ht="17.149999999999999" customHeight="1" x14ac:dyDescent="0.3">
      <c r="A95" s="468"/>
      <c r="B95" s="469"/>
      <c r="C95" s="470"/>
      <c r="D95" s="471"/>
      <c r="E95" s="472"/>
      <c r="F95" s="425" t="s">
        <v>110</v>
      </c>
      <c r="G95" s="425" t="s">
        <v>111</v>
      </c>
      <c r="H95" s="425" t="s">
        <v>112</v>
      </c>
      <c r="I95" s="425" t="s">
        <v>111</v>
      </c>
      <c r="J95" s="141"/>
    </row>
    <row r="96" spans="1:10" ht="17.149999999999999" customHeight="1" thickBot="1" x14ac:dyDescent="0.35">
      <c r="A96" s="473" t="s">
        <v>113</v>
      </c>
      <c r="B96" s="474"/>
      <c r="C96" s="475"/>
      <c r="D96" s="476"/>
      <c r="E96" s="477"/>
      <c r="F96" s="432"/>
      <c r="G96" s="432"/>
      <c r="H96" s="432"/>
      <c r="I96" s="432"/>
      <c r="J96" s="141"/>
    </row>
    <row r="97" spans="1:10" ht="17.149999999999999" customHeight="1" thickBot="1" x14ac:dyDescent="0.35">
      <c r="A97" s="478" t="s">
        <v>135</v>
      </c>
      <c r="B97" s="440">
        <f>B98+B99+B100</f>
        <v>1638748.3236000002</v>
      </c>
      <c r="C97" s="440">
        <f>C98+C99+C100</f>
        <v>1232606.7692700028</v>
      </c>
      <c r="D97" s="440">
        <f>D98+D99+D100</f>
        <v>14101</v>
      </c>
      <c r="E97" s="440">
        <f>E98+E99+E100</f>
        <v>11966</v>
      </c>
      <c r="F97" s="440">
        <f t="shared" ref="F97:F103" si="24">B97-C97</f>
        <v>406141.55432999739</v>
      </c>
      <c r="G97" s="441">
        <f t="shared" ref="G97:G103" si="25">IF(C97&lt;&gt;0,(B97-C97)/C97)*100</f>
        <v>32.949807226073411</v>
      </c>
      <c r="H97" s="440">
        <f t="shared" ref="H97:H103" si="26">D97-E97</f>
        <v>2135</v>
      </c>
      <c r="I97" s="441">
        <f t="shared" ref="I97:I103" si="27">IF(E97&lt;&gt;0,(D97-E97)/E97)*100</f>
        <v>17.842219622263077</v>
      </c>
      <c r="J97" s="141"/>
    </row>
    <row r="98" spans="1:10" ht="17.149999999999999" customHeight="1" x14ac:dyDescent="0.3">
      <c r="A98" s="478" t="s">
        <v>136</v>
      </c>
      <c r="B98" s="725">
        <f>[10]V1!$B$98/1000</f>
        <v>1168367.9485099998</v>
      </c>
      <c r="C98" s="724">
        <f>([11]Déclaré!B98)/1000</f>
        <v>918023.15597000229</v>
      </c>
      <c r="D98" s="725">
        <f>[10]V1!$D$98</f>
        <v>9306</v>
      </c>
      <c r="E98" s="724">
        <f>[11]Déclaré!D98</f>
        <v>8159</v>
      </c>
      <c r="F98" s="644">
        <f t="shared" si="24"/>
        <v>250344.79253999749</v>
      </c>
      <c r="G98" s="697">
        <f t="shared" si="25"/>
        <v>27.269986700441994</v>
      </c>
      <c r="H98" s="644">
        <f t="shared" si="26"/>
        <v>1147</v>
      </c>
      <c r="I98" s="697">
        <f t="shared" si="27"/>
        <v>14.058095354822894</v>
      </c>
      <c r="J98" s="141"/>
    </row>
    <row r="99" spans="1:10" ht="17.149999999999999" customHeight="1" x14ac:dyDescent="0.3">
      <c r="A99" s="478" t="s">
        <v>116</v>
      </c>
      <c r="B99" s="725">
        <f>[10]V1!$B$99/1000</f>
        <v>470380.37509000051</v>
      </c>
      <c r="C99" s="724">
        <f>([11]Déclaré!B99)/1000</f>
        <v>314583.61330000067</v>
      </c>
      <c r="D99" s="725">
        <f>[10]V1!$D$99</f>
        <v>4795</v>
      </c>
      <c r="E99" s="724">
        <f>[11]Déclaré!D99</f>
        <v>3807</v>
      </c>
      <c r="F99" s="644">
        <f t="shared" si="24"/>
        <v>155796.76178999984</v>
      </c>
      <c r="G99" s="697">
        <f t="shared" si="25"/>
        <v>49.524754374737647</v>
      </c>
      <c r="H99" s="644">
        <f t="shared" si="26"/>
        <v>988</v>
      </c>
      <c r="I99" s="697">
        <f t="shared" si="27"/>
        <v>25.952193328079854</v>
      </c>
      <c r="J99" s="141"/>
    </row>
    <row r="100" spans="1:10" ht="17.149999999999999" customHeight="1" x14ac:dyDescent="0.3">
      <c r="A100" s="478" t="s">
        <v>143</v>
      </c>
      <c r="B100" s="725">
        <f>[10]V1!$B$100/1000</f>
        <v>0</v>
      </c>
      <c r="C100" s="724">
        <f>([11]Déclaré!B100)/1000</f>
        <v>0</v>
      </c>
      <c r="D100" s="725">
        <v>0</v>
      </c>
      <c r="E100" s="724">
        <f>[11]Déclaré!D100</f>
        <v>0</v>
      </c>
      <c r="F100" s="644">
        <f t="shared" si="24"/>
        <v>0</v>
      </c>
      <c r="G100" s="697">
        <f t="shared" si="25"/>
        <v>0</v>
      </c>
      <c r="H100" s="644">
        <f t="shared" si="26"/>
        <v>0</v>
      </c>
      <c r="I100" s="697">
        <f t="shared" si="27"/>
        <v>0</v>
      </c>
      <c r="J100" s="141"/>
    </row>
    <row r="101" spans="1:10" ht="17.149999999999999" customHeight="1" x14ac:dyDescent="0.3">
      <c r="A101" s="478" t="s">
        <v>139</v>
      </c>
      <c r="B101" s="725">
        <f>[10]V1!$B$101/1000</f>
        <v>321.63810999999998</v>
      </c>
      <c r="C101" s="724">
        <f>([11]Déclaré!B101)/1000</f>
        <v>180.16117000000006</v>
      </c>
      <c r="D101" s="725">
        <f>[10]V1!$D$101</f>
        <v>43</v>
      </c>
      <c r="E101" s="724">
        <f>[11]Déclaré!D101</f>
        <v>30</v>
      </c>
      <c r="F101" s="644">
        <f t="shared" si="24"/>
        <v>141.47693999999993</v>
      </c>
      <c r="G101" s="697">
        <f t="shared" si="25"/>
        <v>78.52798691305118</v>
      </c>
      <c r="H101" s="644">
        <f t="shared" si="26"/>
        <v>13</v>
      </c>
      <c r="I101" s="697">
        <f t="shared" si="27"/>
        <v>43.333333333333336</v>
      </c>
      <c r="J101" s="141"/>
    </row>
    <row r="102" spans="1:10" ht="17.149999999999999" customHeight="1" thickBot="1" x14ac:dyDescent="0.35">
      <c r="A102" s="478" t="s">
        <v>140</v>
      </c>
      <c r="B102" s="737">
        <v>0</v>
      </c>
      <c r="C102" s="724">
        <f>([11]Déclaré!B102)/1000</f>
        <v>0</v>
      </c>
      <c r="D102" s="738">
        <v>0</v>
      </c>
      <c r="E102" s="724">
        <f>[11]Déclaré!D102</f>
        <v>0</v>
      </c>
      <c r="F102" s="644">
        <f t="shared" si="24"/>
        <v>0</v>
      </c>
      <c r="G102" s="697">
        <f t="shared" si="25"/>
        <v>0</v>
      </c>
      <c r="H102" s="644">
        <f t="shared" si="26"/>
        <v>0</v>
      </c>
      <c r="I102" s="697">
        <f t="shared" si="27"/>
        <v>0</v>
      </c>
      <c r="J102" s="141"/>
    </row>
    <row r="103" spans="1:10" ht="17.149999999999999" customHeight="1" thickBot="1" x14ac:dyDescent="0.35">
      <c r="A103" s="480" t="s">
        <v>123</v>
      </c>
      <c r="B103" s="494">
        <f>B97+B101+B102</f>
        <v>1639069.9617100002</v>
      </c>
      <c r="C103" s="494">
        <f>C97+C101+C102</f>
        <v>1232786.9304400028</v>
      </c>
      <c r="D103" s="494">
        <f>D97+D101+D102</f>
        <v>14144</v>
      </c>
      <c r="E103" s="494">
        <f>E97+E101+E102</f>
        <v>11996</v>
      </c>
      <c r="F103" s="440">
        <f t="shared" si="24"/>
        <v>406283.03126999736</v>
      </c>
      <c r="G103" s="441">
        <f t="shared" si="25"/>
        <v>32.956468083660489</v>
      </c>
      <c r="H103" s="440">
        <f t="shared" si="26"/>
        <v>2148</v>
      </c>
      <c r="I103" s="441">
        <f t="shared" si="27"/>
        <v>17.905968656218739</v>
      </c>
      <c r="J103" s="141"/>
    </row>
    <row r="104" spans="1:10" ht="17.149999999999999" customHeight="1" x14ac:dyDescent="0.3">
      <c r="A104" s="495"/>
      <c r="B104" s="485"/>
      <c r="C104" s="486"/>
      <c r="D104" s="496"/>
      <c r="E104" s="486"/>
      <c r="F104" s="487"/>
      <c r="G104" s="497"/>
      <c r="H104" s="496"/>
      <c r="I104" s="498"/>
      <c r="J104" s="141"/>
    </row>
    <row r="105" spans="1:10" ht="17.149999999999999" customHeight="1" thickBot="1" x14ac:dyDescent="0.35">
      <c r="A105" s="499" t="s">
        <v>124</v>
      </c>
      <c r="B105" s="442"/>
      <c r="C105" s="443"/>
      <c r="D105" s="444"/>
      <c r="E105" s="443"/>
      <c r="F105" s="444"/>
      <c r="G105" s="445"/>
      <c r="H105" s="444"/>
      <c r="I105" s="446"/>
      <c r="J105" s="141"/>
    </row>
    <row r="106" spans="1:10" ht="17.149999999999999" customHeight="1" thickBot="1" x14ac:dyDescent="0.35">
      <c r="A106" s="478" t="s">
        <v>125</v>
      </c>
      <c r="B106" s="435">
        <f>SUM(B107:B110)</f>
        <v>784208.58958999848</v>
      </c>
      <c r="C106" s="435">
        <f>SUM(C107:C110)</f>
        <v>701532.66861999978</v>
      </c>
      <c r="D106" s="435">
        <f>SUM(D107:D110)</f>
        <v>9437</v>
      </c>
      <c r="E106" s="435">
        <f>SUM(E107:E110)</f>
        <v>8814</v>
      </c>
      <c r="F106" s="440">
        <f t="shared" ref="F106:F111" si="28">B106-C106</f>
        <v>82675.920969998697</v>
      </c>
      <c r="G106" s="441">
        <f t="shared" ref="G106:G111" si="29">IF(C106&lt;&gt;0,(B106-C106)/C106)*100</f>
        <v>11.785042189500926</v>
      </c>
      <c r="H106" s="440">
        <f t="shared" ref="H106:H111" si="30">D106-E106</f>
        <v>623</v>
      </c>
      <c r="I106" s="441">
        <f t="shared" ref="I106:I111" si="31">IF(E106&lt;&gt;0,(D106-E106)/E106)*100</f>
        <v>7.0683004311322888</v>
      </c>
      <c r="J106" s="141"/>
    </row>
    <row r="107" spans="1:10" ht="17.149999999999999" customHeight="1" x14ac:dyDescent="0.3">
      <c r="A107" s="447" t="s">
        <v>126</v>
      </c>
      <c r="B107" s="725">
        <f>[10]V1!$B$107/1000</f>
        <v>70292.07451000002</v>
      </c>
      <c r="C107" s="724">
        <f>([11]Déclaré!B107)/1000</f>
        <v>67921.647180000073</v>
      </c>
      <c r="D107" s="725">
        <f>[10]V1!$D$107</f>
        <v>1433</v>
      </c>
      <c r="E107" s="724">
        <f>[11]Déclaré!D107</f>
        <v>1371</v>
      </c>
      <c r="F107" s="644">
        <f t="shared" si="28"/>
        <v>2370.4273299999477</v>
      </c>
      <c r="G107" s="697">
        <f t="shared" si="29"/>
        <v>3.4899438226491277</v>
      </c>
      <c r="H107" s="644">
        <f t="shared" si="30"/>
        <v>62</v>
      </c>
      <c r="I107" s="697">
        <f t="shared" si="31"/>
        <v>4.522246535375638</v>
      </c>
      <c r="J107" s="141"/>
    </row>
    <row r="108" spans="1:10" ht="17.149999999999999" customHeight="1" x14ac:dyDescent="0.3">
      <c r="A108" s="447" t="s">
        <v>144</v>
      </c>
      <c r="B108" s="725">
        <f>[10]V1!$B$108/1000</f>
        <v>27237.951429999979</v>
      </c>
      <c r="C108" s="724">
        <f>([11]Déclaré!B108)/1000</f>
        <v>19641.76243999998</v>
      </c>
      <c r="D108" s="725">
        <f>[10]V1!$D$108</f>
        <v>708</v>
      </c>
      <c r="E108" s="724">
        <f>[11]Déclaré!D108</f>
        <v>570</v>
      </c>
      <c r="F108" s="644">
        <f t="shared" si="28"/>
        <v>7596.1889899999987</v>
      </c>
      <c r="G108" s="697">
        <f t="shared" si="29"/>
        <v>38.673662881343787</v>
      </c>
      <c r="H108" s="644">
        <f t="shared" si="30"/>
        <v>138</v>
      </c>
      <c r="I108" s="697">
        <f t="shared" si="31"/>
        <v>24.210526315789473</v>
      </c>
      <c r="J108" s="141"/>
    </row>
    <row r="109" spans="1:10" ht="17.149999999999999" customHeight="1" x14ac:dyDescent="0.3">
      <c r="A109" s="448" t="s">
        <v>141</v>
      </c>
      <c r="B109" s="725">
        <f>[10]V1!$B$109/1000</f>
        <v>69719.384780000037</v>
      </c>
      <c r="C109" s="724">
        <f>([11]Déclaré!B109)/1000</f>
        <v>73815.808159999899</v>
      </c>
      <c r="D109" s="725">
        <f>[10]V1!$D$109</f>
        <v>1189</v>
      </c>
      <c r="E109" s="724">
        <f>[11]Déclaré!D109</f>
        <v>1143</v>
      </c>
      <c r="F109" s="644">
        <f t="shared" si="28"/>
        <v>-4096.4233799998619</v>
      </c>
      <c r="G109" s="697">
        <f t="shared" si="29"/>
        <v>-5.5495204646688077</v>
      </c>
      <c r="H109" s="644">
        <f t="shared" si="30"/>
        <v>46</v>
      </c>
      <c r="I109" s="697">
        <f t="shared" si="31"/>
        <v>4.0244969378827644</v>
      </c>
      <c r="J109" s="141"/>
    </row>
    <row r="110" spans="1:10" ht="17.149999999999999" customHeight="1" x14ac:dyDescent="0.3">
      <c r="A110" s="447" t="s">
        <v>129</v>
      </c>
      <c r="B110" s="725">
        <f>[10]V1!$B$110/1000</f>
        <v>616959.17886999843</v>
      </c>
      <c r="C110" s="724">
        <f>([11]Déclaré!B110)/1000</f>
        <v>540153.45083999983</v>
      </c>
      <c r="D110" s="725">
        <f>[10]V1!$D$110</f>
        <v>6107</v>
      </c>
      <c r="E110" s="724">
        <f>[11]Déclaré!D110</f>
        <v>5730</v>
      </c>
      <c r="F110" s="644">
        <f t="shared" si="28"/>
        <v>76805.728029998601</v>
      </c>
      <c r="G110" s="697">
        <f t="shared" si="29"/>
        <v>14.219242311709198</v>
      </c>
      <c r="H110" s="644">
        <f t="shared" si="30"/>
        <v>377</v>
      </c>
      <c r="I110" s="697">
        <f t="shared" si="31"/>
        <v>6.5794066317626516</v>
      </c>
      <c r="J110" s="141"/>
    </row>
    <row r="111" spans="1:10" ht="17.149999999999999" customHeight="1" x14ac:dyDescent="0.3">
      <c r="A111" s="478" t="s">
        <v>130</v>
      </c>
      <c r="B111" s="729">
        <v>0</v>
      </c>
      <c r="C111" s="724">
        <f>([11]Déclaré!B111)/1000</f>
        <v>0</v>
      </c>
      <c r="D111" s="729">
        <v>0</v>
      </c>
      <c r="E111" s="724">
        <f>[11]Déclaré!D111</f>
        <v>0</v>
      </c>
      <c r="F111" s="644">
        <f t="shared" si="28"/>
        <v>0</v>
      </c>
      <c r="G111" s="697">
        <f t="shared" si="29"/>
        <v>0</v>
      </c>
      <c r="H111" s="644">
        <f t="shared" si="30"/>
        <v>0</v>
      </c>
      <c r="I111" s="697">
        <f t="shared" si="31"/>
        <v>0</v>
      </c>
      <c r="J111" s="141"/>
    </row>
    <row r="112" spans="1:10" ht="17.149999999999999" customHeight="1" x14ac:dyDescent="0.3">
      <c r="A112" s="478"/>
      <c r="B112" s="729">
        <v>0</v>
      </c>
      <c r="C112" s="696">
        <v>0</v>
      </c>
      <c r="D112" s="729"/>
      <c r="E112" s="696"/>
      <c r="F112" s="437"/>
      <c r="G112" s="449"/>
      <c r="H112" s="437"/>
      <c r="I112" s="449"/>
      <c r="J112" s="141"/>
    </row>
    <row r="113" spans="1:10" ht="17.149999999999999" customHeight="1" x14ac:dyDescent="0.3">
      <c r="A113" s="478"/>
      <c r="B113" s="729">
        <v>0</v>
      </c>
      <c r="C113" s="696">
        <v>0</v>
      </c>
      <c r="D113" s="729"/>
      <c r="E113" s="696"/>
      <c r="F113" s="437"/>
      <c r="G113" s="449"/>
      <c r="H113" s="437"/>
      <c r="I113" s="449"/>
      <c r="J113" s="141"/>
    </row>
    <row r="114" spans="1:10" ht="17.149999999999999" customHeight="1" thickBot="1" x14ac:dyDescent="0.35">
      <c r="A114" s="478"/>
      <c r="B114" s="730"/>
      <c r="C114" s="731"/>
      <c r="D114" s="732"/>
      <c r="E114" s="733"/>
      <c r="F114" s="734"/>
      <c r="G114" s="735"/>
      <c r="H114" s="732"/>
      <c r="I114" s="736"/>
      <c r="J114" s="141"/>
    </row>
    <row r="115" spans="1:10" ht="17.149999999999999" customHeight="1" thickBot="1" x14ac:dyDescent="0.35">
      <c r="A115" s="480" t="s">
        <v>131</v>
      </c>
      <c r="B115" s="435">
        <f>B106+B111</f>
        <v>784208.58958999848</v>
      </c>
      <c r="C115" s="435">
        <f>C106+C111</f>
        <v>701532.66861999978</v>
      </c>
      <c r="D115" s="435">
        <f>D106+D111</f>
        <v>9437</v>
      </c>
      <c r="E115" s="435">
        <f>E106+E111</f>
        <v>8814</v>
      </c>
      <c r="F115" s="711">
        <f>B115-C115</f>
        <v>82675.920969998697</v>
      </c>
      <c r="G115" s="712">
        <f>IF(C115&lt;&gt;0,(B115-C115)/C115)*100</f>
        <v>11.785042189500926</v>
      </c>
      <c r="H115" s="711">
        <f>D115-E115</f>
        <v>623</v>
      </c>
      <c r="I115" s="712">
        <f>IF(E115&lt;&gt;0,(D115-E115)/E115)*100</f>
        <v>7.0683004311322888</v>
      </c>
      <c r="J115" s="141"/>
    </row>
    <row r="116" spans="1:10" ht="17.149999999999999" customHeight="1" thickBot="1" x14ac:dyDescent="0.35">
      <c r="A116" s="478"/>
      <c r="B116" s="450"/>
      <c r="C116" s="450"/>
      <c r="D116" s="452"/>
      <c r="E116" s="452"/>
      <c r="F116" s="452"/>
      <c r="G116" s="453"/>
      <c r="H116" s="452"/>
      <c r="I116" s="454"/>
      <c r="J116" s="141"/>
    </row>
    <row r="117" spans="1:10" ht="17.149999999999999" customHeight="1" thickBot="1" x14ac:dyDescent="0.35">
      <c r="A117" s="480" t="s">
        <v>132</v>
      </c>
      <c r="B117" s="435">
        <f>B103+B115</f>
        <v>2423278.5512999985</v>
      </c>
      <c r="C117" s="435">
        <f>C103+C115</f>
        <v>1934319.5990600027</v>
      </c>
      <c r="D117" s="435">
        <f>D103+D115</f>
        <v>23581</v>
      </c>
      <c r="E117" s="435">
        <f>E103+E115</f>
        <v>20810</v>
      </c>
      <c r="F117" s="435">
        <f>B117-C117</f>
        <v>488958.95223999582</v>
      </c>
      <c r="G117" s="436">
        <f>IF(C117&lt;&gt;0,(B117-C117)/C117)*100</f>
        <v>25.278084990588379</v>
      </c>
      <c r="H117" s="435">
        <f>D117-E117</f>
        <v>2771</v>
      </c>
      <c r="I117" s="436">
        <f>IF(E117&lt;&gt;0,(D117-E117)/E117)*100</f>
        <v>13.315713599231138</v>
      </c>
      <c r="J117" s="141"/>
    </row>
    <row r="120" spans="1:10" ht="15.5" x14ac:dyDescent="0.35">
      <c r="B120" s="217">
        <f t="shared" ref="B120:E122" si="32">B41-B69+B97</f>
        <v>0</v>
      </c>
      <c r="C120" s="217">
        <f t="shared" si="32"/>
        <v>0</v>
      </c>
      <c r="D120" s="217">
        <f t="shared" si="32"/>
        <v>0</v>
      </c>
      <c r="E120" s="217">
        <f t="shared" si="32"/>
        <v>0</v>
      </c>
    </row>
    <row r="121" spans="1:10" ht="15.5" x14ac:dyDescent="0.35">
      <c r="B121" s="217">
        <f t="shared" si="32"/>
        <v>0</v>
      </c>
      <c r="C121" s="217">
        <f t="shared" si="32"/>
        <v>0</v>
      </c>
      <c r="D121" s="217">
        <f t="shared" si="32"/>
        <v>0</v>
      </c>
      <c r="E121" s="217">
        <f t="shared" si="32"/>
        <v>0</v>
      </c>
    </row>
    <row r="122" spans="1:10" ht="15.5" x14ac:dyDescent="0.35">
      <c r="B122" s="217">
        <f t="shared" si="32"/>
        <v>-6.4028427004814148E-10</v>
      </c>
      <c r="C122" s="217">
        <f t="shared" si="32"/>
        <v>0</v>
      </c>
      <c r="D122" s="217">
        <f t="shared" si="32"/>
        <v>0</v>
      </c>
      <c r="E122" s="217">
        <f t="shared" si="32"/>
        <v>0</v>
      </c>
    </row>
    <row r="123" spans="1:10" ht="15.5" x14ac:dyDescent="0.35">
      <c r="B123" s="217">
        <f t="shared" ref="B123:E127" si="33">B45-B72+B100</f>
        <v>0</v>
      </c>
      <c r="C123" s="217">
        <f t="shared" si="33"/>
        <v>0</v>
      </c>
      <c r="D123" s="217">
        <f t="shared" si="33"/>
        <v>0</v>
      </c>
      <c r="E123" s="217">
        <f t="shared" si="33"/>
        <v>0</v>
      </c>
    </row>
    <row r="124" spans="1:10" ht="15.5" x14ac:dyDescent="0.35">
      <c r="B124" s="217">
        <f t="shared" si="33"/>
        <v>0</v>
      </c>
      <c r="C124" s="217">
        <f t="shared" si="33"/>
        <v>-2.5579538487363607E-13</v>
      </c>
      <c r="D124" s="217">
        <f t="shared" si="33"/>
        <v>0</v>
      </c>
      <c r="E124" s="217">
        <f t="shared" si="33"/>
        <v>0</v>
      </c>
    </row>
    <row r="125" spans="1:10" ht="15.5" x14ac:dyDescent="0.35">
      <c r="B125" s="217">
        <f t="shared" si="33"/>
        <v>0</v>
      </c>
      <c r="C125" s="217">
        <f t="shared" si="33"/>
        <v>0</v>
      </c>
      <c r="D125" s="217">
        <f t="shared" si="33"/>
        <v>0</v>
      </c>
      <c r="E125" s="217">
        <f t="shared" si="33"/>
        <v>0</v>
      </c>
    </row>
    <row r="126" spans="1:10" ht="15.5" x14ac:dyDescent="0.35">
      <c r="B126" s="217">
        <f t="shared" si="33"/>
        <v>0</v>
      </c>
      <c r="C126" s="217">
        <f t="shared" si="33"/>
        <v>0</v>
      </c>
      <c r="D126" s="217">
        <f t="shared" si="33"/>
        <v>0</v>
      </c>
      <c r="E126" s="217">
        <f t="shared" si="33"/>
        <v>0</v>
      </c>
    </row>
    <row r="127" spans="1:10" ht="15.5" x14ac:dyDescent="0.35">
      <c r="B127" s="217">
        <f t="shared" si="33"/>
        <v>0</v>
      </c>
      <c r="C127" s="217">
        <f t="shared" si="33"/>
        <v>0</v>
      </c>
      <c r="D127" s="217">
        <f t="shared" si="33"/>
        <v>0</v>
      </c>
      <c r="E127" s="217">
        <f t="shared" si="33"/>
        <v>0</v>
      </c>
    </row>
    <row r="128" spans="1:10" ht="15.5" x14ac:dyDescent="0.35">
      <c r="B128" s="217">
        <f t="shared" ref="B128:E140" si="34">B49-B77+B105</f>
        <v>0</v>
      </c>
      <c r="C128" s="217">
        <f t="shared" si="34"/>
        <v>0</v>
      </c>
      <c r="D128" s="217">
        <f t="shared" si="34"/>
        <v>0</v>
      </c>
      <c r="E128" s="217">
        <f t="shared" si="34"/>
        <v>0</v>
      </c>
    </row>
    <row r="129" spans="2:5" customFormat="1" ht="15.5" x14ac:dyDescent="0.35">
      <c r="B129" s="217">
        <f t="shared" si="34"/>
        <v>0</v>
      </c>
      <c r="C129" s="217">
        <f>C50-C78+C106</f>
        <v>0</v>
      </c>
      <c r="D129" s="217">
        <f t="shared" si="34"/>
        <v>0</v>
      </c>
      <c r="E129" s="217">
        <f t="shared" si="34"/>
        <v>0</v>
      </c>
    </row>
    <row r="130" spans="2:5" customFormat="1" ht="15.5" x14ac:dyDescent="0.35">
      <c r="B130" s="217">
        <f t="shared" si="34"/>
        <v>0</v>
      </c>
      <c r="C130" s="217">
        <f t="shared" si="34"/>
        <v>0</v>
      </c>
      <c r="D130" s="217">
        <f t="shared" si="34"/>
        <v>0</v>
      </c>
      <c r="E130" s="217">
        <f t="shared" si="34"/>
        <v>0</v>
      </c>
    </row>
    <row r="131" spans="2:5" customFormat="1" ht="15.5" x14ac:dyDescent="0.35">
      <c r="B131" s="217">
        <f t="shared" si="34"/>
        <v>8.0035533756017685E-11</v>
      </c>
      <c r="C131" s="217">
        <f t="shared" si="34"/>
        <v>0</v>
      </c>
      <c r="D131" s="217">
        <f t="shared" si="34"/>
        <v>0</v>
      </c>
      <c r="E131" s="217">
        <f t="shared" si="34"/>
        <v>0</v>
      </c>
    </row>
    <row r="132" spans="2:5" customFormat="1" ht="15.5" x14ac:dyDescent="0.35">
      <c r="B132" s="217">
        <f t="shared" si="34"/>
        <v>0</v>
      </c>
      <c r="C132" s="217">
        <f t="shared" si="34"/>
        <v>0</v>
      </c>
      <c r="D132" s="217">
        <f t="shared" si="34"/>
        <v>0</v>
      </c>
      <c r="E132" s="217">
        <f t="shared" si="34"/>
        <v>0</v>
      </c>
    </row>
    <row r="133" spans="2:5" customFormat="1" ht="15.5" x14ac:dyDescent="0.35">
      <c r="B133" s="217">
        <f t="shared" si="34"/>
        <v>0</v>
      </c>
      <c r="C133" s="217">
        <f t="shared" si="34"/>
        <v>0</v>
      </c>
      <c r="D133" s="217">
        <f t="shared" si="34"/>
        <v>0</v>
      </c>
      <c r="E133" s="217">
        <f t="shared" si="34"/>
        <v>0</v>
      </c>
    </row>
    <row r="134" spans="2:5" customFormat="1" ht="15.5" x14ac:dyDescent="0.35">
      <c r="B134" s="217">
        <f t="shared" si="34"/>
        <v>0</v>
      </c>
      <c r="C134" s="217">
        <f>C55-C83+C111</f>
        <v>0</v>
      </c>
      <c r="D134" s="217">
        <f t="shared" si="34"/>
        <v>0</v>
      </c>
      <c r="E134" s="217">
        <f t="shared" si="34"/>
        <v>0</v>
      </c>
    </row>
    <row r="135" spans="2:5" customFormat="1" ht="15.5" x14ac:dyDescent="0.35">
      <c r="B135" s="217">
        <f t="shared" si="34"/>
        <v>0</v>
      </c>
      <c r="C135" s="217">
        <f t="shared" si="34"/>
        <v>0</v>
      </c>
      <c r="D135" s="217">
        <f t="shared" si="34"/>
        <v>0</v>
      </c>
      <c r="E135" s="217">
        <f t="shared" si="34"/>
        <v>0</v>
      </c>
    </row>
    <row r="136" spans="2:5" customFormat="1" ht="15.5" x14ac:dyDescent="0.35">
      <c r="B136" s="217">
        <f t="shared" si="34"/>
        <v>0</v>
      </c>
      <c r="C136" s="217">
        <f t="shared" si="34"/>
        <v>0</v>
      </c>
      <c r="D136" s="217">
        <f t="shared" si="34"/>
        <v>0</v>
      </c>
      <c r="E136" s="217">
        <f t="shared" si="34"/>
        <v>0</v>
      </c>
    </row>
    <row r="137" spans="2:5" customFormat="1" ht="15.5" x14ac:dyDescent="0.35">
      <c r="B137" s="217">
        <f t="shared" si="34"/>
        <v>0</v>
      </c>
      <c r="C137" s="217">
        <f t="shared" si="34"/>
        <v>0</v>
      </c>
      <c r="D137" s="217">
        <f t="shared" si="34"/>
        <v>0</v>
      </c>
      <c r="E137" s="217">
        <f t="shared" si="34"/>
        <v>0</v>
      </c>
    </row>
    <row r="138" spans="2:5" customFormat="1" ht="15.5" x14ac:dyDescent="0.35">
      <c r="B138" s="217">
        <f t="shared" si="34"/>
        <v>0</v>
      </c>
      <c r="C138" s="217">
        <f t="shared" si="34"/>
        <v>0</v>
      </c>
      <c r="D138" s="217">
        <f t="shared" si="34"/>
        <v>0</v>
      </c>
      <c r="E138" s="217">
        <f t="shared" si="34"/>
        <v>0</v>
      </c>
    </row>
    <row r="139" spans="2:5" customFormat="1" ht="15.5" x14ac:dyDescent="0.35">
      <c r="B139" s="217">
        <f t="shared" si="34"/>
        <v>0</v>
      </c>
      <c r="C139" s="217">
        <f t="shared" si="34"/>
        <v>0</v>
      </c>
      <c r="D139" s="217">
        <f t="shared" si="34"/>
        <v>0</v>
      </c>
      <c r="E139" s="217">
        <f t="shared" si="34"/>
        <v>0</v>
      </c>
    </row>
    <row r="140" spans="2:5" customFormat="1" ht="15.5" x14ac:dyDescent="0.35">
      <c r="B140" s="217">
        <f>B61-B89+B117</f>
        <v>0</v>
      </c>
      <c r="C140" s="217">
        <f t="shared" si="34"/>
        <v>0</v>
      </c>
      <c r="D140" s="217">
        <f t="shared" si="34"/>
        <v>0</v>
      </c>
      <c r="E140" s="217">
        <f t="shared" si="34"/>
        <v>0</v>
      </c>
    </row>
  </sheetData>
  <mergeCells count="3">
    <mergeCell ref="A3:E3"/>
    <mergeCell ref="B5:C5"/>
    <mergeCell ref="B36:C36"/>
  </mergeCells>
  <conditionalFormatting sqref="B11:E33">
    <cfRule type="cellIs" dxfId="3" priority="1" operator="lessThan">
      <formula>0</formula>
    </cfRule>
  </conditionalFormatting>
  <conditionalFormatting sqref="B37:E37 B39:E61 B63:E65 B67:E89 B91:E93 B95:E117">
    <cfRule type="cellIs" dxfId="2" priority="4" operator="lessThan">
      <formula>0</formula>
    </cfRule>
  </conditionalFormatting>
  <conditionalFormatting sqref="B62:I62">
    <cfRule type="cellIs" dxfId="1" priority="3" operator="lessThan">
      <formula>0</formula>
    </cfRule>
  </conditionalFormatting>
  <conditionalFormatting sqref="B90:I90">
    <cfRule type="cellIs" dxfId="0" priority="2" operator="lessThan">
      <formula>0</formula>
    </cfRule>
  </conditionalFormatting>
  <dataValidations disablePrompts="1" count="1">
    <dataValidation type="list" allowBlank="1" showInputMessage="1" showErrorMessage="1" sqref="B786437 IP786437 SL786437 ACH786437 AMD786437 AVZ786437 BFV786437 BPR786437 BZN786437 CJJ786437 CTF786437 DDB786437 DMX786437 DWT786437 EGP786437 EQL786437 FAH786437 FKD786437 FTZ786437 GDV786437 GNR786437 GXN786437 HHJ786437 HRF786437 IBB786437 IKX786437 IUT786437 JEP786437 JOL786437 JYH786437 KID786437 KRZ786437 LBV786437 LLR786437 LVN786437 MFJ786437 MPF786437 MZB786437 NIX786437 NST786437 OCP786437 OML786437 OWH786437 PGD786437 PPZ786437 PZV786437 QJR786437 QTN786437 RDJ786437 RNF786437 RXB786437 SGX786437 SQT786437 TAP786437 TKL786437 TUH786437 UED786437 UNZ786437 UXV786437 VHR786437 VRN786437 WBJ786437 WLF786437 WVB786437 B65572 IP65572 SL65572 ACH65572 AMD65572 AVZ65572 BFV65572 BPR65572 BZN65572 CJJ65572 CTF65572 DDB65572 DMX65572 DWT65572 EGP65572 EQL65572 FAH65572 FKD65572 FTZ65572 GDV65572 GNR65572 GXN65572 HHJ65572 HRF65572 IBB65572 IKX65572 IUT65572 JEP65572 JOL65572 JYH65572 KID65572 KRZ65572 LBV65572 LLR65572 LVN65572 MFJ65572 MPF65572 MZB65572 NIX65572 NST65572 OCP65572 OML65572 OWH65572 PGD65572 PPZ65572 PZV65572 QJR65572 QTN65572 RDJ65572 RNF65572 RXB65572 SGX65572 SQT65572 TAP65572 TKL65572 TUH65572 UED65572 UNZ65572 UXV65572 VHR65572 VRN65572 WBJ65572 WLF65572 WVB65572 B131108 IP131108 SL131108 ACH131108 AMD131108 AVZ131108 BFV131108 BPR131108 BZN131108 CJJ131108 CTF131108 DDB131108 DMX131108 DWT131108 EGP131108 EQL131108 FAH131108 FKD131108 FTZ131108 GDV131108 GNR131108 GXN131108 HHJ131108 HRF131108 IBB131108 IKX131108 IUT131108 JEP131108 JOL131108 JYH131108 KID131108 KRZ131108 LBV131108 LLR131108 LVN131108 MFJ131108 MPF131108 MZB131108 NIX131108 NST131108 OCP131108 OML131108 OWH131108 PGD131108 PPZ131108 PZV131108 QJR131108 QTN131108 RDJ131108 RNF131108 RXB131108 SGX131108 SQT131108 TAP131108 TKL131108 TUH131108 UED131108 UNZ131108 UXV131108 VHR131108 VRN131108 WBJ131108 WLF131108 WVB131108 B196644 IP196644 SL196644 ACH196644 AMD196644 AVZ196644 BFV196644 BPR196644 BZN196644 CJJ196644 CTF196644 DDB196644 DMX196644 DWT196644 EGP196644 EQL196644 FAH196644 FKD196644 FTZ196644 GDV196644 GNR196644 GXN196644 HHJ196644 HRF196644 IBB196644 IKX196644 IUT196644 JEP196644 JOL196644 JYH196644 KID196644 KRZ196644 LBV196644 LLR196644 LVN196644 MFJ196644 MPF196644 MZB196644 NIX196644 NST196644 OCP196644 OML196644 OWH196644 PGD196644 PPZ196644 PZV196644 QJR196644 QTN196644 RDJ196644 RNF196644 RXB196644 SGX196644 SQT196644 TAP196644 TKL196644 TUH196644 UED196644 UNZ196644 UXV196644 VHR196644 VRN196644 WBJ196644 WLF196644 WVB196644 B262180 IP262180 SL262180 ACH262180 AMD262180 AVZ262180 BFV262180 BPR262180 BZN262180 CJJ262180 CTF262180 DDB262180 DMX262180 DWT262180 EGP262180 EQL262180 FAH262180 FKD262180 FTZ262180 GDV262180 GNR262180 GXN262180 HHJ262180 HRF262180 IBB262180 IKX262180 IUT262180 JEP262180 JOL262180 JYH262180 KID262180 KRZ262180 LBV262180 LLR262180 LVN262180 MFJ262180 MPF262180 MZB262180 NIX262180 NST262180 OCP262180 OML262180 OWH262180 PGD262180 PPZ262180 PZV262180 QJR262180 QTN262180 RDJ262180 RNF262180 RXB262180 SGX262180 SQT262180 TAP262180 TKL262180 TUH262180 UED262180 UNZ262180 UXV262180 VHR262180 VRN262180 WBJ262180 WLF262180 WVB262180 B327716 IP327716 SL327716 ACH327716 AMD327716 AVZ327716 BFV327716 BPR327716 BZN327716 CJJ327716 CTF327716 DDB327716 DMX327716 DWT327716 EGP327716 EQL327716 FAH327716 FKD327716 FTZ327716 GDV327716 GNR327716 GXN327716 HHJ327716 HRF327716 IBB327716 IKX327716 IUT327716 JEP327716 JOL327716 JYH327716 KID327716 KRZ327716 LBV327716 LLR327716 LVN327716 MFJ327716 MPF327716 MZB327716 NIX327716 NST327716 OCP327716 OML327716 OWH327716 PGD327716 PPZ327716 PZV327716 QJR327716 QTN327716 RDJ327716 RNF327716 RXB327716 SGX327716 SQT327716 TAP327716 TKL327716 TUH327716 UED327716 UNZ327716 UXV327716 VHR327716 VRN327716 WBJ327716 WLF327716 WVB327716 B393252 IP393252 SL393252 ACH393252 AMD393252 AVZ393252 BFV393252 BPR393252 BZN393252 CJJ393252 CTF393252 DDB393252 DMX393252 DWT393252 EGP393252 EQL393252 FAH393252 FKD393252 FTZ393252 GDV393252 GNR393252 GXN393252 HHJ393252 HRF393252 IBB393252 IKX393252 IUT393252 JEP393252 JOL393252 JYH393252 KID393252 KRZ393252 LBV393252 LLR393252 LVN393252 MFJ393252 MPF393252 MZB393252 NIX393252 NST393252 OCP393252 OML393252 OWH393252 PGD393252 PPZ393252 PZV393252 QJR393252 QTN393252 RDJ393252 RNF393252 RXB393252 SGX393252 SQT393252 TAP393252 TKL393252 TUH393252 UED393252 UNZ393252 UXV393252 VHR393252 VRN393252 WBJ393252 WLF393252 WVB393252 B458788 IP458788 SL458788 ACH458788 AMD458788 AVZ458788 BFV458788 BPR458788 BZN458788 CJJ458788 CTF458788 DDB458788 DMX458788 DWT458788 EGP458788 EQL458788 FAH458788 FKD458788 FTZ458788 GDV458788 GNR458788 GXN458788 HHJ458788 HRF458788 IBB458788 IKX458788 IUT458788 JEP458788 JOL458788 JYH458788 KID458788 KRZ458788 LBV458788 LLR458788 LVN458788 MFJ458788 MPF458788 MZB458788 NIX458788 NST458788 OCP458788 OML458788 OWH458788 PGD458788 PPZ458788 PZV458788 QJR458788 QTN458788 RDJ458788 RNF458788 RXB458788 SGX458788 SQT458788 TAP458788 TKL458788 TUH458788 UED458788 UNZ458788 UXV458788 VHR458788 VRN458788 WBJ458788 WLF458788 WVB458788 B524324 IP524324 SL524324 ACH524324 AMD524324 AVZ524324 BFV524324 BPR524324 BZN524324 CJJ524324 CTF524324 DDB524324 DMX524324 DWT524324 EGP524324 EQL524324 FAH524324 FKD524324 FTZ524324 GDV524324 GNR524324 GXN524324 HHJ524324 HRF524324 IBB524324 IKX524324 IUT524324 JEP524324 JOL524324 JYH524324 KID524324 KRZ524324 LBV524324 LLR524324 LVN524324 MFJ524324 MPF524324 MZB524324 NIX524324 NST524324 OCP524324 OML524324 OWH524324 PGD524324 PPZ524324 PZV524324 QJR524324 QTN524324 RDJ524324 RNF524324 RXB524324 SGX524324 SQT524324 TAP524324 TKL524324 TUH524324 UED524324 UNZ524324 UXV524324 VHR524324 VRN524324 WBJ524324 WLF524324 WVB524324 B589860 IP589860 SL589860 ACH589860 AMD589860 AVZ589860 BFV589860 BPR589860 BZN589860 CJJ589860 CTF589860 DDB589860 DMX589860 DWT589860 EGP589860 EQL589860 FAH589860 FKD589860 FTZ589860 GDV589860 GNR589860 GXN589860 HHJ589860 HRF589860 IBB589860 IKX589860 IUT589860 JEP589860 JOL589860 JYH589860 KID589860 KRZ589860 LBV589860 LLR589860 LVN589860 MFJ589860 MPF589860 MZB589860 NIX589860 NST589860 OCP589860 OML589860 OWH589860 PGD589860 PPZ589860 PZV589860 QJR589860 QTN589860 RDJ589860 RNF589860 RXB589860 SGX589860 SQT589860 TAP589860 TKL589860 TUH589860 UED589860 UNZ589860 UXV589860 VHR589860 VRN589860 WBJ589860 WLF589860 WVB589860 B655396 IP655396 SL655396 ACH655396 AMD655396 AVZ655396 BFV655396 BPR655396 BZN655396 CJJ655396 CTF655396 DDB655396 DMX655396 DWT655396 EGP655396 EQL655396 FAH655396 FKD655396 FTZ655396 GDV655396 GNR655396 GXN655396 HHJ655396 HRF655396 IBB655396 IKX655396 IUT655396 JEP655396 JOL655396 JYH655396 KID655396 KRZ655396 LBV655396 LLR655396 LVN655396 MFJ655396 MPF655396 MZB655396 NIX655396 NST655396 OCP655396 OML655396 OWH655396 PGD655396 PPZ655396 PZV655396 QJR655396 QTN655396 RDJ655396 RNF655396 RXB655396 SGX655396 SQT655396 TAP655396 TKL655396 TUH655396 UED655396 UNZ655396 UXV655396 VHR655396 VRN655396 WBJ655396 WLF655396 WVB655396 B720932 IP720932 SL720932 ACH720932 AMD720932 AVZ720932 BFV720932 BPR720932 BZN720932 CJJ720932 CTF720932 DDB720932 DMX720932 DWT720932 EGP720932 EQL720932 FAH720932 FKD720932 FTZ720932 GDV720932 GNR720932 GXN720932 HHJ720932 HRF720932 IBB720932 IKX720932 IUT720932 JEP720932 JOL720932 JYH720932 KID720932 KRZ720932 LBV720932 LLR720932 LVN720932 MFJ720932 MPF720932 MZB720932 NIX720932 NST720932 OCP720932 OML720932 OWH720932 PGD720932 PPZ720932 PZV720932 QJR720932 QTN720932 RDJ720932 RNF720932 RXB720932 SGX720932 SQT720932 TAP720932 TKL720932 TUH720932 UED720932 UNZ720932 UXV720932 VHR720932 VRN720932 WBJ720932 WLF720932 WVB720932 B786468 IP786468 SL786468 ACH786468 AMD786468 AVZ786468 BFV786468 BPR786468 BZN786468 CJJ786468 CTF786468 DDB786468 DMX786468 DWT786468 EGP786468 EQL786468 FAH786468 FKD786468 FTZ786468 GDV786468 GNR786468 GXN786468 HHJ786468 HRF786468 IBB786468 IKX786468 IUT786468 JEP786468 JOL786468 JYH786468 KID786468 KRZ786468 LBV786468 LLR786468 LVN786468 MFJ786468 MPF786468 MZB786468 NIX786468 NST786468 OCP786468 OML786468 OWH786468 PGD786468 PPZ786468 PZV786468 QJR786468 QTN786468 RDJ786468 RNF786468 RXB786468 SGX786468 SQT786468 TAP786468 TKL786468 TUH786468 UED786468 UNZ786468 UXV786468 VHR786468 VRN786468 WBJ786468 WLF786468 WVB786468 B852004 IP852004 SL852004 ACH852004 AMD852004 AVZ852004 BFV852004 BPR852004 BZN852004 CJJ852004 CTF852004 DDB852004 DMX852004 DWT852004 EGP852004 EQL852004 FAH852004 FKD852004 FTZ852004 GDV852004 GNR852004 GXN852004 HHJ852004 HRF852004 IBB852004 IKX852004 IUT852004 JEP852004 JOL852004 JYH852004 KID852004 KRZ852004 LBV852004 LLR852004 LVN852004 MFJ852004 MPF852004 MZB852004 NIX852004 NST852004 OCP852004 OML852004 OWH852004 PGD852004 PPZ852004 PZV852004 QJR852004 QTN852004 RDJ852004 RNF852004 RXB852004 SGX852004 SQT852004 TAP852004 TKL852004 TUH852004 UED852004 UNZ852004 UXV852004 VHR852004 VRN852004 WBJ852004 WLF852004 WVB852004 B917540 IP917540 SL917540 ACH917540 AMD917540 AVZ917540 BFV917540 BPR917540 BZN917540 CJJ917540 CTF917540 DDB917540 DMX917540 DWT917540 EGP917540 EQL917540 FAH917540 FKD917540 FTZ917540 GDV917540 GNR917540 GXN917540 HHJ917540 HRF917540 IBB917540 IKX917540 IUT917540 JEP917540 JOL917540 JYH917540 KID917540 KRZ917540 LBV917540 LLR917540 LVN917540 MFJ917540 MPF917540 MZB917540 NIX917540 NST917540 OCP917540 OML917540 OWH917540 PGD917540 PPZ917540 PZV917540 QJR917540 QTN917540 RDJ917540 RNF917540 RXB917540 SGX917540 SQT917540 TAP917540 TKL917540 TUH917540 UED917540 UNZ917540 UXV917540 VHR917540 VRN917540 WBJ917540 WLF917540 WVB917540 B983076 IP983076 SL983076 ACH983076 AMD983076 AVZ983076 BFV983076 BPR983076 BZN983076 CJJ983076 CTF983076 DDB983076 DMX983076 DWT983076 EGP983076 EQL983076 FAH983076 FKD983076 FTZ983076 GDV983076 GNR983076 GXN983076 HHJ983076 HRF983076 IBB983076 IKX983076 IUT983076 JEP983076 JOL983076 JYH983076 KID983076 KRZ983076 LBV983076 LLR983076 LVN983076 MFJ983076 MPF983076 MZB983076 NIX983076 NST983076 OCP983076 OML983076 OWH983076 PGD983076 PPZ983076 PZV983076 QJR983076 QTN983076 RDJ983076 RNF983076 RXB983076 SGX983076 SQT983076 TAP983076 TKL983076 TUH983076 UED983076 UNZ983076 UXV983076 VHR983076 VRN983076 WBJ983076 WLF983076 WVB983076 B851973 IP851973 SL851973 ACH851973 AMD851973 AVZ851973 BFV851973 BPR851973 BZN851973 CJJ851973 CTF851973 DDB851973 DMX851973 DWT851973 EGP851973 EQL851973 FAH851973 FKD851973 FTZ851973 GDV851973 GNR851973 GXN851973 HHJ851973 HRF851973 IBB851973 IKX851973 IUT851973 JEP851973 JOL851973 JYH851973 KID851973 KRZ851973 LBV851973 LLR851973 LVN851973 MFJ851973 MPF851973 MZB851973 NIX851973 NST851973 OCP851973 OML851973 OWH851973 PGD851973 PPZ851973 PZV851973 QJR851973 QTN851973 RDJ851973 RNF851973 RXB851973 SGX851973 SQT851973 TAP851973 TKL851973 TUH851973 UED851973 UNZ851973 UXV851973 VHR851973 VRN851973 WBJ851973 WLF851973 WVB851973 B65600 IP65600 SL65600 ACH65600 AMD65600 AVZ65600 BFV65600 BPR65600 BZN65600 CJJ65600 CTF65600 DDB65600 DMX65600 DWT65600 EGP65600 EQL65600 FAH65600 FKD65600 FTZ65600 GDV65600 GNR65600 GXN65600 HHJ65600 HRF65600 IBB65600 IKX65600 IUT65600 JEP65600 JOL65600 JYH65600 KID65600 KRZ65600 LBV65600 LLR65600 LVN65600 MFJ65600 MPF65600 MZB65600 NIX65600 NST65600 OCP65600 OML65600 OWH65600 PGD65600 PPZ65600 PZV65600 QJR65600 QTN65600 RDJ65600 RNF65600 RXB65600 SGX65600 SQT65600 TAP65600 TKL65600 TUH65600 UED65600 UNZ65600 UXV65600 VHR65600 VRN65600 WBJ65600 WLF65600 WVB65600 B131136 IP131136 SL131136 ACH131136 AMD131136 AVZ131136 BFV131136 BPR131136 BZN131136 CJJ131136 CTF131136 DDB131136 DMX131136 DWT131136 EGP131136 EQL131136 FAH131136 FKD131136 FTZ131136 GDV131136 GNR131136 GXN131136 HHJ131136 HRF131136 IBB131136 IKX131136 IUT131136 JEP131136 JOL131136 JYH131136 KID131136 KRZ131136 LBV131136 LLR131136 LVN131136 MFJ131136 MPF131136 MZB131136 NIX131136 NST131136 OCP131136 OML131136 OWH131136 PGD131136 PPZ131136 PZV131136 QJR131136 QTN131136 RDJ131136 RNF131136 RXB131136 SGX131136 SQT131136 TAP131136 TKL131136 TUH131136 UED131136 UNZ131136 UXV131136 VHR131136 VRN131136 WBJ131136 WLF131136 WVB131136 B196672 IP196672 SL196672 ACH196672 AMD196672 AVZ196672 BFV196672 BPR196672 BZN196672 CJJ196672 CTF196672 DDB196672 DMX196672 DWT196672 EGP196672 EQL196672 FAH196672 FKD196672 FTZ196672 GDV196672 GNR196672 GXN196672 HHJ196672 HRF196672 IBB196672 IKX196672 IUT196672 JEP196672 JOL196672 JYH196672 KID196672 KRZ196672 LBV196672 LLR196672 LVN196672 MFJ196672 MPF196672 MZB196672 NIX196672 NST196672 OCP196672 OML196672 OWH196672 PGD196672 PPZ196672 PZV196672 QJR196672 QTN196672 RDJ196672 RNF196672 RXB196672 SGX196672 SQT196672 TAP196672 TKL196672 TUH196672 UED196672 UNZ196672 UXV196672 VHR196672 VRN196672 WBJ196672 WLF196672 WVB196672 B262208 IP262208 SL262208 ACH262208 AMD262208 AVZ262208 BFV262208 BPR262208 BZN262208 CJJ262208 CTF262208 DDB262208 DMX262208 DWT262208 EGP262208 EQL262208 FAH262208 FKD262208 FTZ262208 GDV262208 GNR262208 GXN262208 HHJ262208 HRF262208 IBB262208 IKX262208 IUT262208 JEP262208 JOL262208 JYH262208 KID262208 KRZ262208 LBV262208 LLR262208 LVN262208 MFJ262208 MPF262208 MZB262208 NIX262208 NST262208 OCP262208 OML262208 OWH262208 PGD262208 PPZ262208 PZV262208 QJR262208 QTN262208 RDJ262208 RNF262208 RXB262208 SGX262208 SQT262208 TAP262208 TKL262208 TUH262208 UED262208 UNZ262208 UXV262208 VHR262208 VRN262208 WBJ262208 WLF262208 WVB262208 B327744 IP327744 SL327744 ACH327744 AMD327744 AVZ327744 BFV327744 BPR327744 BZN327744 CJJ327744 CTF327744 DDB327744 DMX327744 DWT327744 EGP327744 EQL327744 FAH327744 FKD327744 FTZ327744 GDV327744 GNR327744 GXN327744 HHJ327744 HRF327744 IBB327744 IKX327744 IUT327744 JEP327744 JOL327744 JYH327744 KID327744 KRZ327744 LBV327744 LLR327744 LVN327744 MFJ327744 MPF327744 MZB327744 NIX327744 NST327744 OCP327744 OML327744 OWH327744 PGD327744 PPZ327744 PZV327744 QJR327744 QTN327744 RDJ327744 RNF327744 RXB327744 SGX327744 SQT327744 TAP327744 TKL327744 TUH327744 UED327744 UNZ327744 UXV327744 VHR327744 VRN327744 WBJ327744 WLF327744 WVB327744 B393280 IP393280 SL393280 ACH393280 AMD393280 AVZ393280 BFV393280 BPR393280 BZN393280 CJJ393280 CTF393280 DDB393280 DMX393280 DWT393280 EGP393280 EQL393280 FAH393280 FKD393280 FTZ393280 GDV393280 GNR393280 GXN393280 HHJ393280 HRF393280 IBB393280 IKX393280 IUT393280 JEP393280 JOL393280 JYH393280 KID393280 KRZ393280 LBV393280 LLR393280 LVN393280 MFJ393280 MPF393280 MZB393280 NIX393280 NST393280 OCP393280 OML393280 OWH393280 PGD393280 PPZ393280 PZV393280 QJR393280 QTN393280 RDJ393280 RNF393280 RXB393280 SGX393280 SQT393280 TAP393280 TKL393280 TUH393280 UED393280 UNZ393280 UXV393280 VHR393280 VRN393280 WBJ393280 WLF393280 WVB393280 B458816 IP458816 SL458816 ACH458816 AMD458816 AVZ458816 BFV458816 BPR458816 BZN458816 CJJ458816 CTF458816 DDB458816 DMX458816 DWT458816 EGP458816 EQL458816 FAH458816 FKD458816 FTZ458816 GDV458816 GNR458816 GXN458816 HHJ458816 HRF458816 IBB458816 IKX458816 IUT458816 JEP458816 JOL458816 JYH458816 KID458816 KRZ458816 LBV458816 LLR458816 LVN458816 MFJ458816 MPF458816 MZB458816 NIX458816 NST458816 OCP458816 OML458816 OWH458816 PGD458816 PPZ458816 PZV458816 QJR458816 QTN458816 RDJ458816 RNF458816 RXB458816 SGX458816 SQT458816 TAP458816 TKL458816 TUH458816 UED458816 UNZ458816 UXV458816 VHR458816 VRN458816 WBJ458816 WLF458816 WVB458816 B524352 IP524352 SL524352 ACH524352 AMD524352 AVZ524352 BFV524352 BPR524352 BZN524352 CJJ524352 CTF524352 DDB524352 DMX524352 DWT524352 EGP524352 EQL524352 FAH524352 FKD524352 FTZ524352 GDV524352 GNR524352 GXN524352 HHJ524352 HRF524352 IBB524352 IKX524352 IUT524352 JEP524352 JOL524352 JYH524352 KID524352 KRZ524352 LBV524352 LLR524352 LVN524352 MFJ524352 MPF524352 MZB524352 NIX524352 NST524352 OCP524352 OML524352 OWH524352 PGD524352 PPZ524352 PZV524352 QJR524352 QTN524352 RDJ524352 RNF524352 RXB524352 SGX524352 SQT524352 TAP524352 TKL524352 TUH524352 UED524352 UNZ524352 UXV524352 VHR524352 VRN524352 WBJ524352 WLF524352 WVB524352 B589888 IP589888 SL589888 ACH589888 AMD589888 AVZ589888 BFV589888 BPR589888 BZN589888 CJJ589888 CTF589888 DDB589888 DMX589888 DWT589888 EGP589888 EQL589888 FAH589888 FKD589888 FTZ589888 GDV589888 GNR589888 GXN589888 HHJ589888 HRF589888 IBB589888 IKX589888 IUT589888 JEP589888 JOL589888 JYH589888 KID589888 KRZ589888 LBV589888 LLR589888 LVN589888 MFJ589888 MPF589888 MZB589888 NIX589888 NST589888 OCP589888 OML589888 OWH589888 PGD589888 PPZ589888 PZV589888 QJR589888 QTN589888 RDJ589888 RNF589888 RXB589888 SGX589888 SQT589888 TAP589888 TKL589888 TUH589888 UED589888 UNZ589888 UXV589888 VHR589888 VRN589888 WBJ589888 WLF589888 WVB589888 B655424 IP655424 SL655424 ACH655424 AMD655424 AVZ655424 BFV655424 BPR655424 BZN655424 CJJ655424 CTF655424 DDB655424 DMX655424 DWT655424 EGP655424 EQL655424 FAH655424 FKD655424 FTZ655424 GDV655424 GNR655424 GXN655424 HHJ655424 HRF655424 IBB655424 IKX655424 IUT655424 JEP655424 JOL655424 JYH655424 KID655424 KRZ655424 LBV655424 LLR655424 LVN655424 MFJ655424 MPF655424 MZB655424 NIX655424 NST655424 OCP655424 OML655424 OWH655424 PGD655424 PPZ655424 PZV655424 QJR655424 QTN655424 RDJ655424 RNF655424 RXB655424 SGX655424 SQT655424 TAP655424 TKL655424 TUH655424 UED655424 UNZ655424 UXV655424 VHR655424 VRN655424 WBJ655424 WLF655424 WVB655424 B720960 IP720960 SL720960 ACH720960 AMD720960 AVZ720960 BFV720960 BPR720960 BZN720960 CJJ720960 CTF720960 DDB720960 DMX720960 DWT720960 EGP720960 EQL720960 FAH720960 FKD720960 FTZ720960 GDV720960 GNR720960 GXN720960 HHJ720960 HRF720960 IBB720960 IKX720960 IUT720960 JEP720960 JOL720960 JYH720960 KID720960 KRZ720960 LBV720960 LLR720960 LVN720960 MFJ720960 MPF720960 MZB720960 NIX720960 NST720960 OCP720960 OML720960 OWH720960 PGD720960 PPZ720960 PZV720960 QJR720960 QTN720960 RDJ720960 RNF720960 RXB720960 SGX720960 SQT720960 TAP720960 TKL720960 TUH720960 UED720960 UNZ720960 UXV720960 VHR720960 VRN720960 WBJ720960 WLF720960 WVB720960 B786496 IP786496 SL786496 ACH786496 AMD786496 AVZ786496 BFV786496 BPR786496 BZN786496 CJJ786496 CTF786496 DDB786496 DMX786496 DWT786496 EGP786496 EQL786496 FAH786496 FKD786496 FTZ786496 GDV786496 GNR786496 GXN786496 HHJ786496 HRF786496 IBB786496 IKX786496 IUT786496 JEP786496 JOL786496 JYH786496 KID786496 KRZ786496 LBV786496 LLR786496 LVN786496 MFJ786496 MPF786496 MZB786496 NIX786496 NST786496 OCP786496 OML786496 OWH786496 PGD786496 PPZ786496 PZV786496 QJR786496 QTN786496 RDJ786496 RNF786496 RXB786496 SGX786496 SQT786496 TAP786496 TKL786496 TUH786496 UED786496 UNZ786496 UXV786496 VHR786496 VRN786496 WBJ786496 WLF786496 WVB786496 B852032 IP852032 SL852032 ACH852032 AMD852032 AVZ852032 BFV852032 BPR852032 BZN852032 CJJ852032 CTF852032 DDB852032 DMX852032 DWT852032 EGP852032 EQL852032 FAH852032 FKD852032 FTZ852032 GDV852032 GNR852032 GXN852032 HHJ852032 HRF852032 IBB852032 IKX852032 IUT852032 JEP852032 JOL852032 JYH852032 KID852032 KRZ852032 LBV852032 LLR852032 LVN852032 MFJ852032 MPF852032 MZB852032 NIX852032 NST852032 OCP852032 OML852032 OWH852032 PGD852032 PPZ852032 PZV852032 QJR852032 QTN852032 RDJ852032 RNF852032 RXB852032 SGX852032 SQT852032 TAP852032 TKL852032 TUH852032 UED852032 UNZ852032 UXV852032 VHR852032 VRN852032 WBJ852032 WLF852032 WVB852032 B917568 IP917568 SL917568 ACH917568 AMD917568 AVZ917568 BFV917568 BPR917568 BZN917568 CJJ917568 CTF917568 DDB917568 DMX917568 DWT917568 EGP917568 EQL917568 FAH917568 FKD917568 FTZ917568 GDV917568 GNR917568 GXN917568 HHJ917568 HRF917568 IBB917568 IKX917568 IUT917568 JEP917568 JOL917568 JYH917568 KID917568 KRZ917568 LBV917568 LLR917568 LVN917568 MFJ917568 MPF917568 MZB917568 NIX917568 NST917568 OCP917568 OML917568 OWH917568 PGD917568 PPZ917568 PZV917568 QJR917568 QTN917568 RDJ917568 RNF917568 RXB917568 SGX917568 SQT917568 TAP917568 TKL917568 TUH917568 UED917568 UNZ917568 UXV917568 VHR917568 VRN917568 WBJ917568 WLF917568 WVB917568 B983104 IP983104 SL983104 ACH983104 AMD983104 AVZ983104 BFV983104 BPR983104 BZN983104 CJJ983104 CTF983104 DDB983104 DMX983104 DWT983104 EGP983104 EQL983104 FAH983104 FKD983104 FTZ983104 GDV983104 GNR983104 GXN983104 HHJ983104 HRF983104 IBB983104 IKX983104 IUT983104 JEP983104 JOL983104 JYH983104 KID983104 KRZ983104 LBV983104 LLR983104 LVN983104 MFJ983104 MPF983104 MZB983104 NIX983104 NST983104 OCP983104 OML983104 OWH983104 PGD983104 PPZ983104 PZV983104 QJR983104 QTN983104 RDJ983104 RNF983104 RXB983104 SGX983104 SQT983104 TAP983104 TKL983104 TUH983104 UED983104 UNZ983104 UXV983104 VHR983104 VRN983104 WBJ983104 WLF983104 WVB983104 B917509 IP917509 SL917509 ACH917509 AMD917509 AVZ917509 BFV917509 BPR917509 BZN917509 CJJ917509 CTF917509 DDB917509 DMX917509 DWT917509 EGP917509 EQL917509 FAH917509 FKD917509 FTZ917509 GDV917509 GNR917509 GXN917509 HHJ917509 HRF917509 IBB917509 IKX917509 IUT917509 JEP917509 JOL917509 JYH917509 KID917509 KRZ917509 LBV917509 LLR917509 LVN917509 MFJ917509 MPF917509 MZB917509 NIX917509 NST917509 OCP917509 OML917509 OWH917509 PGD917509 PPZ917509 PZV917509 QJR917509 QTN917509 RDJ917509 RNF917509 RXB917509 SGX917509 SQT917509 TAP917509 TKL917509 TUH917509 UED917509 UNZ917509 UXV917509 VHR917509 VRN917509 WBJ917509 WLF917509 WVB917509 B65628 IP65628 SL65628 ACH65628 AMD65628 AVZ65628 BFV65628 BPR65628 BZN65628 CJJ65628 CTF65628 DDB65628 DMX65628 DWT65628 EGP65628 EQL65628 FAH65628 FKD65628 FTZ65628 GDV65628 GNR65628 GXN65628 HHJ65628 HRF65628 IBB65628 IKX65628 IUT65628 JEP65628 JOL65628 JYH65628 KID65628 KRZ65628 LBV65628 LLR65628 LVN65628 MFJ65628 MPF65628 MZB65628 NIX65628 NST65628 OCP65628 OML65628 OWH65628 PGD65628 PPZ65628 PZV65628 QJR65628 QTN65628 RDJ65628 RNF65628 RXB65628 SGX65628 SQT65628 TAP65628 TKL65628 TUH65628 UED65628 UNZ65628 UXV65628 VHR65628 VRN65628 WBJ65628 WLF65628 WVB65628 B131164 IP131164 SL131164 ACH131164 AMD131164 AVZ131164 BFV131164 BPR131164 BZN131164 CJJ131164 CTF131164 DDB131164 DMX131164 DWT131164 EGP131164 EQL131164 FAH131164 FKD131164 FTZ131164 GDV131164 GNR131164 GXN131164 HHJ131164 HRF131164 IBB131164 IKX131164 IUT131164 JEP131164 JOL131164 JYH131164 KID131164 KRZ131164 LBV131164 LLR131164 LVN131164 MFJ131164 MPF131164 MZB131164 NIX131164 NST131164 OCP131164 OML131164 OWH131164 PGD131164 PPZ131164 PZV131164 QJR131164 QTN131164 RDJ131164 RNF131164 RXB131164 SGX131164 SQT131164 TAP131164 TKL131164 TUH131164 UED131164 UNZ131164 UXV131164 VHR131164 VRN131164 WBJ131164 WLF131164 WVB131164 B196700 IP196700 SL196700 ACH196700 AMD196700 AVZ196700 BFV196700 BPR196700 BZN196700 CJJ196700 CTF196700 DDB196700 DMX196700 DWT196700 EGP196700 EQL196700 FAH196700 FKD196700 FTZ196700 GDV196700 GNR196700 GXN196700 HHJ196700 HRF196700 IBB196700 IKX196700 IUT196700 JEP196700 JOL196700 JYH196700 KID196700 KRZ196700 LBV196700 LLR196700 LVN196700 MFJ196700 MPF196700 MZB196700 NIX196700 NST196700 OCP196700 OML196700 OWH196700 PGD196700 PPZ196700 PZV196700 QJR196700 QTN196700 RDJ196700 RNF196700 RXB196700 SGX196700 SQT196700 TAP196700 TKL196700 TUH196700 UED196700 UNZ196700 UXV196700 VHR196700 VRN196700 WBJ196700 WLF196700 WVB196700 B262236 IP262236 SL262236 ACH262236 AMD262236 AVZ262236 BFV262236 BPR262236 BZN262236 CJJ262236 CTF262236 DDB262236 DMX262236 DWT262236 EGP262236 EQL262236 FAH262236 FKD262236 FTZ262236 GDV262236 GNR262236 GXN262236 HHJ262236 HRF262236 IBB262236 IKX262236 IUT262236 JEP262236 JOL262236 JYH262236 KID262236 KRZ262236 LBV262236 LLR262236 LVN262236 MFJ262236 MPF262236 MZB262236 NIX262236 NST262236 OCP262236 OML262236 OWH262236 PGD262236 PPZ262236 PZV262236 QJR262236 QTN262236 RDJ262236 RNF262236 RXB262236 SGX262236 SQT262236 TAP262236 TKL262236 TUH262236 UED262236 UNZ262236 UXV262236 VHR262236 VRN262236 WBJ262236 WLF262236 WVB262236 B327772 IP327772 SL327772 ACH327772 AMD327772 AVZ327772 BFV327772 BPR327772 BZN327772 CJJ327772 CTF327772 DDB327772 DMX327772 DWT327772 EGP327772 EQL327772 FAH327772 FKD327772 FTZ327772 GDV327772 GNR327772 GXN327772 HHJ327772 HRF327772 IBB327772 IKX327772 IUT327772 JEP327772 JOL327772 JYH327772 KID327772 KRZ327772 LBV327772 LLR327772 LVN327772 MFJ327772 MPF327772 MZB327772 NIX327772 NST327772 OCP327772 OML327772 OWH327772 PGD327772 PPZ327772 PZV327772 QJR327772 QTN327772 RDJ327772 RNF327772 RXB327772 SGX327772 SQT327772 TAP327772 TKL327772 TUH327772 UED327772 UNZ327772 UXV327772 VHR327772 VRN327772 WBJ327772 WLF327772 WVB327772 B393308 IP393308 SL393308 ACH393308 AMD393308 AVZ393308 BFV393308 BPR393308 BZN393308 CJJ393308 CTF393308 DDB393308 DMX393308 DWT393308 EGP393308 EQL393308 FAH393308 FKD393308 FTZ393308 GDV393308 GNR393308 GXN393308 HHJ393308 HRF393308 IBB393308 IKX393308 IUT393308 JEP393308 JOL393308 JYH393308 KID393308 KRZ393308 LBV393308 LLR393308 LVN393308 MFJ393308 MPF393308 MZB393308 NIX393308 NST393308 OCP393308 OML393308 OWH393308 PGD393308 PPZ393308 PZV393308 QJR393308 QTN393308 RDJ393308 RNF393308 RXB393308 SGX393308 SQT393308 TAP393308 TKL393308 TUH393308 UED393308 UNZ393308 UXV393308 VHR393308 VRN393308 WBJ393308 WLF393308 WVB393308 B458844 IP458844 SL458844 ACH458844 AMD458844 AVZ458844 BFV458844 BPR458844 BZN458844 CJJ458844 CTF458844 DDB458844 DMX458844 DWT458844 EGP458844 EQL458844 FAH458844 FKD458844 FTZ458844 GDV458844 GNR458844 GXN458844 HHJ458844 HRF458844 IBB458844 IKX458844 IUT458844 JEP458844 JOL458844 JYH458844 KID458844 KRZ458844 LBV458844 LLR458844 LVN458844 MFJ458844 MPF458844 MZB458844 NIX458844 NST458844 OCP458844 OML458844 OWH458844 PGD458844 PPZ458844 PZV458844 QJR458844 QTN458844 RDJ458844 RNF458844 RXB458844 SGX458844 SQT458844 TAP458844 TKL458844 TUH458844 UED458844 UNZ458844 UXV458844 VHR458844 VRN458844 WBJ458844 WLF458844 WVB458844 B524380 IP524380 SL524380 ACH524380 AMD524380 AVZ524380 BFV524380 BPR524380 BZN524380 CJJ524380 CTF524380 DDB524380 DMX524380 DWT524380 EGP524380 EQL524380 FAH524380 FKD524380 FTZ524380 GDV524380 GNR524380 GXN524380 HHJ524380 HRF524380 IBB524380 IKX524380 IUT524380 JEP524380 JOL524380 JYH524380 KID524380 KRZ524380 LBV524380 LLR524380 LVN524380 MFJ524380 MPF524380 MZB524380 NIX524380 NST524380 OCP524380 OML524380 OWH524380 PGD524380 PPZ524380 PZV524380 QJR524380 QTN524380 RDJ524380 RNF524380 RXB524380 SGX524380 SQT524380 TAP524380 TKL524380 TUH524380 UED524380 UNZ524380 UXV524380 VHR524380 VRN524380 WBJ524380 WLF524380 WVB524380 B589916 IP589916 SL589916 ACH589916 AMD589916 AVZ589916 BFV589916 BPR589916 BZN589916 CJJ589916 CTF589916 DDB589916 DMX589916 DWT589916 EGP589916 EQL589916 FAH589916 FKD589916 FTZ589916 GDV589916 GNR589916 GXN589916 HHJ589916 HRF589916 IBB589916 IKX589916 IUT589916 JEP589916 JOL589916 JYH589916 KID589916 KRZ589916 LBV589916 LLR589916 LVN589916 MFJ589916 MPF589916 MZB589916 NIX589916 NST589916 OCP589916 OML589916 OWH589916 PGD589916 PPZ589916 PZV589916 QJR589916 QTN589916 RDJ589916 RNF589916 RXB589916 SGX589916 SQT589916 TAP589916 TKL589916 TUH589916 UED589916 UNZ589916 UXV589916 VHR589916 VRN589916 WBJ589916 WLF589916 WVB589916 B655452 IP655452 SL655452 ACH655452 AMD655452 AVZ655452 BFV655452 BPR655452 BZN655452 CJJ655452 CTF655452 DDB655452 DMX655452 DWT655452 EGP655452 EQL655452 FAH655452 FKD655452 FTZ655452 GDV655452 GNR655452 GXN655452 HHJ655452 HRF655452 IBB655452 IKX655452 IUT655452 JEP655452 JOL655452 JYH655452 KID655452 KRZ655452 LBV655452 LLR655452 LVN655452 MFJ655452 MPF655452 MZB655452 NIX655452 NST655452 OCP655452 OML655452 OWH655452 PGD655452 PPZ655452 PZV655452 QJR655452 QTN655452 RDJ655452 RNF655452 RXB655452 SGX655452 SQT655452 TAP655452 TKL655452 TUH655452 UED655452 UNZ655452 UXV655452 VHR655452 VRN655452 WBJ655452 WLF655452 WVB655452 B720988 IP720988 SL720988 ACH720988 AMD720988 AVZ720988 BFV720988 BPR720988 BZN720988 CJJ720988 CTF720988 DDB720988 DMX720988 DWT720988 EGP720988 EQL720988 FAH720988 FKD720988 FTZ720988 GDV720988 GNR720988 GXN720988 HHJ720988 HRF720988 IBB720988 IKX720988 IUT720988 JEP720988 JOL720988 JYH720988 KID720988 KRZ720988 LBV720988 LLR720988 LVN720988 MFJ720988 MPF720988 MZB720988 NIX720988 NST720988 OCP720988 OML720988 OWH720988 PGD720988 PPZ720988 PZV720988 QJR720988 QTN720988 RDJ720988 RNF720988 RXB720988 SGX720988 SQT720988 TAP720988 TKL720988 TUH720988 UED720988 UNZ720988 UXV720988 VHR720988 VRN720988 WBJ720988 WLF720988 WVB720988 B786524 IP786524 SL786524 ACH786524 AMD786524 AVZ786524 BFV786524 BPR786524 BZN786524 CJJ786524 CTF786524 DDB786524 DMX786524 DWT786524 EGP786524 EQL786524 FAH786524 FKD786524 FTZ786524 GDV786524 GNR786524 GXN786524 HHJ786524 HRF786524 IBB786524 IKX786524 IUT786524 JEP786524 JOL786524 JYH786524 KID786524 KRZ786524 LBV786524 LLR786524 LVN786524 MFJ786524 MPF786524 MZB786524 NIX786524 NST786524 OCP786524 OML786524 OWH786524 PGD786524 PPZ786524 PZV786524 QJR786524 QTN786524 RDJ786524 RNF786524 RXB786524 SGX786524 SQT786524 TAP786524 TKL786524 TUH786524 UED786524 UNZ786524 UXV786524 VHR786524 VRN786524 WBJ786524 WLF786524 WVB786524 B852060 IP852060 SL852060 ACH852060 AMD852060 AVZ852060 BFV852060 BPR852060 BZN852060 CJJ852060 CTF852060 DDB852060 DMX852060 DWT852060 EGP852060 EQL852060 FAH852060 FKD852060 FTZ852060 GDV852060 GNR852060 GXN852060 HHJ852060 HRF852060 IBB852060 IKX852060 IUT852060 JEP852060 JOL852060 JYH852060 KID852060 KRZ852060 LBV852060 LLR852060 LVN852060 MFJ852060 MPF852060 MZB852060 NIX852060 NST852060 OCP852060 OML852060 OWH852060 PGD852060 PPZ852060 PZV852060 QJR852060 QTN852060 RDJ852060 RNF852060 RXB852060 SGX852060 SQT852060 TAP852060 TKL852060 TUH852060 UED852060 UNZ852060 UXV852060 VHR852060 VRN852060 WBJ852060 WLF852060 WVB852060 B917596 IP917596 SL917596 ACH917596 AMD917596 AVZ917596 BFV917596 BPR917596 BZN917596 CJJ917596 CTF917596 DDB917596 DMX917596 DWT917596 EGP917596 EQL917596 FAH917596 FKD917596 FTZ917596 GDV917596 GNR917596 GXN917596 HHJ917596 HRF917596 IBB917596 IKX917596 IUT917596 JEP917596 JOL917596 JYH917596 KID917596 KRZ917596 LBV917596 LLR917596 LVN917596 MFJ917596 MPF917596 MZB917596 NIX917596 NST917596 OCP917596 OML917596 OWH917596 PGD917596 PPZ917596 PZV917596 QJR917596 QTN917596 RDJ917596 RNF917596 RXB917596 SGX917596 SQT917596 TAP917596 TKL917596 TUH917596 UED917596 UNZ917596 UXV917596 VHR917596 VRN917596 WBJ917596 WLF917596 WVB917596 B983132 IP983132 SL983132 ACH983132 AMD983132 AVZ983132 BFV983132 BPR983132 BZN983132 CJJ983132 CTF983132 DDB983132 DMX983132 DWT983132 EGP983132 EQL983132 FAH983132 FKD983132 FTZ983132 GDV983132 GNR983132 GXN983132 HHJ983132 HRF983132 IBB983132 IKX983132 IUT983132 JEP983132 JOL983132 JYH983132 KID983132 KRZ983132 LBV983132 LLR983132 LVN983132 MFJ983132 MPF983132 MZB983132 NIX983132 NST983132 OCP983132 OML983132 OWH983132 PGD983132 PPZ983132 PZV983132 QJR983132 QTN983132 RDJ983132 RNF983132 RXB983132 SGX983132 SQT983132 TAP983132 TKL983132 TUH983132 UED983132 UNZ983132 UXV983132 VHR983132 VRN983132 WBJ983132 WLF983132 WVB983132 B983045 IP983045 SL983045 ACH983045 AMD983045 AVZ983045 BFV983045 BPR983045 BZN983045 CJJ983045 CTF983045 DDB983045 DMX983045 DWT983045 EGP983045 EQL983045 FAH983045 FKD983045 FTZ983045 GDV983045 GNR983045 GXN983045 HHJ983045 HRF983045 IBB983045 IKX983045 IUT983045 JEP983045 JOL983045 JYH983045 KID983045 KRZ983045 LBV983045 LLR983045 LVN983045 MFJ983045 MPF983045 MZB983045 NIX983045 NST983045 OCP983045 OML983045 OWH983045 PGD983045 PPZ983045 PZV983045 QJR983045 QTN983045 RDJ983045 RNF983045 RXB983045 SGX983045 SQT983045 TAP983045 TKL983045 TUH983045 UED983045 UNZ983045 UXV983045 VHR983045 VRN983045 WBJ983045 WLF983045 WVB983045 B65541 IP65541 SL65541 ACH65541 AMD65541 AVZ65541 BFV65541 BPR65541 BZN65541 CJJ65541 CTF65541 DDB65541 DMX65541 DWT65541 EGP65541 EQL65541 FAH65541 FKD65541 FTZ65541 GDV65541 GNR65541 GXN65541 HHJ65541 HRF65541 IBB65541 IKX65541 IUT65541 JEP65541 JOL65541 JYH65541 KID65541 KRZ65541 LBV65541 LLR65541 LVN65541 MFJ65541 MPF65541 MZB65541 NIX65541 NST65541 OCP65541 OML65541 OWH65541 PGD65541 PPZ65541 PZV65541 QJR65541 QTN65541 RDJ65541 RNF65541 RXB65541 SGX65541 SQT65541 TAP65541 TKL65541 TUH65541 UED65541 UNZ65541 UXV65541 VHR65541 VRN65541 WBJ65541 WLF65541 WVB65541 B131077 IP131077 SL131077 ACH131077 AMD131077 AVZ131077 BFV131077 BPR131077 BZN131077 CJJ131077 CTF131077 DDB131077 DMX131077 DWT131077 EGP131077 EQL131077 FAH131077 FKD131077 FTZ131077 GDV131077 GNR131077 GXN131077 HHJ131077 HRF131077 IBB131077 IKX131077 IUT131077 JEP131077 JOL131077 JYH131077 KID131077 KRZ131077 LBV131077 LLR131077 LVN131077 MFJ131077 MPF131077 MZB131077 NIX131077 NST131077 OCP131077 OML131077 OWH131077 PGD131077 PPZ131077 PZV131077 QJR131077 QTN131077 RDJ131077 RNF131077 RXB131077 SGX131077 SQT131077 TAP131077 TKL131077 TUH131077 UED131077 UNZ131077 UXV131077 VHR131077 VRN131077 WBJ131077 WLF131077 WVB131077 B196613 IP196613 SL196613 ACH196613 AMD196613 AVZ196613 BFV196613 BPR196613 BZN196613 CJJ196613 CTF196613 DDB196613 DMX196613 DWT196613 EGP196613 EQL196613 FAH196613 FKD196613 FTZ196613 GDV196613 GNR196613 GXN196613 HHJ196613 HRF196613 IBB196613 IKX196613 IUT196613 JEP196613 JOL196613 JYH196613 KID196613 KRZ196613 LBV196613 LLR196613 LVN196613 MFJ196613 MPF196613 MZB196613 NIX196613 NST196613 OCP196613 OML196613 OWH196613 PGD196613 PPZ196613 PZV196613 QJR196613 QTN196613 RDJ196613 RNF196613 RXB196613 SGX196613 SQT196613 TAP196613 TKL196613 TUH196613 UED196613 UNZ196613 UXV196613 VHR196613 VRN196613 WBJ196613 WLF196613 WVB196613 B262149 IP262149 SL262149 ACH262149 AMD262149 AVZ262149 BFV262149 BPR262149 BZN262149 CJJ262149 CTF262149 DDB262149 DMX262149 DWT262149 EGP262149 EQL262149 FAH262149 FKD262149 FTZ262149 GDV262149 GNR262149 GXN262149 HHJ262149 HRF262149 IBB262149 IKX262149 IUT262149 JEP262149 JOL262149 JYH262149 KID262149 KRZ262149 LBV262149 LLR262149 LVN262149 MFJ262149 MPF262149 MZB262149 NIX262149 NST262149 OCP262149 OML262149 OWH262149 PGD262149 PPZ262149 PZV262149 QJR262149 QTN262149 RDJ262149 RNF262149 RXB262149 SGX262149 SQT262149 TAP262149 TKL262149 TUH262149 UED262149 UNZ262149 UXV262149 VHR262149 VRN262149 WBJ262149 WLF262149 WVB262149 B327685 IP327685 SL327685 ACH327685 AMD327685 AVZ327685 BFV327685 BPR327685 BZN327685 CJJ327685 CTF327685 DDB327685 DMX327685 DWT327685 EGP327685 EQL327685 FAH327685 FKD327685 FTZ327685 GDV327685 GNR327685 GXN327685 HHJ327685 HRF327685 IBB327685 IKX327685 IUT327685 JEP327685 JOL327685 JYH327685 KID327685 KRZ327685 LBV327685 LLR327685 LVN327685 MFJ327685 MPF327685 MZB327685 NIX327685 NST327685 OCP327685 OML327685 OWH327685 PGD327685 PPZ327685 PZV327685 QJR327685 QTN327685 RDJ327685 RNF327685 RXB327685 SGX327685 SQT327685 TAP327685 TKL327685 TUH327685 UED327685 UNZ327685 UXV327685 VHR327685 VRN327685 WBJ327685 WLF327685 WVB327685 B393221 IP393221 SL393221 ACH393221 AMD393221 AVZ393221 BFV393221 BPR393221 BZN393221 CJJ393221 CTF393221 DDB393221 DMX393221 DWT393221 EGP393221 EQL393221 FAH393221 FKD393221 FTZ393221 GDV393221 GNR393221 GXN393221 HHJ393221 HRF393221 IBB393221 IKX393221 IUT393221 JEP393221 JOL393221 JYH393221 KID393221 KRZ393221 LBV393221 LLR393221 LVN393221 MFJ393221 MPF393221 MZB393221 NIX393221 NST393221 OCP393221 OML393221 OWH393221 PGD393221 PPZ393221 PZV393221 QJR393221 QTN393221 RDJ393221 RNF393221 RXB393221 SGX393221 SQT393221 TAP393221 TKL393221 TUH393221 UED393221 UNZ393221 UXV393221 VHR393221 VRN393221 WBJ393221 WLF393221 WVB393221 B458757 IP458757 SL458757 ACH458757 AMD458757 AVZ458757 BFV458757 BPR458757 BZN458757 CJJ458757 CTF458757 DDB458757 DMX458757 DWT458757 EGP458757 EQL458757 FAH458757 FKD458757 FTZ458757 GDV458757 GNR458757 GXN458757 HHJ458757 HRF458757 IBB458757 IKX458757 IUT458757 JEP458757 JOL458757 JYH458757 KID458757 KRZ458757 LBV458757 LLR458757 LVN458757 MFJ458757 MPF458757 MZB458757 NIX458757 NST458757 OCP458757 OML458757 OWH458757 PGD458757 PPZ458757 PZV458757 QJR458757 QTN458757 RDJ458757 RNF458757 RXB458757 SGX458757 SQT458757 TAP458757 TKL458757 TUH458757 UED458757 UNZ458757 UXV458757 VHR458757 VRN458757 WBJ458757 WLF458757 WVB458757 B524293 IP524293 SL524293 ACH524293 AMD524293 AVZ524293 BFV524293 BPR524293 BZN524293 CJJ524293 CTF524293 DDB524293 DMX524293 DWT524293 EGP524293 EQL524293 FAH524293 FKD524293 FTZ524293 GDV524293 GNR524293 GXN524293 HHJ524293 HRF524293 IBB524293 IKX524293 IUT524293 JEP524293 JOL524293 JYH524293 KID524293 KRZ524293 LBV524293 LLR524293 LVN524293 MFJ524293 MPF524293 MZB524293 NIX524293 NST524293 OCP524293 OML524293 OWH524293 PGD524293 PPZ524293 PZV524293 QJR524293 QTN524293 RDJ524293 RNF524293 RXB524293 SGX524293 SQT524293 TAP524293 TKL524293 TUH524293 UED524293 UNZ524293 UXV524293 VHR524293 VRN524293 WBJ524293 WLF524293 WVB524293 B589829 IP589829 SL589829 ACH589829 AMD589829 AVZ589829 BFV589829 BPR589829 BZN589829 CJJ589829 CTF589829 DDB589829 DMX589829 DWT589829 EGP589829 EQL589829 FAH589829 FKD589829 FTZ589829 GDV589829 GNR589829 GXN589829 HHJ589829 HRF589829 IBB589829 IKX589829 IUT589829 JEP589829 JOL589829 JYH589829 KID589829 KRZ589829 LBV589829 LLR589829 LVN589829 MFJ589829 MPF589829 MZB589829 NIX589829 NST589829 OCP589829 OML589829 OWH589829 PGD589829 PPZ589829 PZV589829 QJR589829 QTN589829 RDJ589829 RNF589829 RXB589829 SGX589829 SQT589829 TAP589829 TKL589829 TUH589829 UED589829 UNZ589829 UXV589829 VHR589829 VRN589829 WBJ589829 WLF589829 WVB589829 B655365 IP655365 SL655365 ACH655365 AMD655365 AVZ655365 BFV655365 BPR655365 BZN655365 CJJ655365 CTF655365 DDB655365 DMX655365 DWT655365 EGP655365 EQL655365 FAH655365 FKD655365 FTZ655365 GDV655365 GNR655365 GXN655365 HHJ655365 HRF655365 IBB655365 IKX655365 IUT655365 JEP655365 JOL655365 JYH655365 KID655365 KRZ655365 LBV655365 LLR655365 LVN655365 MFJ655365 MPF655365 MZB655365 NIX655365 NST655365 OCP655365 OML655365 OWH655365 PGD655365 PPZ655365 PZV655365 QJR655365 QTN655365 RDJ655365 RNF655365 RXB655365 SGX655365 SQT655365 TAP655365 TKL655365 TUH655365 UED655365 UNZ655365 UXV655365 VHR655365 VRN655365 WBJ655365 WLF655365 WVB655365 B720901 IP720901 SL720901 ACH720901 AMD720901 AVZ720901 BFV720901 BPR720901 BZN720901 CJJ720901 CTF720901 DDB720901 DMX720901 DWT720901 EGP720901 EQL720901 FAH720901 FKD720901 FTZ720901 GDV720901 GNR720901 GXN720901 HHJ720901 HRF720901 IBB720901 IKX720901 IUT720901 JEP720901 JOL720901 JYH720901 KID720901 KRZ720901 LBV720901 LLR720901 LVN720901 MFJ720901 MPF720901 MZB720901 NIX720901 NST720901 OCP720901 OML720901 OWH720901 PGD720901 PPZ720901 PZV720901 QJR720901 QTN720901 RDJ720901 RNF720901 RXB720901 SGX720901 SQT720901 TAP720901 TKL720901 TUH720901 UED720901 UNZ720901 UXV720901 VHR720901 VRN720901 WBJ720901 WLF720901 WVB720901 UOH5 UYD5 VHZ5 WBR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LN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VJ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VRV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B36 B5 B92 B64" xr:uid="{00000000-0002-0000-1400-000000000000}">
      <formula1>#REF!</formula1>
    </dataValidation>
  </dataValidations>
  <pageMargins left="0.7" right="0.7" top="0.75" bottom="0.75" header="0.3" footer="0.3"/>
  <pageSetup paperSize="9" scale="38"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2"/>
  <dimension ref="A1:J140"/>
  <sheetViews>
    <sheetView showGridLines="0" view="pageBreakPreview" zoomScale="90" zoomScaleNormal="80" zoomScaleSheetLayoutView="90" workbookViewId="0">
      <selection sqref="A1:I1048576"/>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0" ht="15" customHeight="1" x14ac:dyDescent="0.3">
      <c r="A1" s="364" t="s">
        <v>101</v>
      </c>
      <c r="B1" s="66"/>
      <c r="C1" s="66"/>
      <c r="D1" s="66"/>
      <c r="E1" s="66"/>
      <c r="F1" s="66"/>
      <c r="G1" s="66"/>
      <c r="H1" s="66"/>
      <c r="I1" s="66"/>
      <c r="J1"/>
    </row>
    <row r="2" spans="1:10" ht="15" customHeight="1" x14ac:dyDescent="0.25">
      <c r="A2" s="365"/>
      <c r="B2" s="66"/>
      <c r="C2" s="66"/>
      <c r="D2" s="66"/>
      <c r="E2" s="66"/>
      <c r="F2" s="66"/>
      <c r="G2" s="66"/>
      <c r="H2" s="66"/>
      <c r="I2" s="66"/>
      <c r="J2"/>
    </row>
    <row r="3" spans="1:10" ht="15" customHeight="1" x14ac:dyDescent="0.25">
      <c r="A3" s="800" t="s">
        <v>102</v>
      </c>
      <c r="B3" s="800"/>
      <c r="C3" s="800"/>
      <c r="D3" s="800"/>
      <c r="E3" s="800"/>
      <c r="F3" s="66"/>
      <c r="G3" s="66"/>
      <c r="H3" s="66"/>
      <c r="I3" s="66"/>
      <c r="J3"/>
    </row>
    <row r="4" spans="1:10" ht="15" customHeight="1" x14ac:dyDescent="0.25">
      <c r="A4" s="365"/>
      <c r="B4" s="66"/>
      <c r="C4" s="66"/>
      <c r="D4" s="66"/>
      <c r="E4" s="66"/>
      <c r="F4" s="66"/>
      <c r="G4" s="66"/>
      <c r="H4" s="66"/>
      <c r="I4" s="66"/>
      <c r="J4"/>
    </row>
    <row r="5" spans="1:10" ht="15" customHeight="1" thickBot="1" x14ac:dyDescent="0.3">
      <c r="A5" s="67" t="s">
        <v>103</v>
      </c>
      <c r="B5" s="836"/>
      <c r="C5" s="836"/>
      <c r="D5" s="68"/>
      <c r="E5" s="68"/>
      <c r="F5" s="66"/>
      <c r="G5" s="66"/>
      <c r="H5" s="66"/>
      <c r="I5" s="66"/>
      <c r="J5"/>
    </row>
    <row r="6" spans="1:10" thickBot="1" x14ac:dyDescent="0.3">
      <c r="A6" s="366" t="s">
        <v>104</v>
      </c>
      <c r="B6" s="818" t="s">
        <v>105</v>
      </c>
      <c r="C6" s="819"/>
      <c r="D6" s="837" t="s">
        <v>106</v>
      </c>
      <c r="E6" s="838"/>
      <c r="F6" s="818" t="s">
        <v>107</v>
      </c>
      <c r="G6" s="832"/>
      <c r="H6" s="832"/>
      <c r="I6" s="819"/>
      <c r="J6"/>
    </row>
    <row r="7" spans="1:10" thickBot="1" x14ac:dyDescent="0.3">
      <c r="A7" s="367" t="s">
        <v>108</v>
      </c>
      <c r="B7" s="324">
        <v>2023</v>
      </c>
      <c r="C7" s="324">
        <v>2022</v>
      </c>
      <c r="D7" s="324">
        <v>2023</v>
      </c>
      <c r="E7" s="71">
        <v>2022</v>
      </c>
      <c r="F7" s="818" t="s">
        <v>105</v>
      </c>
      <c r="G7" s="819"/>
      <c r="H7" s="818" t="s">
        <v>106</v>
      </c>
      <c r="I7" s="819"/>
      <c r="J7"/>
    </row>
    <row r="8" spans="1:10" ht="12.5" x14ac:dyDescent="0.25">
      <c r="A8" s="844" t="s">
        <v>109</v>
      </c>
      <c r="B8" s="826"/>
      <c r="C8" s="827"/>
      <c r="D8" s="827"/>
      <c r="E8" s="828"/>
      <c r="F8" s="828" t="s">
        <v>110</v>
      </c>
      <c r="G8" s="822" t="s">
        <v>111</v>
      </c>
      <c r="H8" s="822" t="s">
        <v>112</v>
      </c>
      <c r="I8" s="822" t="s">
        <v>111</v>
      </c>
      <c r="J8"/>
    </row>
    <row r="9" spans="1:10" thickBot="1" x14ac:dyDescent="0.3">
      <c r="A9" s="845"/>
      <c r="B9" s="850"/>
      <c r="C9" s="851"/>
      <c r="D9" s="851"/>
      <c r="E9" s="833"/>
      <c r="F9" s="833"/>
      <c r="G9" s="834"/>
      <c r="H9" s="834"/>
      <c r="I9" s="834"/>
      <c r="J9"/>
    </row>
    <row r="10" spans="1:10" thickBot="1" x14ac:dyDescent="0.3">
      <c r="A10" s="368" t="s">
        <v>113</v>
      </c>
      <c r="B10" s="73"/>
      <c r="C10" s="74"/>
      <c r="D10" s="74"/>
      <c r="E10" s="75"/>
      <c r="F10" s="76"/>
      <c r="G10" s="76"/>
      <c r="H10" s="76"/>
      <c r="I10" s="77"/>
      <c r="J10"/>
    </row>
    <row r="11" spans="1:10" ht="12.5" x14ac:dyDescent="0.25">
      <c r="A11" s="643" t="s">
        <v>114</v>
      </c>
      <c r="B11" s="78"/>
      <c r="C11" s="78"/>
      <c r="D11" s="78"/>
      <c r="E11" s="78"/>
      <c r="F11" s="78">
        <f>B11-C11</f>
        <v>0</v>
      </c>
      <c r="G11" s="78">
        <f>IF(C11&lt;&gt;0,(B11-C11)/C11)*100</f>
        <v>0</v>
      </c>
      <c r="H11" s="78">
        <f>D11-E11</f>
        <v>0</v>
      </c>
      <c r="I11" s="79">
        <f>IF(E11&lt;&gt;0,(D11-E11)/E11)*100</f>
        <v>0</v>
      </c>
      <c r="J11"/>
    </row>
    <row r="12" spans="1:10" ht="12.5" x14ac:dyDescent="0.25">
      <c r="A12" s="643" t="s">
        <v>115</v>
      </c>
      <c r="B12" s="644"/>
      <c r="C12" s="645"/>
      <c r="D12" s="644"/>
      <c r="E12" s="645"/>
      <c r="F12" s="646">
        <f>B12-C12</f>
        <v>0</v>
      </c>
      <c r="G12" s="647">
        <f>IF(C12&lt;&gt;0,(B12-C12)/C12)*100</f>
        <v>0</v>
      </c>
      <c r="H12" s="646">
        <f>D12-E12</f>
        <v>0</v>
      </c>
      <c r="I12" s="647">
        <f>IF(E12&lt;&gt;0,(D12-E12)/E12)*100</f>
        <v>0</v>
      </c>
      <c r="J12"/>
    </row>
    <row r="13" spans="1:10" ht="12.5" x14ac:dyDescent="0.25">
      <c r="A13" s="643" t="s">
        <v>116</v>
      </c>
      <c r="B13" s="646"/>
      <c r="C13" s="646"/>
      <c r="D13" s="648"/>
      <c r="E13" s="648"/>
      <c r="F13" s="646">
        <f>B13-C13</f>
        <v>0</v>
      </c>
      <c r="G13" s="647">
        <f>IF(C13&lt;&gt;0,(B13-C13)/C13)*100</f>
        <v>0</v>
      </c>
      <c r="H13" s="646">
        <f>D13-E13</f>
        <v>0</v>
      </c>
      <c r="I13" s="647">
        <f>IF(E13&lt;&gt;0,(D13-E13)/E13)*100</f>
        <v>0</v>
      </c>
      <c r="J13"/>
    </row>
    <row r="14" spans="1:10" ht="12.5" x14ac:dyDescent="0.25">
      <c r="A14" s="649" t="s">
        <v>117</v>
      </c>
      <c r="B14" s="644"/>
      <c r="C14" s="644"/>
      <c r="D14" s="644"/>
      <c r="E14" s="645"/>
      <c r="F14" s="646"/>
      <c r="G14" s="650"/>
      <c r="H14" s="646"/>
      <c r="I14" s="650"/>
      <c r="J14"/>
    </row>
    <row r="15" spans="1:10" ht="12.5" x14ac:dyDescent="0.25">
      <c r="A15" s="649" t="s">
        <v>118</v>
      </c>
      <c r="B15" s="644"/>
      <c r="C15" s="644"/>
      <c r="D15" s="644"/>
      <c r="E15" s="645"/>
      <c r="F15" s="646"/>
      <c r="G15" s="650"/>
      <c r="H15" s="646"/>
      <c r="I15" s="650"/>
      <c r="J15"/>
    </row>
    <row r="16" spans="1:10" ht="12.5" x14ac:dyDescent="0.25">
      <c r="A16" s="649" t="s">
        <v>119</v>
      </c>
      <c r="B16" s="644"/>
      <c r="C16" s="644"/>
      <c r="D16" s="644"/>
      <c r="E16" s="645"/>
      <c r="F16" s="646"/>
      <c r="G16" s="650"/>
      <c r="H16" s="646"/>
      <c r="I16" s="650"/>
      <c r="J16"/>
    </row>
    <row r="17" spans="1:10" ht="12.5" x14ac:dyDescent="0.25">
      <c r="A17" s="651" t="s">
        <v>120</v>
      </c>
      <c r="B17" s="644"/>
      <c r="C17" s="645"/>
      <c r="D17" s="644"/>
      <c r="E17" s="645"/>
      <c r="F17" s="646">
        <f>B17-C17</f>
        <v>0</v>
      </c>
      <c r="G17" s="647">
        <f>IF(C17&lt;&gt;0,(B17-C17)/C17)*100</f>
        <v>0</v>
      </c>
      <c r="H17" s="646">
        <f>D17-E17</f>
        <v>0</v>
      </c>
      <c r="I17" s="647">
        <f>IF(E17&lt;&gt;0,(D17-E17)/E17)*100</f>
        <v>0</v>
      </c>
      <c r="J17"/>
    </row>
    <row r="18" spans="1:10" ht="12.5" x14ac:dyDescent="0.25">
      <c r="A18" s="643" t="s">
        <v>121</v>
      </c>
      <c r="B18" s="644"/>
      <c r="C18" s="645"/>
      <c r="D18" s="644"/>
      <c r="E18" s="645"/>
      <c r="F18" s="646">
        <f>B18-C18</f>
        <v>0</v>
      </c>
      <c r="G18" s="647">
        <f>IF(C18&lt;&gt;0,(B18-C18)/C18)*100</f>
        <v>0</v>
      </c>
      <c r="H18" s="646">
        <f>D18-E18</f>
        <v>0</v>
      </c>
      <c r="I18" s="647">
        <f>IF(E18&lt;&gt;0,(D18-E18)/E18)*100</f>
        <v>0</v>
      </c>
      <c r="J18"/>
    </row>
    <row r="19" spans="1:10" thickBot="1" x14ac:dyDescent="0.3">
      <c r="A19" s="652" t="s">
        <v>122</v>
      </c>
      <c r="B19" s="653"/>
      <c r="C19" s="654"/>
      <c r="D19" s="653"/>
      <c r="E19" s="654"/>
      <c r="F19" s="646">
        <f>B19-C19</f>
        <v>0</v>
      </c>
      <c r="G19" s="655">
        <f>IF(C19&lt;&gt;0,(B19-C19)/C19)*100</f>
        <v>0</v>
      </c>
      <c r="H19" s="646">
        <f>D19-E19</f>
        <v>0</v>
      </c>
      <c r="I19" s="655">
        <f>IF(E19&lt;&gt;0,(D19-E19)/E19)*100</f>
        <v>0</v>
      </c>
      <c r="J19"/>
    </row>
    <row r="20" spans="1:10" thickBot="1" x14ac:dyDescent="0.3">
      <c r="A20" s="369" t="s">
        <v>123</v>
      </c>
      <c r="B20" s="81"/>
      <c r="C20" s="82"/>
      <c r="D20" s="81"/>
      <c r="E20" s="82"/>
      <c r="F20" s="81">
        <f>F11+F18+F19</f>
        <v>0</v>
      </c>
      <c r="G20" s="83">
        <f>IF(C20&lt;&gt;0,(B20-C20)/C20)*100</f>
        <v>0</v>
      </c>
      <c r="H20" s="81">
        <f>H11+H18+H19</f>
        <v>0</v>
      </c>
      <c r="I20" s="83">
        <f>IF(E20&lt;&gt;0,(D20-E20)/E20)*100</f>
        <v>0</v>
      </c>
      <c r="J20"/>
    </row>
    <row r="21" spans="1:10" thickBot="1" x14ac:dyDescent="0.3">
      <c r="A21" s="370" t="s">
        <v>109</v>
      </c>
      <c r="B21" s="85"/>
      <c r="C21" s="85"/>
      <c r="D21" s="85"/>
      <c r="E21" s="85"/>
      <c r="F21" s="86"/>
      <c r="G21" s="86"/>
      <c r="H21" s="86"/>
      <c r="I21" s="87"/>
      <c r="J21"/>
    </row>
    <row r="22" spans="1:10" ht="12.5" x14ac:dyDescent="0.25">
      <c r="A22" s="739" t="s">
        <v>124</v>
      </c>
      <c r="B22" s="740"/>
      <c r="C22" s="741"/>
      <c r="D22" s="740"/>
      <c r="E22" s="741"/>
      <c r="F22" s="742"/>
      <c r="G22" s="743"/>
      <c r="H22" s="743"/>
      <c r="I22" s="744"/>
      <c r="J22"/>
    </row>
    <row r="23" spans="1:10" ht="12.5" x14ac:dyDescent="0.25">
      <c r="A23" s="643" t="s">
        <v>125</v>
      </c>
      <c r="B23" s="657"/>
      <c r="C23" s="624"/>
      <c r="D23" s="657"/>
      <c r="E23" s="624"/>
      <c r="F23" s="657">
        <f t="shared" ref="F23:F28" si="0">B23-C23</f>
        <v>0</v>
      </c>
      <c r="G23" s="625">
        <f t="shared" ref="G23:G28" si="1">IF(C23&lt;&gt;0,(B23-C23)/C23)*100</f>
        <v>0</v>
      </c>
      <c r="H23" s="657">
        <f t="shared" ref="H23:H28" si="2">D23-E23</f>
        <v>0</v>
      </c>
      <c r="I23" s="625">
        <f t="shared" ref="I23:I28" si="3">IF(E23&lt;&gt;0,(D23-E23)/E23)*100</f>
        <v>0</v>
      </c>
      <c r="J23"/>
    </row>
    <row r="24" spans="1:10" ht="12.5" x14ac:dyDescent="0.25">
      <c r="A24" s="643" t="s">
        <v>126</v>
      </c>
      <c r="B24" s="644"/>
      <c r="C24" s="645"/>
      <c r="D24" s="644"/>
      <c r="E24" s="645"/>
      <c r="F24" s="646">
        <f t="shared" si="0"/>
        <v>0</v>
      </c>
      <c r="G24" s="647">
        <f t="shared" si="1"/>
        <v>0</v>
      </c>
      <c r="H24" s="646">
        <f t="shared" si="2"/>
        <v>0</v>
      </c>
      <c r="I24" s="647">
        <f t="shared" si="3"/>
        <v>0</v>
      </c>
      <c r="J24"/>
    </row>
    <row r="25" spans="1:10" ht="12.5" x14ac:dyDescent="0.25">
      <c r="A25" s="643" t="s">
        <v>127</v>
      </c>
      <c r="B25" s="644"/>
      <c r="C25" s="644"/>
      <c r="D25" s="644"/>
      <c r="E25" s="645"/>
      <c r="F25" s="646">
        <f t="shared" si="0"/>
        <v>0</v>
      </c>
      <c r="G25" s="647">
        <f t="shared" si="1"/>
        <v>0</v>
      </c>
      <c r="H25" s="646">
        <f t="shared" si="2"/>
        <v>0</v>
      </c>
      <c r="I25" s="647">
        <f t="shared" si="3"/>
        <v>0</v>
      </c>
      <c r="J25"/>
    </row>
    <row r="26" spans="1:10" ht="12.5" x14ac:dyDescent="0.25">
      <c r="A26" s="658" t="s">
        <v>128</v>
      </c>
      <c r="B26" s="644"/>
      <c r="C26" s="645"/>
      <c r="D26" s="644"/>
      <c r="E26" s="645"/>
      <c r="F26" s="646">
        <f t="shared" si="0"/>
        <v>0</v>
      </c>
      <c r="G26" s="647">
        <f t="shared" si="1"/>
        <v>0</v>
      </c>
      <c r="H26" s="646">
        <f t="shared" si="2"/>
        <v>0</v>
      </c>
      <c r="I26" s="647">
        <f t="shared" si="3"/>
        <v>0</v>
      </c>
      <c r="J26"/>
    </row>
    <row r="27" spans="1:10" ht="12.5" x14ac:dyDescent="0.25">
      <c r="A27" s="643" t="s">
        <v>129</v>
      </c>
      <c r="B27" s="644"/>
      <c r="C27" s="645"/>
      <c r="D27" s="644"/>
      <c r="E27" s="645"/>
      <c r="F27" s="646">
        <f t="shared" si="0"/>
        <v>0</v>
      </c>
      <c r="G27" s="647">
        <f t="shared" si="1"/>
        <v>0</v>
      </c>
      <c r="H27" s="646">
        <f t="shared" si="2"/>
        <v>0</v>
      </c>
      <c r="I27" s="647">
        <f t="shared" si="3"/>
        <v>0</v>
      </c>
      <c r="J27"/>
    </row>
    <row r="28" spans="1:10" ht="12.5" x14ac:dyDescent="0.25">
      <c r="A28" s="643" t="s">
        <v>130</v>
      </c>
      <c r="B28" s="644"/>
      <c r="C28" s="644"/>
      <c r="D28" s="644"/>
      <c r="E28" s="645"/>
      <c r="F28" s="646">
        <f t="shared" si="0"/>
        <v>0</v>
      </c>
      <c r="G28" s="647">
        <f t="shared" si="1"/>
        <v>0</v>
      </c>
      <c r="H28" s="646">
        <f t="shared" si="2"/>
        <v>0</v>
      </c>
      <c r="I28" s="647">
        <f t="shared" si="3"/>
        <v>0</v>
      </c>
      <c r="J28"/>
    </row>
    <row r="29" spans="1:10" ht="12.5" x14ac:dyDescent="0.25">
      <c r="A29" s="643"/>
      <c r="B29" s="627"/>
      <c r="C29" s="628"/>
      <c r="D29" s="627"/>
      <c r="E29" s="628"/>
      <c r="F29" s="657"/>
      <c r="G29" s="625"/>
      <c r="H29" s="624"/>
      <c r="I29" s="629"/>
      <c r="J29"/>
    </row>
    <row r="30" spans="1:10" ht="12.5" x14ac:dyDescent="0.25">
      <c r="A30" s="643"/>
      <c r="B30" s="627"/>
      <c r="C30" s="628"/>
      <c r="D30" s="627"/>
      <c r="E30" s="628"/>
      <c r="F30" s="657"/>
      <c r="G30" s="625"/>
      <c r="H30" s="624"/>
      <c r="I30" s="629"/>
      <c r="J30"/>
    </row>
    <row r="31" spans="1:10" thickBot="1" x14ac:dyDescent="0.3">
      <c r="A31" s="371" t="s">
        <v>109</v>
      </c>
      <c r="B31" s="630"/>
      <c r="C31" s="631"/>
      <c r="D31" s="630"/>
      <c r="E31" s="631"/>
      <c r="F31" s="632"/>
      <c r="G31" s="633"/>
      <c r="H31" s="634"/>
      <c r="I31" s="635"/>
      <c r="J31"/>
    </row>
    <row r="32" spans="1:10" thickBot="1" x14ac:dyDescent="0.3">
      <c r="A32" s="372" t="s">
        <v>131</v>
      </c>
      <c r="B32" s="90"/>
      <c r="C32" s="91"/>
      <c r="D32" s="90"/>
      <c r="E32" s="91"/>
      <c r="F32" s="91">
        <f>B32-C32</f>
        <v>0</v>
      </c>
      <c r="G32" s="92">
        <f>IF(C32&lt;&gt;0,(B32-C32)/C32)*100</f>
        <v>0</v>
      </c>
      <c r="H32" s="91">
        <f>D32-E32</f>
        <v>0</v>
      </c>
      <c r="I32" s="92">
        <f>IF(E32&lt;&gt;0,(D32-E32)/E32)*100</f>
        <v>0</v>
      </c>
      <c r="J32"/>
    </row>
    <row r="33" spans="1:10" thickBot="1" x14ac:dyDescent="0.3">
      <c r="A33" s="373" t="s">
        <v>132</v>
      </c>
      <c r="B33" s="90"/>
      <c r="C33" s="91"/>
      <c r="D33" s="90"/>
      <c r="E33" s="91"/>
      <c r="F33" s="91">
        <f>B33-C33</f>
        <v>0</v>
      </c>
      <c r="G33" s="92">
        <f>IF(C33&lt;&gt;0,(B33-C33)/C33)*100</f>
        <v>0</v>
      </c>
      <c r="H33" s="91">
        <f>D33-E33</f>
        <v>0</v>
      </c>
      <c r="I33" s="92">
        <f>IF(E33&lt;&gt;0,(D33-E33)/E33)*100</f>
        <v>0</v>
      </c>
      <c r="J33"/>
    </row>
    <row r="34" spans="1:10" ht="12.5" x14ac:dyDescent="0.25">
      <c r="A34" s="374"/>
      <c r="B34" s="94"/>
      <c r="C34" s="94"/>
      <c r="D34" s="94"/>
      <c r="E34" s="94"/>
      <c r="F34" s="95"/>
      <c r="G34" s="95"/>
      <c r="H34" s="95"/>
      <c r="I34" s="95"/>
      <c r="J34"/>
    </row>
    <row r="35" spans="1:10" ht="12.5" x14ac:dyDescent="0.25">
      <c r="A35" s="375"/>
      <c r="B35" s="96"/>
      <c r="C35" s="97"/>
      <c r="D35" s="97"/>
      <c r="E35" s="97"/>
      <c r="F35" s="66"/>
      <c r="G35" s="66"/>
      <c r="H35" s="66"/>
      <c r="I35" s="66"/>
      <c r="J35"/>
    </row>
    <row r="36" spans="1:10" thickBot="1" x14ac:dyDescent="0.3">
      <c r="A36" s="98" t="s">
        <v>133</v>
      </c>
      <c r="B36" s="836"/>
      <c r="C36" s="836"/>
      <c r="D36" s="99"/>
      <c r="E36" s="99"/>
      <c r="F36" s="66"/>
      <c r="G36" s="66"/>
      <c r="H36" s="66"/>
      <c r="I36" s="66"/>
      <c r="J36"/>
    </row>
    <row r="37" spans="1:10" thickBot="1" x14ac:dyDescent="0.3">
      <c r="A37" s="846" t="s">
        <v>134</v>
      </c>
      <c r="B37" s="818" t="s">
        <v>105</v>
      </c>
      <c r="C37" s="819"/>
      <c r="D37" s="818" t="s">
        <v>106</v>
      </c>
      <c r="E37" s="819"/>
      <c r="F37" s="804" t="s">
        <v>107</v>
      </c>
      <c r="G37" s="805"/>
      <c r="H37" s="805"/>
      <c r="I37" s="806"/>
      <c r="J37"/>
    </row>
    <row r="38" spans="1:10" thickBot="1" x14ac:dyDescent="0.3">
      <c r="A38" s="847"/>
      <c r="B38" s="399">
        <v>2023</v>
      </c>
      <c r="C38" s="399">
        <v>2022</v>
      </c>
      <c r="D38" s="399">
        <v>2023</v>
      </c>
      <c r="E38" s="400">
        <v>2022</v>
      </c>
      <c r="F38" s="804" t="s">
        <v>105</v>
      </c>
      <c r="G38" s="806"/>
      <c r="H38" s="804" t="s">
        <v>106</v>
      </c>
      <c r="I38" s="806"/>
      <c r="J38"/>
    </row>
    <row r="39" spans="1:10" ht="12.5" x14ac:dyDescent="0.25">
      <c r="A39" s="376"/>
      <c r="B39" s="826"/>
      <c r="C39" s="827"/>
      <c r="D39" s="827"/>
      <c r="E39" s="828"/>
      <c r="F39" s="814" t="s">
        <v>110</v>
      </c>
      <c r="G39" s="816" t="s">
        <v>111</v>
      </c>
      <c r="H39" s="816" t="s">
        <v>112</v>
      </c>
      <c r="I39" s="816" t="s">
        <v>111</v>
      </c>
      <c r="J39"/>
    </row>
    <row r="40" spans="1:10" thickBot="1" x14ac:dyDescent="0.3">
      <c r="A40" s="377" t="s">
        <v>113</v>
      </c>
      <c r="B40" s="829"/>
      <c r="C40" s="830"/>
      <c r="D40" s="830"/>
      <c r="E40" s="831"/>
      <c r="F40" s="815"/>
      <c r="G40" s="817"/>
      <c r="H40" s="817"/>
      <c r="I40" s="817"/>
      <c r="J40"/>
    </row>
    <row r="41" spans="1:10" thickBot="1" x14ac:dyDescent="0.3">
      <c r="A41" s="378" t="s">
        <v>135</v>
      </c>
      <c r="B41" s="103"/>
      <c r="C41" s="104"/>
      <c r="D41" s="104"/>
      <c r="E41" s="104"/>
      <c r="F41" s="104">
        <f t="shared" ref="F41:F48" si="4">B41-C41</f>
        <v>0</v>
      </c>
      <c r="G41" s="105">
        <f t="shared" ref="G41:G48" si="5">IF(C41&lt;&gt;0,(B41-C41)/C41)*100</f>
        <v>0</v>
      </c>
      <c r="H41" s="104">
        <f t="shared" ref="H41:H48" si="6">D41-E41</f>
        <v>0</v>
      </c>
      <c r="I41" s="105">
        <f t="shared" ref="I41:I48" si="7">IF(E41&lt;&gt;0,(D41-E41)/E41)*100</f>
        <v>0</v>
      </c>
      <c r="J41"/>
    </row>
    <row r="42" spans="1:10" ht="12.5" x14ac:dyDescent="0.25">
      <c r="A42" s="378" t="s">
        <v>136</v>
      </c>
      <c r="B42" s="745"/>
      <c r="C42" s="746"/>
      <c r="D42" s="746"/>
      <c r="E42" s="746"/>
      <c r="F42" s="646">
        <f t="shared" si="4"/>
        <v>0</v>
      </c>
      <c r="G42" s="647">
        <f t="shared" si="5"/>
        <v>0</v>
      </c>
      <c r="H42" s="646">
        <f t="shared" si="6"/>
        <v>0</v>
      </c>
      <c r="I42" s="647">
        <f t="shared" si="7"/>
        <v>0</v>
      </c>
      <c r="J42"/>
    </row>
    <row r="43" spans="1:10" ht="12.5" x14ac:dyDescent="0.25">
      <c r="A43" s="378" t="s">
        <v>116</v>
      </c>
      <c r="B43" s="745"/>
      <c r="C43" s="746"/>
      <c r="D43" s="746"/>
      <c r="E43" s="746"/>
      <c r="F43" s="646">
        <f t="shared" si="4"/>
        <v>0</v>
      </c>
      <c r="G43" s="647">
        <f t="shared" si="5"/>
        <v>0</v>
      </c>
      <c r="H43" s="646">
        <f t="shared" si="6"/>
        <v>0</v>
      </c>
      <c r="I43" s="647">
        <f t="shared" si="7"/>
        <v>0</v>
      </c>
      <c r="J43"/>
    </row>
    <row r="44" spans="1:10" ht="12.5" x14ac:dyDescent="0.25">
      <c r="A44" s="378" t="s">
        <v>137</v>
      </c>
      <c r="B44" s="745"/>
      <c r="C44" s="746"/>
      <c r="D44" s="746"/>
      <c r="E44" s="746"/>
      <c r="F44" s="646">
        <f t="shared" si="4"/>
        <v>0</v>
      </c>
      <c r="G44" s="647">
        <f t="shared" si="5"/>
        <v>0</v>
      </c>
      <c r="H44" s="646">
        <f t="shared" si="6"/>
        <v>0</v>
      </c>
      <c r="I44" s="647">
        <f t="shared" si="7"/>
        <v>0</v>
      </c>
      <c r="J44"/>
    </row>
    <row r="45" spans="1:10" ht="12.5" x14ac:dyDescent="0.25">
      <c r="A45" s="378" t="s">
        <v>143</v>
      </c>
      <c r="B45" s="745"/>
      <c r="C45" s="746"/>
      <c r="D45" s="746"/>
      <c r="E45" s="746"/>
      <c r="F45" s="646">
        <f t="shared" si="4"/>
        <v>0</v>
      </c>
      <c r="G45" s="647">
        <f t="shared" si="5"/>
        <v>0</v>
      </c>
      <c r="H45" s="646">
        <f t="shared" si="6"/>
        <v>0</v>
      </c>
      <c r="I45" s="647">
        <f t="shared" si="7"/>
        <v>0</v>
      </c>
      <c r="J45"/>
    </row>
    <row r="46" spans="1:10" ht="12.5" x14ac:dyDescent="0.25">
      <c r="A46" s="378" t="s">
        <v>139</v>
      </c>
      <c r="B46" s="661"/>
      <c r="C46" s="644"/>
      <c r="D46" s="746"/>
      <c r="E46" s="746"/>
      <c r="F46" s="646">
        <f t="shared" si="4"/>
        <v>0</v>
      </c>
      <c r="G46" s="647">
        <f t="shared" si="5"/>
        <v>0</v>
      </c>
      <c r="H46" s="646">
        <f t="shared" si="6"/>
        <v>0</v>
      </c>
      <c r="I46" s="647">
        <f t="shared" si="7"/>
        <v>0</v>
      </c>
      <c r="J46"/>
    </row>
    <row r="47" spans="1:10" thickBot="1" x14ac:dyDescent="0.3">
      <c r="A47" s="378" t="s">
        <v>140</v>
      </c>
      <c r="B47" s="662"/>
      <c r="C47" s="663"/>
      <c r="D47" s="664"/>
      <c r="E47" s="665"/>
      <c r="F47" s="646">
        <f t="shared" si="4"/>
        <v>0</v>
      </c>
      <c r="G47" s="647">
        <f t="shared" si="5"/>
        <v>0</v>
      </c>
      <c r="H47" s="646">
        <f t="shared" si="6"/>
        <v>0</v>
      </c>
      <c r="I47" s="647">
        <f t="shared" si="7"/>
        <v>0</v>
      </c>
      <c r="J47"/>
    </row>
    <row r="48" spans="1:10" thickBot="1" x14ac:dyDescent="0.3">
      <c r="A48" s="379" t="s">
        <v>123</v>
      </c>
      <c r="B48" s="91"/>
      <c r="C48" s="91"/>
      <c r="D48" s="91"/>
      <c r="E48" s="91"/>
      <c r="F48" s="91">
        <f t="shared" si="4"/>
        <v>0</v>
      </c>
      <c r="G48" s="92">
        <f t="shared" si="5"/>
        <v>0</v>
      </c>
      <c r="H48" s="91">
        <f t="shared" si="6"/>
        <v>0</v>
      </c>
      <c r="I48" s="92">
        <f t="shared" si="7"/>
        <v>0</v>
      </c>
      <c r="J48"/>
    </row>
    <row r="49" spans="1:10" thickBot="1" x14ac:dyDescent="0.3">
      <c r="A49" s="377" t="s">
        <v>124</v>
      </c>
      <c r="B49" s="114"/>
      <c r="C49" s="115"/>
      <c r="D49" s="115"/>
      <c r="E49" s="115"/>
      <c r="F49" s="116"/>
      <c r="G49" s="117"/>
      <c r="H49" s="116"/>
      <c r="I49" s="124"/>
      <c r="J49"/>
    </row>
    <row r="50" spans="1:10" thickBot="1" x14ac:dyDescent="0.3">
      <c r="A50" s="378" t="s">
        <v>125</v>
      </c>
      <c r="B50" s="103"/>
      <c r="C50" s="104"/>
      <c r="D50" s="104"/>
      <c r="E50" s="104"/>
      <c r="F50" s="104">
        <f t="shared" ref="F50:F55" si="8">B50-C50</f>
        <v>0</v>
      </c>
      <c r="G50" s="105">
        <f t="shared" ref="G50:G55" si="9">IF(C50&lt;&gt;0,(B50-C50)/C50)*100</f>
        <v>0</v>
      </c>
      <c r="H50" s="104">
        <f t="shared" ref="H50:H55" si="10">D50-E50</f>
        <v>0</v>
      </c>
      <c r="I50" s="105">
        <f t="shared" ref="I50:I55" si="11">IF(E50&lt;&gt;0,(D50-E50)/E50)*100</f>
        <v>0</v>
      </c>
      <c r="J50"/>
    </row>
    <row r="51" spans="1:10" ht="12.5" x14ac:dyDescent="0.25">
      <c r="A51" s="380" t="s">
        <v>126</v>
      </c>
      <c r="B51" s="645"/>
      <c r="C51" s="645"/>
      <c r="D51" s="645"/>
      <c r="E51" s="645"/>
      <c r="F51" s="646">
        <f t="shared" si="8"/>
        <v>0</v>
      </c>
      <c r="G51" s="647">
        <f t="shared" si="9"/>
        <v>0</v>
      </c>
      <c r="H51" s="646">
        <f t="shared" si="10"/>
        <v>0</v>
      </c>
      <c r="I51" s="647">
        <f t="shared" si="11"/>
        <v>0</v>
      </c>
      <c r="J51"/>
    </row>
    <row r="52" spans="1:10" ht="12.5" x14ac:dyDescent="0.25">
      <c r="A52" s="380" t="s">
        <v>127</v>
      </c>
      <c r="B52" s="645"/>
      <c r="C52" s="645"/>
      <c r="D52" s="645"/>
      <c r="E52" s="645"/>
      <c r="F52" s="646">
        <f t="shared" si="8"/>
        <v>0</v>
      </c>
      <c r="G52" s="647">
        <f t="shared" si="9"/>
        <v>0</v>
      </c>
      <c r="H52" s="646">
        <f t="shared" si="10"/>
        <v>0</v>
      </c>
      <c r="I52" s="647">
        <f t="shared" si="11"/>
        <v>0</v>
      </c>
      <c r="J52"/>
    </row>
    <row r="53" spans="1:10" ht="12.5" x14ac:dyDescent="0.25">
      <c r="A53" s="381" t="s">
        <v>141</v>
      </c>
      <c r="B53" s="645"/>
      <c r="C53" s="645"/>
      <c r="D53" s="645"/>
      <c r="E53" s="645"/>
      <c r="F53" s="646">
        <f t="shared" si="8"/>
        <v>0</v>
      </c>
      <c r="G53" s="647">
        <f t="shared" si="9"/>
        <v>0</v>
      </c>
      <c r="H53" s="646">
        <f t="shared" si="10"/>
        <v>0</v>
      </c>
      <c r="I53" s="647">
        <f t="shared" si="11"/>
        <v>0</v>
      </c>
      <c r="J53"/>
    </row>
    <row r="54" spans="1:10" ht="12.5" x14ac:dyDescent="0.25">
      <c r="A54" s="380" t="s">
        <v>129</v>
      </c>
      <c r="B54" s="645"/>
      <c r="C54" s="645"/>
      <c r="D54" s="645"/>
      <c r="E54" s="645"/>
      <c r="F54" s="646">
        <f t="shared" si="8"/>
        <v>0</v>
      </c>
      <c r="G54" s="647">
        <f t="shared" si="9"/>
        <v>0</v>
      </c>
      <c r="H54" s="646">
        <f t="shared" si="10"/>
        <v>0</v>
      </c>
      <c r="I54" s="647">
        <f t="shared" si="11"/>
        <v>0</v>
      </c>
      <c r="J54"/>
    </row>
    <row r="55" spans="1:10" ht="12.5" x14ac:dyDescent="0.25">
      <c r="A55" s="378" t="s">
        <v>130</v>
      </c>
      <c r="B55" s="645"/>
      <c r="C55" s="645"/>
      <c r="D55" s="645"/>
      <c r="E55" s="645"/>
      <c r="F55" s="646">
        <f t="shared" si="8"/>
        <v>0</v>
      </c>
      <c r="G55" s="647">
        <f t="shared" si="9"/>
        <v>0</v>
      </c>
      <c r="H55" s="646">
        <f t="shared" si="10"/>
        <v>0</v>
      </c>
      <c r="I55" s="647">
        <f t="shared" si="11"/>
        <v>0</v>
      </c>
      <c r="J55"/>
    </row>
    <row r="56" spans="1:10" ht="12.5" x14ac:dyDescent="0.25">
      <c r="A56" s="378"/>
      <c r="B56" s="645"/>
      <c r="C56" s="645"/>
      <c r="D56" s="645"/>
      <c r="E56" s="645"/>
      <c r="F56" s="747"/>
      <c r="G56" s="748"/>
      <c r="H56" s="747"/>
      <c r="I56" s="748"/>
      <c r="J56"/>
    </row>
    <row r="57" spans="1:10" ht="12.5" x14ac:dyDescent="0.25">
      <c r="A57" s="378"/>
      <c r="B57" s="645"/>
      <c r="C57" s="645"/>
      <c r="D57" s="645"/>
      <c r="E57" s="645"/>
      <c r="F57" s="747"/>
      <c r="G57" s="748"/>
      <c r="H57" s="747"/>
      <c r="I57" s="748"/>
      <c r="J57"/>
    </row>
    <row r="58" spans="1:10" thickBot="1" x14ac:dyDescent="0.3">
      <c r="A58" s="378"/>
      <c r="B58" s="668"/>
      <c r="C58" s="668"/>
      <c r="D58" s="669"/>
      <c r="E58" s="669"/>
      <c r="F58" s="670"/>
      <c r="G58" s="671"/>
      <c r="H58" s="672"/>
      <c r="I58" s="673"/>
      <c r="J58"/>
    </row>
    <row r="59" spans="1:10" thickBot="1" x14ac:dyDescent="0.3">
      <c r="A59" s="379" t="s">
        <v>131</v>
      </c>
      <c r="B59" s="103"/>
      <c r="C59" s="104"/>
      <c r="D59" s="104"/>
      <c r="E59" s="104"/>
      <c r="F59" s="657">
        <f>B59-C59</f>
        <v>0</v>
      </c>
      <c r="G59" s="625">
        <f>IF(C59&lt;&gt;0,(B59-C59)/C59)*100</f>
        <v>0</v>
      </c>
      <c r="H59" s="657">
        <f>D59-E59</f>
        <v>0</v>
      </c>
      <c r="I59" s="625">
        <f>IF(E59&lt;&gt;0,(D59-E59)/E59)*100</f>
        <v>0</v>
      </c>
      <c r="J59"/>
    </row>
    <row r="60" spans="1:10" thickBot="1" x14ac:dyDescent="0.3">
      <c r="A60" s="378"/>
      <c r="B60" s="121"/>
      <c r="C60" s="122"/>
      <c r="D60" s="122"/>
      <c r="E60" s="122"/>
      <c r="F60" s="123"/>
      <c r="G60" s="124"/>
      <c r="H60" s="123"/>
      <c r="I60" s="125"/>
      <c r="J60"/>
    </row>
    <row r="61" spans="1:10" thickBot="1" x14ac:dyDescent="0.3">
      <c r="A61" s="379" t="s">
        <v>132</v>
      </c>
      <c r="B61" s="103"/>
      <c r="C61" s="104"/>
      <c r="D61" s="104"/>
      <c r="E61" s="104"/>
      <c r="F61" s="104">
        <f>B61-C61</f>
        <v>0</v>
      </c>
      <c r="G61" s="105">
        <f>IF(C61&lt;&gt;0,(B61-C61)/C61)*100</f>
        <v>0</v>
      </c>
      <c r="H61" s="104">
        <f>D61-E61</f>
        <v>0</v>
      </c>
      <c r="I61" s="105">
        <f>IF(E61&lt;&gt;0,(D61-E61)/E61)*100</f>
        <v>0</v>
      </c>
      <c r="J61"/>
    </row>
    <row r="62" spans="1:10" ht="12.5" x14ac:dyDescent="0.25">
      <c r="A62" s="374"/>
      <c r="B62" s="94"/>
      <c r="C62" s="94"/>
      <c r="D62" s="94"/>
      <c r="E62" s="94"/>
      <c r="F62" s="95"/>
      <c r="G62" s="95"/>
      <c r="H62" s="95"/>
      <c r="I62" s="95"/>
      <c r="J62"/>
    </row>
    <row r="63" spans="1:10" ht="12.5" x14ac:dyDescent="0.25">
      <c r="A63" s="382"/>
      <c r="B63" s="127"/>
      <c r="C63" s="126"/>
      <c r="D63" s="126"/>
      <c r="E63" s="126"/>
      <c r="F63" s="66"/>
      <c r="G63" s="66"/>
      <c r="H63" s="66"/>
      <c r="I63" s="66"/>
      <c r="J63"/>
    </row>
    <row r="64" spans="1:10" thickBot="1" x14ac:dyDescent="0.3">
      <c r="A64" s="128" t="s">
        <v>142</v>
      </c>
      <c r="B64" s="836"/>
      <c r="C64" s="836"/>
      <c r="D64" s="129"/>
      <c r="E64" s="129"/>
      <c r="F64" s="66"/>
      <c r="G64" s="66"/>
      <c r="H64" s="66"/>
      <c r="I64" s="66"/>
      <c r="J64"/>
    </row>
    <row r="65" spans="1:10" thickBot="1" x14ac:dyDescent="0.3">
      <c r="A65" s="848" t="s">
        <v>134</v>
      </c>
      <c r="B65" s="820" t="s">
        <v>105</v>
      </c>
      <c r="C65" s="821"/>
      <c r="D65" s="820" t="s">
        <v>106</v>
      </c>
      <c r="E65" s="821"/>
      <c r="F65" s="804" t="s">
        <v>107</v>
      </c>
      <c r="G65" s="805"/>
      <c r="H65" s="805"/>
      <c r="I65" s="806"/>
      <c r="J65"/>
    </row>
    <row r="66" spans="1:10" thickBot="1" x14ac:dyDescent="0.3">
      <c r="A66" s="849"/>
      <c r="B66" s="324">
        <v>2023</v>
      </c>
      <c r="C66" s="324">
        <v>2022</v>
      </c>
      <c r="D66" s="324">
        <v>2023</v>
      </c>
      <c r="E66" s="71">
        <v>2022</v>
      </c>
      <c r="F66" s="804" t="s">
        <v>105</v>
      </c>
      <c r="G66" s="806"/>
      <c r="H66" s="804" t="s">
        <v>106</v>
      </c>
      <c r="I66" s="806"/>
      <c r="J66"/>
    </row>
    <row r="67" spans="1:10" ht="12.5" x14ac:dyDescent="0.25">
      <c r="A67" s="383"/>
      <c r="B67" s="807"/>
      <c r="C67" s="808"/>
      <c r="D67" s="808"/>
      <c r="E67" s="809"/>
      <c r="F67" s="814" t="s">
        <v>110</v>
      </c>
      <c r="G67" s="816" t="s">
        <v>111</v>
      </c>
      <c r="H67" s="816" t="s">
        <v>112</v>
      </c>
      <c r="I67" s="816" t="s">
        <v>111</v>
      </c>
      <c r="J67"/>
    </row>
    <row r="68" spans="1:10" thickBot="1" x14ac:dyDescent="0.3">
      <c r="A68" s="384" t="s">
        <v>113</v>
      </c>
      <c r="B68" s="810"/>
      <c r="C68" s="811"/>
      <c r="D68" s="811"/>
      <c r="E68" s="812"/>
      <c r="F68" s="815"/>
      <c r="G68" s="817"/>
      <c r="H68" s="817"/>
      <c r="I68" s="817"/>
      <c r="J68"/>
    </row>
    <row r="69" spans="1:10" thickBot="1" x14ac:dyDescent="0.3">
      <c r="A69" s="385" t="s">
        <v>135</v>
      </c>
      <c r="B69" s="133">
        <f>B70+B71+B72</f>
        <v>0</v>
      </c>
      <c r="C69" s="91">
        <f>C70+C71+C72</f>
        <v>0</v>
      </c>
      <c r="D69" s="91">
        <f>D70+D71+D72</f>
        <v>0</v>
      </c>
      <c r="E69" s="91">
        <f>E70+E71+E72</f>
        <v>0</v>
      </c>
      <c r="F69" s="91">
        <f t="shared" ref="F69:F75" si="12">B69-C69</f>
        <v>0</v>
      </c>
      <c r="G69" s="92">
        <f t="shared" ref="G69:G75" si="13">IF(C69&lt;&gt;0,(B69-C69)/C69)*100</f>
        <v>0</v>
      </c>
      <c r="H69" s="91">
        <f t="shared" ref="H69:H75" si="14">D69-E69</f>
        <v>0</v>
      </c>
      <c r="I69" s="92">
        <f t="shared" ref="I69:I75" si="15">IF(E69&lt;&gt;0,(D69-E69)/E69)*100</f>
        <v>0</v>
      </c>
      <c r="J69"/>
    </row>
    <row r="70" spans="1:10" ht="12.5" x14ac:dyDescent="0.25">
      <c r="A70" s="385" t="s">
        <v>136</v>
      </c>
      <c r="B70" s="745">
        <f t="shared" ref="B70:E71" si="16">B42+B98</f>
        <v>0</v>
      </c>
      <c r="C70" s="745">
        <f t="shared" si="16"/>
        <v>0</v>
      </c>
      <c r="D70" s="745">
        <f t="shared" si="16"/>
        <v>0</v>
      </c>
      <c r="E70" s="745">
        <f t="shared" si="16"/>
        <v>0</v>
      </c>
      <c r="F70" s="646">
        <f t="shared" si="12"/>
        <v>0</v>
      </c>
      <c r="G70" s="647">
        <f t="shared" si="13"/>
        <v>0</v>
      </c>
      <c r="H70" s="646">
        <f t="shared" si="14"/>
        <v>0</v>
      </c>
      <c r="I70" s="647">
        <f t="shared" si="15"/>
        <v>0</v>
      </c>
      <c r="J70"/>
    </row>
    <row r="71" spans="1:10" ht="12.5" x14ac:dyDescent="0.25">
      <c r="A71" s="385" t="s">
        <v>116</v>
      </c>
      <c r="B71" s="745">
        <f t="shared" si="16"/>
        <v>0</v>
      </c>
      <c r="C71" s="745">
        <f t="shared" si="16"/>
        <v>0</v>
      </c>
      <c r="D71" s="745">
        <f t="shared" si="16"/>
        <v>0</v>
      </c>
      <c r="E71" s="745">
        <f t="shared" si="16"/>
        <v>0</v>
      </c>
      <c r="F71" s="646">
        <f t="shared" si="12"/>
        <v>0</v>
      </c>
      <c r="G71" s="647">
        <f t="shared" si="13"/>
        <v>0</v>
      </c>
      <c r="H71" s="646">
        <f t="shared" si="14"/>
        <v>0</v>
      </c>
      <c r="I71" s="647">
        <f t="shared" si="15"/>
        <v>0</v>
      </c>
      <c r="J71"/>
    </row>
    <row r="72" spans="1:10" ht="12.5" x14ac:dyDescent="0.25">
      <c r="A72" s="385" t="s">
        <v>143</v>
      </c>
      <c r="B72" s="745">
        <f t="shared" ref="B72:E74" si="17">B45+B100</f>
        <v>0</v>
      </c>
      <c r="C72" s="745">
        <f t="shared" si="17"/>
        <v>0</v>
      </c>
      <c r="D72" s="745">
        <f t="shared" si="17"/>
        <v>0</v>
      </c>
      <c r="E72" s="745">
        <f t="shared" si="17"/>
        <v>0</v>
      </c>
      <c r="F72" s="646">
        <f t="shared" si="12"/>
        <v>0</v>
      </c>
      <c r="G72" s="647">
        <f t="shared" si="13"/>
        <v>0</v>
      </c>
      <c r="H72" s="646">
        <f t="shared" si="14"/>
        <v>0</v>
      </c>
      <c r="I72" s="647">
        <f t="shared" si="15"/>
        <v>0</v>
      </c>
      <c r="J72"/>
    </row>
    <row r="73" spans="1:10" ht="12.5" x14ac:dyDescent="0.25">
      <c r="A73" s="385" t="s">
        <v>139</v>
      </c>
      <c r="B73" s="745">
        <f t="shared" si="17"/>
        <v>0</v>
      </c>
      <c r="C73" s="745">
        <f t="shared" si="17"/>
        <v>0</v>
      </c>
      <c r="D73" s="745">
        <f t="shared" si="17"/>
        <v>0</v>
      </c>
      <c r="E73" s="745">
        <f t="shared" si="17"/>
        <v>0</v>
      </c>
      <c r="F73" s="646">
        <f t="shared" si="12"/>
        <v>0</v>
      </c>
      <c r="G73" s="647">
        <f t="shared" si="13"/>
        <v>0</v>
      </c>
      <c r="H73" s="646">
        <f t="shared" si="14"/>
        <v>0</v>
      </c>
      <c r="I73" s="647">
        <f t="shared" si="15"/>
        <v>0</v>
      </c>
      <c r="J73"/>
    </row>
    <row r="74" spans="1:10" thickBot="1" x14ac:dyDescent="0.3">
      <c r="A74" s="385" t="s">
        <v>140</v>
      </c>
      <c r="B74" s="745">
        <f t="shared" si="17"/>
        <v>0</v>
      </c>
      <c r="C74" s="745">
        <f t="shared" si="17"/>
        <v>0</v>
      </c>
      <c r="D74" s="745">
        <f t="shared" si="17"/>
        <v>0</v>
      </c>
      <c r="E74" s="745">
        <f t="shared" si="17"/>
        <v>0</v>
      </c>
      <c r="F74" s="646">
        <f t="shared" si="12"/>
        <v>0</v>
      </c>
      <c r="G74" s="647">
        <f t="shared" si="13"/>
        <v>0</v>
      </c>
      <c r="H74" s="646">
        <f t="shared" si="14"/>
        <v>0</v>
      </c>
      <c r="I74" s="647">
        <f t="shared" si="15"/>
        <v>0</v>
      </c>
      <c r="J74"/>
    </row>
    <row r="75" spans="1:10" thickBot="1" x14ac:dyDescent="0.3">
      <c r="A75" s="386" t="s">
        <v>123</v>
      </c>
      <c r="B75" s="135">
        <f>B69+B73+B74</f>
        <v>0</v>
      </c>
      <c r="C75" s="90">
        <f>C69+C73+C74</f>
        <v>0</v>
      </c>
      <c r="D75" s="90">
        <f>D69+D73+D74</f>
        <v>0</v>
      </c>
      <c r="E75" s="91">
        <f>E69+E73+E74</f>
        <v>0</v>
      </c>
      <c r="F75" s="82">
        <f t="shared" si="12"/>
        <v>0</v>
      </c>
      <c r="G75" s="83">
        <f t="shared" si="13"/>
        <v>0</v>
      </c>
      <c r="H75" s="82">
        <f t="shared" si="14"/>
        <v>0</v>
      </c>
      <c r="I75" s="83">
        <f t="shared" si="15"/>
        <v>0</v>
      </c>
      <c r="J75"/>
    </row>
    <row r="76" spans="1:10" ht="12.5" x14ac:dyDescent="0.25">
      <c r="A76" s="387"/>
      <c r="B76" s="107"/>
      <c r="C76" s="108"/>
      <c r="D76" s="108"/>
      <c r="E76" s="108"/>
      <c r="F76" s="110"/>
      <c r="G76" s="110"/>
      <c r="H76" s="110"/>
      <c r="I76" s="137"/>
      <c r="J76"/>
    </row>
    <row r="77" spans="1:10" thickBot="1" x14ac:dyDescent="0.3">
      <c r="A77" s="384" t="s">
        <v>124</v>
      </c>
      <c r="B77" s="114"/>
      <c r="C77" s="115"/>
      <c r="D77" s="115"/>
      <c r="E77" s="115"/>
      <c r="F77" s="116"/>
      <c r="G77" s="116"/>
      <c r="H77" s="116"/>
      <c r="I77" s="138"/>
      <c r="J77"/>
    </row>
    <row r="78" spans="1:10" thickBot="1" x14ac:dyDescent="0.3">
      <c r="A78" s="385" t="s">
        <v>125</v>
      </c>
      <c r="B78" s="133">
        <f>SUM(B79:B82)</f>
        <v>0</v>
      </c>
      <c r="C78" s="91">
        <f>SUM(C79:C82)</f>
        <v>0</v>
      </c>
      <c r="D78" s="91">
        <f>SUM(D79:D82)</f>
        <v>0</v>
      </c>
      <c r="E78" s="91">
        <f>SUM(E79:E82)</f>
        <v>0</v>
      </c>
      <c r="F78" s="91">
        <f t="shared" ref="F78:F83" si="18">B78-C78</f>
        <v>0</v>
      </c>
      <c r="G78" s="92">
        <f t="shared" ref="G78:G83" si="19">IF(C78&lt;&gt;0,(B78-C78)/C78)*100</f>
        <v>0</v>
      </c>
      <c r="H78" s="91">
        <f t="shared" ref="H78:H83" si="20">D78-E78</f>
        <v>0</v>
      </c>
      <c r="I78" s="92">
        <f t="shared" ref="I78:I83" si="21">IF(E78&lt;&gt;0,(D78-E78)/E78)*100</f>
        <v>0</v>
      </c>
      <c r="J78"/>
    </row>
    <row r="79" spans="1:10" ht="12.5" x14ac:dyDescent="0.25">
      <c r="A79" s="380" t="s">
        <v>126</v>
      </c>
      <c r="B79" s="745">
        <f t="shared" ref="B79:E83" si="22">B51+B107</f>
        <v>0</v>
      </c>
      <c r="C79" s="745">
        <f t="shared" si="22"/>
        <v>0</v>
      </c>
      <c r="D79" s="745">
        <f t="shared" si="22"/>
        <v>0</v>
      </c>
      <c r="E79" s="745">
        <f t="shared" si="22"/>
        <v>0</v>
      </c>
      <c r="F79" s="646">
        <f t="shared" si="18"/>
        <v>0</v>
      </c>
      <c r="G79" s="647">
        <f t="shared" si="19"/>
        <v>0</v>
      </c>
      <c r="H79" s="646">
        <f t="shared" si="20"/>
        <v>0</v>
      </c>
      <c r="I79" s="647">
        <f t="shared" si="21"/>
        <v>0</v>
      </c>
      <c r="J79"/>
    </row>
    <row r="80" spans="1:10" ht="12.5" x14ac:dyDescent="0.25">
      <c r="A80" s="380" t="s">
        <v>144</v>
      </c>
      <c r="B80" s="645">
        <f t="shared" si="22"/>
        <v>0</v>
      </c>
      <c r="C80" s="645">
        <f t="shared" si="22"/>
        <v>0</v>
      </c>
      <c r="D80" s="645">
        <f t="shared" si="22"/>
        <v>0</v>
      </c>
      <c r="E80" s="645">
        <f t="shared" si="22"/>
        <v>0</v>
      </c>
      <c r="F80" s="646">
        <f t="shared" si="18"/>
        <v>0</v>
      </c>
      <c r="G80" s="647">
        <f t="shared" si="19"/>
        <v>0</v>
      </c>
      <c r="H80" s="646">
        <f t="shared" si="20"/>
        <v>0</v>
      </c>
      <c r="I80" s="647">
        <f t="shared" si="21"/>
        <v>0</v>
      </c>
      <c r="J80"/>
    </row>
    <row r="81" spans="1:10" ht="12.5" x14ac:dyDescent="0.25">
      <c r="A81" s="381" t="s">
        <v>141</v>
      </c>
      <c r="B81" s="745">
        <f t="shared" si="22"/>
        <v>0</v>
      </c>
      <c r="C81" s="745">
        <f t="shared" si="22"/>
        <v>0</v>
      </c>
      <c r="D81" s="745">
        <f t="shared" si="22"/>
        <v>0</v>
      </c>
      <c r="E81" s="745">
        <f t="shared" si="22"/>
        <v>0</v>
      </c>
      <c r="F81" s="646">
        <f t="shared" si="18"/>
        <v>0</v>
      </c>
      <c r="G81" s="647">
        <f t="shared" si="19"/>
        <v>0</v>
      </c>
      <c r="H81" s="646">
        <f t="shared" si="20"/>
        <v>0</v>
      </c>
      <c r="I81" s="647">
        <f t="shared" si="21"/>
        <v>0</v>
      </c>
      <c r="J81"/>
    </row>
    <row r="82" spans="1:10" ht="12.5" x14ac:dyDescent="0.25">
      <c r="A82" s="380" t="s">
        <v>129</v>
      </c>
      <c r="B82" s="745">
        <f t="shared" si="22"/>
        <v>0</v>
      </c>
      <c r="C82" s="745">
        <f t="shared" si="22"/>
        <v>0</v>
      </c>
      <c r="D82" s="745">
        <f t="shared" si="22"/>
        <v>0</v>
      </c>
      <c r="E82" s="745">
        <f t="shared" si="22"/>
        <v>0</v>
      </c>
      <c r="F82" s="646">
        <f t="shared" si="18"/>
        <v>0</v>
      </c>
      <c r="G82" s="647">
        <f t="shared" si="19"/>
        <v>0</v>
      </c>
      <c r="H82" s="646">
        <f t="shared" si="20"/>
        <v>0</v>
      </c>
      <c r="I82" s="647">
        <f t="shared" si="21"/>
        <v>0</v>
      </c>
      <c r="J82"/>
    </row>
    <row r="83" spans="1:10" ht="12.5" x14ac:dyDescent="0.25">
      <c r="A83" s="385" t="s">
        <v>130</v>
      </c>
      <c r="B83" s="745">
        <f t="shared" si="22"/>
        <v>0</v>
      </c>
      <c r="C83" s="745">
        <f t="shared" si="22"/>
        <v>0</v>
      </c>
      <c r="D83" s="745">
        <f t="shared" si="22"/>
        <v>0</v>
      </c>
      <c r="E83" s="745">
        <f t="shared" si="22"/>
        <v>0</v>
      </c>
      <c r="F83" s="646">
        <f t="shared" si="18"/>
        <v>0</v>
      </c>
      <c r="G83" s="647">
        <f t="shared" si="19"/>
        <v>0</v>
      </c>
      <c r="H83" s="646">
        <f t="shared" si="20"/>
        <v>0</v>
      </c>
      <c r="I83" s="647">
        <f t="shared" si="21"/>
        <v>0</v>
      </c>
      <c r="J83"/>
    </row>
    <row r="84" spans="1:10" ht="12.5" x14ac:dyDescent="0.25">
      <c r="A84" s="385"/>
      <c r="B84" s="745"/>
      <c r="C84" s="745"/>
      <c r="D84" s="745"/>
      <c r="E84" s="745"/>
      <c r="F84" s="747"/>
      <c r="G84" s="748"/>
      <c r="H84" s="747"/>
      <c r="I84" s="748"/>
      <c r="J84"/>
    </row>
    <row r="85" spans="1:10" ht="12.5" x14ac:dyDescent="0.25">
      <c r="A85" s="385"/>
      <c r="B85" s="745"/>
      <c r="C85" s="745"/>
      <c r="D85" s="745"/>
      <c r="E85" s="745"/>
      <c r="F85" s="747"/>
      <c r="G85" s="748"/>
      <c r="H85" s="747"/>
      <c r="I85" s="748"/>
      <c r="J85"/>
    </row>
    <row r="86" spans="1:10" thickBot="1" x14ac:dyDescent="0.3">
      <c r="A86" s="385"/>
      <c r="B86" s="674"/>
      <c r="C86" s="668"/>
      <c r="D86" s="669"/>
      <c r="E86" s="669"/>
      <c r="F86" s="670"/>
      <c r="G86" s="671"/>
      <c r="H86" s="672"/>
      <c r="I86" s="673"/>
      <c r="J86"/>
    </row>
    <row r="87" spans="1:10" thickBot="1" x14ac:dyDescent="0.3">
      <c r="A87" s="386" t="s">
        <v>131</v>
      </c>
      <c r="B87" s="103">
        <f>B78+B83</f>
        <v>0</v>
      </c>
      <c r="C87" s="104">
        <f>C78+C83</f>
        <v>0</v>
      </c>
      <c r="D87" s="104">
        <f>D78+D83</f>
        <v>0</v>
      </c>
      <c r="E87" s="104">
        <f>E78+E83</f>
        <v>0</v>
      </c>
      <c r="F87" s="657">
        <f>B87-C87</f>
        <v>0</v>
      </c>
      <c r="G87" s="625">
        <f>IF(C87&lt;&gt;0,(B87-C87)/C87)*100</f>
        <v>0</v>
      </c>
      <c r="H87" s="657">
        <f>D87-E87</f>
        <v>0</v>
      </c>
      <c r="I87" s="625">
        <f>IF(E87&lt;&gt;0,(D87-E87)/E87)*100</f>
        <v>0</v>
      </c>
      <c r="J87"/>
    </row>
    <row r="88" spans="1:10" thickBot="1" x14ac:dyDescent="0.3">
      <c r="A88" s="385"/>
      <c r="B88" s="121"/>
      <c r="C88" s="122"/>
      <c r="D88" s="122"/>
      <c r="E88" s="122"/>
      <c r="F88" s="123"/>
      <c r="G88" s="124"/>
      <c r="H88" s="123"/>
      <c r="I88" s="125"/>
      <c r="J88"/>
    </row>
    <row r="89" spans="1:10" thickBot="1" x14ac:dyDescent="0.3">
      <c r="A89" s="386" t="s">
        <v>132</v>
      </c>
      <c r="B89" s="139">
        <f>B75+B87</f>
        <v>0</v>
      </c>
      <c r="C89" s="140">
        <f>C75+C87</f>
        <v>0</v>
      </c>
      <c r="D89" s="140">
        <f>D75+D87</f>
        <v>0</v>
      </c>
      <c r="E89" s="140">
        <f>E75+E87</f>
        <v>0</v>
      </c>
      <c r="F89" s="104">
        <f>B89-C89</f>
        <v>0</v>
      </c>
      <c r="G89" s="105">
        <f>IF(C89&lt;&gt;0,(B89-C89)/C89)*100</f>
        <v>0</v>
      </c>
      <c r="H89" s="104">
        <f>D89-E89</f>
        <v>0</v>
      </c>
      <c r="I89" s="105">
        <f>IF(E89&lt;&gt;0,(D89-E89)/E89)*100</f>
        <v>0</v>
      </c>
      <c r="J89"/>
    </row>
    <row r="90" spans="1:10" x14ac:dyDescent="0.3">
      <c r="A90" s="374"/>
      <c r="B90" s="94"/>
      <c r="C90" s="94"/>
      <c r="D90" s="94"/>
      <c r="E90" s="94"/>
      <c r="J90"/>
    </row>
    <row r="91" spans="1:10" x14ac:dyDescent="0.3">
      <c r="A91" s="382"/>
      <c r="B91" s="97"/>
      <c r="C91" s="97"/>
      <c r="D91" s="97"/>
      <c r="E91" s="97"/>
      <c r="J91"/>
    </row>
    <row r="92" spans="1:10" ht="13.5" thickBot="1" x14ac:dyDescent="0.35">
      <c r="A92" s="128" t="s">
        <v>145</v>
      </c>
      <c r="B92" s="836"/>
      <c r="C92" s="836"/>
      <c r="D92" s="129"/>
      <c r="E92" s="129"/>
      <c r="J92"/>
    </row>
    <row r="93" spans="1:10" thickBot="1" x14ac:dyDescent="0.3">
      <c r="A93" s="848" t="s">
        <v>134</v>
      </c>
      <c r="B93" s="820" t="s">
        <v>105</v>
      </c>
      <c r="C93" s="835"/>
      <c r="D93" s="820" t="s">
        <v>106</v>
      </c>
      <c r="E93" s="821"/>
      <c r="F93" s="804" t="s">
        <v>107</v>
      </c>
      <c r="G93" s="805"/>
      <c r="H93" s="805"/>
      <c r="I93" s="806"/>
      <c r="J93"/>
    </row>
    <row r="94" spans="1:10" thickBot="1" x14ac:dyDescent="0.3">
      <c r="A94" s="849"/>
      <c r="B94" s="324">
        <v>2023</v>
      </c>
      <c r="C94" s="324">
        <v>2022</v>
      </c>
      <c r="D94" s="324">
        <v>2023</v>
      </c>
      <c r="E94" s="71">
        <v>2022</v>
      </c>
      <c r="F94" s="804" t="s">
        <v>105</v>
      </c>
      <c r="G94" s="806"/>
      <c r="H94" s="804" t="s">
        <v>106</v>
      </c>
      <c r="I94" s="806"/>
      <c r="J94"/>
    </row>
    <row r="95" spans="1:10" ht="12.5" x14ac:dyDescent="0.25">
      <c r="A95" s="383"/>
      <c r="B95" s="807"/>
      <c r="C95" s="808"/>
      <c r="D95" s="808"/>
      <c r="E95" s="809"/>
      <c r="F95" s="814" t="s">
        <v>110</v>
      </c>
      <c r="G95" s="816" t="s">
        <v>111</v>
      </c>
      <c r="H95" s="816" t="s">
        <v>112</v>
      </c>
      <c r="I95" s="816" t="s">
        <v>111</v>
      </c>
      <c r="J95"/>
    </row>
    <row r="96" spans="1:10" thickBot="1" x14ac:dyDescent="0.3">
      <c r="A96" s="384" t="s">
        <v>113</v>
      </c>
      <c r="B96" s="810"/>
      <c r="C96" s="811"/>
      <c r="D96" s="811"/>
      <c r="E96" s="812"/>
      <c r="F96" s="815"/>
      <c r="G96" s="817"/>
      <c r="H96" s="817"/>
      <c r="I96" s="817"/>
      <c r="J96"/>
    </row>
    <row r="97" spans="1:10" thickBot="1" x14ac:dyDescent="0.3">
      <c r="A97" s="385" t="s">
        <v>135</v>
      </c>
      <c r="B97" s="91"/>
      <c r="C97" s="91"/>
      <c r="D97" s="91"/>
      <c r="E97" s="91"/>
      <c r="F97" s="91">
        <f t="shared" ref="F97:F103" si="23">B97-C97</f>
        <v>0</v>
      </c>
      <c r="G97" s="92">
        <f t="shared" ref="G97:G103" si="24">IF(C97&lt;&gt;0,(B97-C97)/C97)*100</f>
        <v>0</v>
      </c>
      <c r="H97" s="91">
        <f t="shared" ref="H97:H103" si="25">D97-E97</f>
        <v>0</v>
      </c>
      <c r="I97" s="92">
        <f t="shared" ref="I97:I103" si="26">IF(E97&lt;&gt;0,(D97-E97)/E97)*100</f>
        <v>0</v>
      </c>
      <c r="J97"/>
    </row>
    <row r="98" spans="1:10" ht="12.5" x14ac:dyDescent="0.25">
      <c r="A98" s="385" t="s">
        <v>136</v>
      </c>
      <c r="B98" s="746"/>
      <c r="C98" s="746"/>
      <c r="D98" s="746"/>
      <c r="E98" s="746"/>
      <c r="F98" s="646">
        <f t="shared" si="23"/>
        <v>0</v>
      </c>
      <c r="G98" s="647">
        <f t="shared" si="24"/>
        <v>0</v>
      </c>
      <c r="H98" s="646">
        <f t="shared" si="25"/>
        <v>0</v>
      </c>
      <c r="I98" s="647">
        <f t="shared" si="26"/>
        <v>0</v>
      </c>
      <c r="J98"/>
    </row>
    <row r="99" spans="1:10" ht="12.5" x14ac:dyDescent="0.25">
      <c r="A99" s="385" t="s">
        <v>116</v>
      </c>
      <c r="B99" s="746"/>
      <c r="C99" s="746"/>
      <c r="D99" s="746"/>
      <c r="E99" s="746"/>
      <c r="F99" s="646">
        <f t="shared" si="23"/>
        <v>0</v>
      </c>
      <c r="G99" s="647">
        <f t="shared" si="24"/>
        <v>0</v>
      </c>
      <c r="H99" s="646">
        <f t="shared" si="25"/>
        <v>0</v>
      </c>
      <c r="I99" s="647">
        <f t="shared" si="26"/>
        <v>0</v>
      </c>
      <c r="J99"/>
    </row>
    <row r="100" spans="1:10" ht="12.5" x14ac:dyDescent="0.25">
      <c r="A100" s="385" t="s">
        <v>143</v>
      </c>
      <c r="B100" s="746"/>
      <c r="C100" s="746"/>
      <c r="D100" s="746"/>
      <c r="E100" s="746"/>
      <c r="F100" s="646">
        <f t="shared" si="23"/>
        <v>0</v>
      </c>
      <c r="G100" s="647">
        <f t="shared" si="24"/>
        <v>0</v>
      </c>
      <c r="H100" s="646">
        <f t="shared" si="25"/>
        <v>0</v>
      </c>
      <c r="I100" s="647">
        <f t="shared" si="26"/>
        <v>0</v>
      </c>
      <c r="J100"/>
    </row>
    <row r="101" spans="1:10" ht="12.5" x14ac:dyDescent="0.25">
      <c r="A101" s="385" t="s">
        <v>139</v>
      </c>
      <c r="B101" s="746"/>
      <c r="C101" s="746"/>
      <c r="D101" s="746"/>
      <c r="E101" s="746"/>
      <c r="F101" s="646">
        <f t="shared" si="23"/>
        <v>0</v>
      </c>
      <c r="G101" s="647">
        <f t="shared" si="24"/>
        <v>0</v>
      </c>
      <c r="H101" s="646">
        <f t="shared" si="25"/>
        <v>0</v>
      </c>
      <c r="I101" s="647">
        <f t="shared" si="26"/>
        <v>0</v>
      </c>
      <c r="J101"/>
    </row>
    <row r="102" spans="1:10" thickBot="1" x14ac:dyDescent="0.3">
      <c r="A102" s="385" t="s">
        <v>140</v>
      </c>
      <c r="B102" s="675"/>
      <c r="C102" s="663"/>
      <c r="D102" s="676"/>
      <c r="E102" s="677"/>
      <c r="F102" s="646">
        <f t="shared" si="23"/>
        <v>0</v>
      </c>
      <c r="G102" s="647">
        <f t="shared" si="24"/>
        <v>0</v>
      </c>
      <c r="H102" s="646">
        <f t="shared" si="25"/>
        <v>0</v>
      </c>
      <c r="I102" s="647">
        <f t="shared" si="26"/>
        <v>0</v>
      </c>
      <c r="J102"/>
    </row>
    <row r="103" spans="1:10" thickBot="1" x14ac:dyDescent="0.3">
      <c r="A103" s="386" t="s">
        <v>123</v>
      </c>
      <c r="B103" s="81"/>
      <c r="C103" s="81"/>
      <c r="D103" s="81"/>
      <c r="E103" s="82"/>
      <c r="F103" s="91">
        <f t="shared" si="23"/>
        <v>0</v>
      </c>
      <c r="G103" s="92">
        <f t="shared" si="24"/>
        <v>0</v>
      </c>
      <c r="H103" s="91">
        <f t="shared" si="25"/>
        <v>0</v>
      </c>
      <c r="I103" s="92">
        <f t="shared" si="26"/>
        <v>0</v>
      </c>
      <c r="J103"/>
    </row>
    <row r="104" spans="1:10" ht="12.5" x14ac:dyDescent="0.25">
      <c r="A104" s="388"/>
      <c r="B104" s="107"/>
      <c r="C104" s="108"/>
      <c r="D104" s="109"/>
      <c r="E104" s="108"/>
      <c r="F104" s="110"/>
      <c r="G104" s="111"/>
      <c r="H104" s="112"/>
      <c r="I104" s="113"/>
      <c r="J104"/>
    </row>
    <row r="105" spans="1:10" thickBot="1" x14ac:dyDescent="0.3">
      <c r="A105" s="389" t="s">
        <v>124</v>
      </c>
      <c r="B105" s="114"/>
      <c r="C105" s="115"/>
      <c r="D105" s="115"/>
      <c r="E105" s="115"/>
      <c r="F105" s="116"/>
      <c r="G105" s="117"/>
      <c r="H105" s="116"/>
      <c r="I105" s="118"/>
      <c r="J105"/>
    </row>
    <row r="106" spans="1:10" thickBot="1" x14ac:dyDescent="0.3">
      <c r="A106" s="385" t="s">
        <v>125</v>
      </c>
      <c r="B106" s="104"/>
      <c r="C106" s="104"/>
      <c r="D106" s="104"/>
      <c r="E106" s="104"/>
      <c r="F106" s="91">
        <f t="shared" ref="F106:F111" si="27">B106-C106</f>
        <v>0</v>
      </c>
      <c r="G106" s="92">
        <f t="shared" ref="G106:G111" si="28">IF(C106&lt;&gt;0,(B106-C106)/C106)*100</f>
        <v>0</v>
      </c>
      <c r="H106" s="91">
        <f t="shared" ref="H106:H111" si="29">D106-E106</f>
        <v>0</v>
      </c>
      <c r="I106" s="92">
        <f t="shared" ref="I106:I111" si="30">IF(E106&lt;&gt;0,(D106-E106)/E106)*100</f>
        <v>0</v>
      </c>
      <c r="J106"/>
    </row>
    <row r="107" spans="1:10" ht="12.5" x14ac:dyDescent="0.25">
      <c r="A107" s="380" t="s">
        <v>126</v>
      </c>
      <c r="B107" s="746"/>
      <c r="C107" s="746"/>
      <c r="D107" s="746"/>
      <c r="E107" s="746"/>
      <c r="F107" s="646">
        <f t="shared" si="27"/>
        <v>0</v>
      </c>
      <c r="G107" s="647">
        <f t="shared" si="28"/>
        <v>0</v>
      </c>
      <c r="H107" s="646">
        <f t="shared" si="29"/>
        <v>0</v>
      </c>
      <c r="I107" s="647">
        <f t="shared" si="30"/>
        <v>0</v>
      </c>
      <c r="J107"/>
    </row>
    <row r="108" spans="1:10" ht="12.5" x14ac:dyDescent="0.25">
      <c r="A108" s="380" t="s">
        <v>144</v>
      </c>
      <c r="B108" s="746"/>
      <c r="C108" s="746"/>
      <c r="D108" s="746"/>
      <c r="E108" s="746"/>
      <c r="F108" s="646">
        <f t="shared" si="27"/>
        <v>0</v>
      </c>
      <c r="G108" s="647">
        <f t="shared" si="28"/>
        <v>0</v>
      </c>
      <c r="H108" s="646">
        <f t="shared" si="29"/>
        <v>0</v>
      </c>
      <c r="I108" s="647">
        <f t="shared" si="30"/>
        <v>0</v>
      </c>
      <c r="J108"/>
    </row>
    <row r="109" spans="1:10" ht="12.5" x14ac:dyDescent="0.25">
      <c r="A109" s="381" t="s">
        <v>141</v>
      </c>
      <c r="B109" s="645"/>
      <c r="C109" s="645"/>
      <c r="D109" s="645"/>
      <c r="E109" s="645"/>
      <c r="F109" s="646">
        <f t="shared" si="27"/>
        <v>0</v>
      </c>
      <c r="G109" s="647">
        <f t="shared" si="28"/>
        <v>0</v>
      </c>
      <c r="H109" s="646">
        <f t="shared" si="29"/>
        <v>0</v>
      </c>
      <c r="I109" s="647">
        <f t="shared" si="30"/>
        <v>0</v>
      </c>
      <c r="J109"/>
    </row>
    <row r="110" spans="1:10" ht="12.5" x14ac:dyDescent="0.25">
      <c r="A110" s="380" t="s">
        <v>129</v>
      </c>
      <c r="B110" s="645"/>
      <c r="C110" s="645"/>
      <c r="D110" s="645"/>
      <c r="E110" s="645"/>
      <c r="F110" s="646">
        <f t="shared" si="27"/>
        <v>0</v>
      </c>
      <c r="G110" s="647">
        <f t="shared" si="28"/>
        <v>0</v>
      </c>
      <c r="H110" s="646">
        <f t="shared" si="29"/>
        <v>0</v>
      </c>
      <c r="I110" s="647">
        <f t="shared" si="30"/>
        <v>0</v>
      </c>
      <c r="J110"/>
    </row>
    <row r="111" spans="1:10" ht="12.5" x14ac:dyDescent="0.25">
      <c r="A111" s="385" t="s">
        <v>130</v>
      </c>
      <c r="B111" s="645"/>
      <c r="C111" s="645"/>
      <c r="D111" s="645"/>
      <c r="E111" s="645"/>
      <c r="F111" s="646">
        <f t="shared" si="27"/>
        <v>0</v>
      </c>
      <c r="G111" s="647">
        <f t="shared" si="28"/>
        <v>0</v>
      </c>
      <c r="H111" s="646">
        <f t="shared" si="29"/>
        <v>0</v>
      </c>
      <c r="I111" s="647">
        <f t="shared" si="30"/>
        <v>0</v>
      </c>
      <c r="J111"/>
    </row>
    <row r="112" spans="1:10" ht="12.5" x14ac:dyDescent="0.25">
      <c r="A112" s="385"/>
      <c r="B112" s="645"/>
      <c r="C112" s="645"/>
      <c r="D112" s="645"/>
      <c r="E112" s="645"/>
      <c r="F112" s="747"/>
      <c r="G112" s="748"/>
      <c r="H112" s="747"/>
      <c r="I112" s="748"/>
      <c r="J112"/>
    </row>
    <row r="113" spans="1:10" ht="12.5" x14ac:dyDescent="0.25">
      <c r="A113" s="385"/>
      <c r="B113" s="645"/>
      <c r="C113" s="645"/>
      <c r="D113" s="645"/>
      <c r="E113" s="645"/>
      <c r="F113" s="747"/>
      <c r="G113" s="748"/>
      <c r="H113" s="747"/>
      <c r="I113" s="748"/>
      <c r="J113"/>
    </row>
    <row r="114" spans="1:10" thickBot="1" x14ac:dyDescent="0.3">
      <c r="A114" s="385"/>
      <c r="B114" s="668"/>
      <c r="C114" s="668"/>
      <c r="D114" s="669"/>
      <c r="E114" s="669"/>
      <c r="F114" s="670"/>
      <c r="G114" s="671"/>
      <c r="H114" s="672"/>
      <c r="I114" s="673"/>
      <c r="J114"/>
    </row>
    <row r="115" spans="1:10" thickBot="1" x14ac:dyDescent="0.3">
      <c r="A115" s="386" t="s">
        <v>131</v>
      </c>
      <c r="B115" s="104"/>
      <c r="C115" s="104"/>
      <c r="D115" s="104"/>
      <c r="E115" s="104"/>
      <c r="F115" s="657">
        <f>B115-C115</f>
        <v>0</v>
      </c>
      <c r="G115" s="625">
        <f>IF(C115&lt;&gt;0,(B115-C115)/C115)*100</f>
        <v>0</v>
      </c>
      <c r="H115" s="657">
        <f>D115-E115</f>
        <v>0</v>
      </c>
      <c r="I115" s="625">
        <f>IF(E115&lt;&gt;0,(D115-E115)/E115)*100</f>
        <v>0</v>
      </c>
      <c r="J115"/>
    </row>
    <row r="116" spans="1:10" thickBot="1" x14ac:dyDescent="0.3">
      <c r="A116" s="385"/>
      <c r="B116" s="121"/>
      <c r="C116" s="122"/>
      <c r="D116" s="122"/>
      <c r="E116" s="122"/>
      <c r="F116" s="123"/>
      <c r="G116" s="124"/>
      <c r="H116" s="123"/>
      <c r="I116" s="125"/>
      <c r="J116"/>
    </row>
    <row r="117" spans="1:10" thickBot="1" x14ac:dyDescent="0.3">
      <c r="A117" s="386" t="s">
        <v>132</v>
      </c>
      <c r="B117" s="104"/>
      <c r="C117" s="104"/>
      <c r="D117" s="104"/>
      <c r="E117" s="104"/>
      <c r="F117" s="104">
        <f>B117-C117</f>
        <v>0</v>
      </c>
      <c r="G117" s="105">
        <f>IF(C117&lt;&gt;0,(B117-C117)/C117)*100</f>
        <v>0</v>
      </c>
      <c r="H117" s="104">
        <f>D117-E117</f>
        <v>0</v>
      </c>
      <c r="I117" s="105">
        <f>IF(E117&lt;&gt;0,(D117-E117)/E117)*100</f>
        <v>0</v>
      </c>
      <c r="J117"/>
    </row>
    <row r="118" spans="1:10" ht="15" customHeight="1" x14ac:dyDescent="0.3">
      <c r="J118"/>
    </row>
    <row r="119" spans="1:10" ht="15" customHeight="1" x14ac:dyDescent="0.3">
      <c r="J119"/>
    </row>
    <row r="120" spans="1:10" ht="15" customHeight="1" x14ac:dyDescent="0.35">
      <c r="B120" s="217">
        <f t="shared" ref="B120:E122" si="31">B41-B69+B97</f>
        <v>0</v>
      </c>
      <c r="C120" s="217">
        <f t="shared" si="31"/>
        <v>0</v>
      </c>
      <c r="D120" s="217">
        <f t="shared" si="31"/>
        <v>0</v>
      </c>
      <c r="E120" s="217">
        <f t="shared" si="31"/>
        <v>0</v>
      </c>
      <c r="J120"/>
    </row>
    <row r="121" spans="1:10" ht="15" customHeight="1" x14ac:dyDescent="0.35">
      <c r="B121" s="217">
        <f t="shared" si="31"/>
        <v>0</v>
      </c>
      <c r="C121" s="217">
        <f t="shared" si="31"/>
        <v>0</v>
      </c>
      <c r="D121" s="217">
        <f t="shared" si="31"/>
        <v>0</v>
      </c>
      <c r="E121" s="217">
        <f t="shared" si="31"/>
        <v>0</v>
      </c>
      <c r="J121"/>
    </row>
    <row r="122" spans="1:10" ht="15.5" x14ac:dyDescent="0.35">
      <c r="B122" s="217">
        <f t="shared" si="31"/>
        <v>0</v>
      </c>
      <c r="C122" s="217">
        <f t="shared" si="31"/>
        <v>0</v>
      </c>
      <c r="D122" s="217">
        <f t="shared" si="31"/>
        <v>0</v>
      </c>
      <c r="E122" s="217">
        <f t="shared" si="31"/>
        <v>0</v>
      </c>
    </row>
    <row r="123" spans="1:10" ht="15.5" x14ac:dyDescent="0.35">
      <c r="B123" s="217">
        <f t="shared" ref="B123:E127" si="32">B45-B72+B100</f>
        <v>0</v>
      </c>
      <c r="C123" s="217">
        <f t="shared" si="32"/>
        <v>0</v>
      </c>
      <c r="D123" s="217">
        <f t="shared" si="32"/>
        <v>0</v>
      </c>
      <c r="E123" s="217">
        <f t="shared" si="32"/>
        <v>0</v>
      </c>
    </row>
    <row r="124" spans="1:10" ht="15.5" x14ac:dyDescent="0.35">
      <c r="B124" s="217">
        <f t="shared" si="32"/>
        <v>0</v>
      </c>
      <c r="C124" s="217">
        <f t="shared" si="32"/>
        <v>0</v>
      </c>
      <c r="D124" s="217">
        <f t="shared" si="32"/>
        <v>0</v>
      </c>
      <c r="E124" s="217">
        <f t="shared" si="32"/>
        <v>0</v>
      </c>
    </row>
    <row r="125" spans="1:10" ht="15.5" x14ac:dyDescent="0.35">
      <c r="B125" s="217">
        <f t="shared" si="32"/>
        <v>0</v>
      </c>
      <c r="C125" s="217">
        <f t="shared" si="32"/>
        <v>0</v>
      </c>
      <c r="D125" s="217">
        <f t="shared" si="32"/>
        <v>0</v>
      </c>
      <c r="E125" s="217">
        <f t="shared" si="32"/>
        <v>0</v>
      </c>
    </row>
    <row r="126" spans="1:10" ht="15.5" x14ac:dyDescent="0.35">
      <c r="B126" s="217">
        <f t="shared" si="32"/>
        <v>0</v>
      </c>
      <c r="C126" s="217">
        <f t="shared" si="32"/>
        <v>0</v>
      </c>
      <c r="D126" s="217">
        <f t="shared" si="32"/>
        <v>0</v>
      </c>
      <c r="E126" s="217">
        <f t="shared" si="32"/>
        <v>0</v>
      </c>
    </row>
    <row r="127" spans="1:10" ht="15.5" x14ac:dyDescent="0.35">
      <c r="B127" s="217">
        <f t="shared" si="32"/>
        <v>0</v>
      </c>
      <c r="C127" s="217">
        <f t="shared" si="32"/>
        <v>0</v>
      </c>
      <c r="D127" s="217">
        <f t="shared" si="32"/>
        <v>0</v>
      </c>
      <c r="E127" s="217">
        <f t="shared" si="32"/>
        <v>0</v>
      </c>
    </row>
    <row r="128" spans="1:10" ht="15.5" x14ac:dyDescent="0.35">
      <c r="B128" s="217">
        <f t="shared" ref="B128:E140" si="33">B49-B77+B105</f>
        <v>0</v>
      </c>
      <c r="C128" s="217">
        <f t="shared" si="33"/>
        <v>0</v>
      </c>
      <c r="D128" s="217">
        <f t="shared" si="33"/>
        <v>0</v>
      </c>
      <c r="E128" s="217">
        <f t="shared" si="33"/>
        <v>0</v>
      </c>
    </row>
    <row r="129" spans="1:9" ht="15.5" x14ac:dyDescent="0.35">
      <c r="A129" s="347"/>
      <c r="B129" s="217">
        <f t="shared" si="33"/>
        <v>0</v>
      </c>
      <c r="C129" s="217">
        <f t="shared" si="33"/>
        <v>0</v>
      </c>
      <c r="D129" s="217">
        <f t="shared" si="33"/>
        <v>0</v>
      </c>
      <c r="E129" s="217">
        <f t="shared" si="33"/>
        <v>0</v>
      </c>
      <c r="F129"/>
      <c r="G129"/>
      <c r="H129"/>
      <c r="I129"/>
    </row>
    <row r="130" spans="1:9" ht="15.5" x14ac:dyDescent="0.35">
      <c r="A130" s="347"/>
      <c r="B130" s="217">
        <f t="shared" si="33"/>
        <v>0</v>
      </c>
      <c r="C130" s="217">
        <f t="shared" si="33"/>
        <v>0</v>
      </c>
      <c r="D130" s="217">
        <f t="shared" si="33"/>
        <v>0</v>
      </c>
      <c r="E130" s="217">
        <f t="shared" si="33"/>
        <v>0</v>
      </c>
      <c r="F130"/>
      <c r="G130"/>
      <c r="H130"/>
      <c r="I130"/>
    </row>
    <row r="131" spans="1:9" ht="15.5" x14ac:dyDescent="0.35">
      <c r="A131" s="347"/>
      <c r="B131" s="217">
        <f t="shared" si="33"/>
        <v>0</v>
      </c>
      <c r="C131" s="217">
        <f t="shared" si="33"/>
        <v>0</v>
      </c>
      <c r="D131" s="217">
        <f t="shared" si="33"/>
        <v>0</v>
      </c>
      <c r="E131" s="217">
        <f t="shared" si="33"/>
        <v>0</v>
      </c>
      <c r="F131"/>
      <c r="G131"/>
      <c r="H131"/>
      <c r="I131"/>
    </row>
    <row r="132" spans="1:9" ht="15.5" x14ac:dyDescent="0.35">
      <c r="A132" s="347"/>
      <c r="B132" s="217">
        <f t="shared" si="33"/>
        <v>0</v>
      </c>
      <c r="C132" s="217">
        <f t="shared" si="33"/>
        <v>0</v>
      </c>
      <c r="D132" s="217">
        <f t="shared" si="33"/>
        <v>0</v>
      </c>
      <c r="E132" s="217">
        <f t="shared" si="33"/>
        <v>0</v>
      </c>
      <c r="F132"/>
      <c r="G132"/>
      <c r="H132"/>
      <c r="I132"/>
    </row>
    <row r="133" spans="1:9" ht="15.5" x14ac:dyDescent="0.35">
      <c r="A133" s="347"/>
      <c r="B133" s="217">
        <f t="shared" si="33"/>
        <v>0</v>
      </c>
      <c r="C133" s="217">
        <f t="shared" si="33"/>
        <v>0</v>
      </c>
      <c r="D133" s="217">
        <f t="shared" si="33"/>
        <v>0</v>
      </c>
      <c r="E133" s="217">
        <f t="shared" si="33"/>
        <v>0</v>
      </c>
      <c r="F133"/>
      <c r="G133"/>
      <c r="H133"/>
      <c r="I133"/>
    </row>
    <row r="134" spans="1:9" ht="15.5" x14ac:dyDescent="0.35">
      <c r="A134" s="347"/>
      <c r="B134" s="217">
        <f t="shared" si="33"/>
        <v>0</v>
      </c>
      <c r="C134" s="217">
        <f t="shared" si="33"/>
        <v>0</v>
      </c>
      <c r="D134" s="217">
        <f t="shared" si="33"/>
        <v>0</v>
      </c>
      <c r="E134" s="217">
        <f t="shared" si="33"/>
        <v>0</v>
      </c>
      <c r="F134"/>
      <c r="G134"/>
      <c r="H134"/>
      <c r="I134"/>
    </row>
    <row r="135" spans="1:9" ht="15.5" x14ac:dyDescent="0.35">
      <c r="A135" s="347"/>
      <c r="B135" s="217">
        <f t="shared" si="33"/>
        <v>0</v>
      </c>
      <c r="C135" s="217">
        <f t="shared" si="33"/>
        <v>0</v>
      </c>
      <c r="D135" s="217">
        <f t="shared" si="33"/>
        <v>0</v>
      </c>
      <c r="E135" s="217">
        <f t="shared" si="33"/>
        <v>0</v>
      </c>
      <c r="F135"/>
      <c r="G135"/>
      <c r="H135"/>
      <c r="I135"/>
    </row>
    <row r="136" spans="1:9" ht="15.5" x14ac:dyDescent="0.35">
      <c r="A136" s="347"/>
      <c r="B136" s="217">
        <f t="shared" si="33"/>
        <v>0</v>
      </c>
      <c r="C136" s="217">
        <f t="shared" si="33"/>
        <v>0</v>
      </c>
      <c r="D136" s="217">
        <f t="shared" si="33"/>
        <v>0</v>
      </c>
      <c r="E136" s="217">
        <f t="shared" si="33"/>
        <v>0</v>
      </c>
      <c r="F136"/>
      <c r="G136"/>
      <c r="H136"/>
      <c r="I136"/>
    </row>
    <row r="137" spans="1:9" ht="15.5" x14ac:dyDescent="0.35">
      <c r="A137" s="347"/>
      <c r="B137" s="217">
        <f t="shared" si="33"/>
        <v>0</v>
      </c>
      <c r="C137" s="217">
        <f t="shared" si="33"/>
        <v>0</v>
      </c>
      <c r="D137" s="217">
        <f t="shared" si="33"/>
        <v>0</v>
      </c>
      <c r="E137" s="217">
        <f t="shared" si="33"/>
        <v>0</v>
      </c>
      <c r="F137"/>
      <c r="G137"/>
      <c r="H137"/>
      <c r="I137"/>
    </row>
    <row r="138" spans="1:9" ht="15.5" x14ac:dyDescent="0.35">
      <c r="A138" s="347"/>
      <c r="B138" s="217">
        <f t="shared" si="33"/>
        <v>0</v>
      </c>
      <c r="C138" s="217">
        <f t="shared" si="33"/>
        <v>0</v>
      </c>
      <c r="D138" s="217">
        <f t="shared" si="33"/>
        <v>0</v>
      </c>
      <c r="E138" s="217">
        <f t="shared" si="33"/>
        <v>0</v>
      </c>
      <c r="F138"/>
      <c r="G138"/>
      <c r="H138"/>
      <c r="I138"/>
    </row>
    <row r="139" spans="1:9" ht="15.5" x14ac:dyDescent="0.35">
      <c r="A139" s="347"/>
      <c r="B139" s="217">
        <f t="shared" si="33"/>
        <v>0</v>
      </c>
      <c r="C139" s="217">
        <f t="shared" si="33"/>
        <v>0</v>
      </c>
      <c r="D139" s="217">
        <f t="shared" si="33"/>
        <v>0</v>
      </c>
      <c r="E139" s="217">
        <f t="shared" si="33"/>
        <v>0</v>
      </c>
      <c r="F139"/>
      <c r="G139"/>
      <c r="H139"/>
      <c r="I139"/>
    </row>
    <row r="140" spans="1:9" ht="15.5" x14ac:dyDescent="0.35">
      <c r="A140" s="347"/>
      <c r="B140" s="217">
        <f t="shared" si="33"/>
        <v>0</v>
      </c>
      <c r="C140" s="217">
        <f t="shared" si="33"/>
        <v>0</v>
      </c>
      <c r="D140" s="217">
        <f t="shared" si="33"/>
        <v>0</v>
      </c>
      <c r="E140" s="217">
        <f t="shared" si="33"/>
        <v>0</v>
      </c>
      <c r="F140"/>
      <c r="G140"/>
      <c r="H140"/>
      <c r="I140"/>
    </row>
  </sheetData>
  <mergeCells count="49">
    <mergeCell ref="B39:E40"/>
    <mergeCell ref="B64:C64"/>
    <mergeCell ref="B92:C92"/>
    <mergeCell ref="F65:I65"/>
    <mergeCell ref="F66:G66"/>
    <mergeCell ref="H66:I66"/>
    <mergeCell ref="F39:F40"/>
    <mergeCell ref="G39:G40"/>
    <mergeCell ref="H39:H40"/>
    <mergeCell ref="I39:I40"/>
    <mergeCell ref="I67:I68"/>
    <mergeCell ref="A3:E3"/>
    <mergeCell ref="F6:I6"/>
    <mergeCell ref="F7:G7"/>
    <mergeCell ref="H7:I7"/>
    <mergeCell ref="B5:C5"/>
    <mergeCell ref="B6:C6"/>
    <mergeCell ref="D6:E6"/>
    <mergeCell ref="I8:I9"/>
    <mergeCell ref="B36:C36"/>
    <mergeCell ref="A37:A38"/>
    <mergeCell ref="F37:I37"/>
    <mergeCell ref="F38:G38"/>
    <mergeCell ref="H38:I38"/>
    <mergeCell ref="A8:A9"/>
    <mergeCell ref="B8:E9"/>
    <mergeCell ref="F8:F9"/>
    <mergeCell ref="G8:G9"/>
    <mergeCell ref="H8:H9"/>
    <mergeCell ref="B37:C37"/>
    <mergeCell ref="D37:E37"/>
    <mergeCell ref="A65:A66"/>
    <mergeCell ref="B67:E68"/>
    <mergeCell ref="F67:F68"/>
    <mergeCell ref="G67:G68"/>
    <mergeCell ref="H67:H68"/>
    <mergeCell ref="B65:C65"/>
    <mergeCell ref="D65:E65"/>
    <mergeCell ref="A93:A94"/>
    <mergeCell ref="F93:I93"/>
    <mergeCell ref="F94:G94"/>
    <mergeCell ref="H94:I94"/>
    <mergeCell ref="B95:E96"/>
    <mergeCell ref="F95:F96"/>
    <mergeCell ref="G95:G96"/>
    <mergeCell ref="H95:H96"/>
    <mergeCell ref="I95:I96"/>
    <mergeCell ref="B93:C93"/>
    <mergeCell ref="D93:E93"/>
  </mergeCells>
  <dataValidations count="1">
    <dataValidation type="list" allowBlank="1" showInputMessage="1" showErrorMessage="1" sqref="WBR98304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VRV983045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IX983045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ST983045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ACP983045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AML983045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AWH983045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GD983045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PZ983045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ZV983045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CJR983045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CTN983045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DDJ983045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DNF983045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DXB983045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EGX983045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EQT983045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FAP983045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FKL983045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FUH983045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GED983045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GNZ983045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GXV983045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HHR983045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HRN983045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IBJ983045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ILF983045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IVB983045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JEX983045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JOT983045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JYP983045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KIL983045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KSH983045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LCD983045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LLZ983045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LVV983045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MFR983045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MPN983045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MZJ983045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NJF983045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NTB983045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OCX983045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OMT983045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OWP983045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PGL983045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PQH983045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QAD98304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QJZ983045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QTV983045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RDR983045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RNN983045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RXJ98304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SHF983045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SRB983045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TAX983045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TKT983045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TUP98304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UEL983045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UOH983045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UYD983045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VHZ983045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36 B64 B92 B5 B65572 B131108 B196644 B262180 B327716 B393252 B458788 B524324 B589860 B655396 B720932 B786468 B852004 B917540 B983076 B65600 B131136 B196672 B262208 B327744 B393280 B458816 B524352 B589888 B655424 B720960 B786496 B852032 B917568 B983104 B65628 B131164 B196700 B262236 B327772 B393308 B458844 B524380 B589916 B655452 B720988 B786524 B852060 B917596 B983132 B65541 B131077 B196613 B262149 B327685 B393221 B458757 B524293 B589829 B655365 B720901 B786437 B851973 B917509 B983045" xr:uid="{00000000-0002-0000-1500-000000000000}">
      <formula1>#REF!</formula1>
    </dataValidation>
  </dataValidations>
  <pageMargins left="0.7" right="0.7" top="0.75" bottom="0.75" header="0.3" footer="0.3"/>
  <pageSetup paperSize="9" scale="48"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3">
    <tabColor rgb="FFFF0000"/>
  </sheetPr>
  <dimension ref="A1:J140"/>
  <sheetViews>
    <sheetView showGridLines="0" view="pageBreakPreview" zoomScale="90" zoomScaleNormal="80" zoomScaleSheetLayoutView="90" workbookViewId="0">
      <selection activeCell="C111" sqref="C111"/>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0" ht="14" x14ac:dyDescent="0.3">
      <c r="A1" s="364" t="s">
        <v>101</v>
      </c>
      <c r="B1" s="66"/>
      <c r="C1" s="66"/>
      <c r="D1" s="66"/>
      <c r="E1" s="66"/>
      <c r="F1" s="66"/>
      <c r="G1" s="66"/>
      <c r="H1" s="66"/>
      <c r="I1" s="66"/>
      <c r="J1"/>
    </row>
    <row r="2" spans="1:10" ht="12.5" x14ac:dyDescent="0.25">
      <c r="A2" s="365"/>
      <c r="B2" s="66"/>
      <c r="C2" s="66"/>
      <c r="D2" s="66"/>
      <c r="E2" s="66"/>
      <c r="F2" s="66"/>
      <c r="G2" s="66"/>
      <c r="H2" s="66"/>
      <c r="I2" s="66"/>
      <c r="J2"/>
    </row>
    <row r="3" spans="1:10" ht="12.5" x14ac:dyDescent="0.25">
      <c r="A3" s="800" t="s">
        <v>146</v>
      </c>
      <c r="B3" s="800"/>
      <c r="C3" s="800"/>
      <c r="D3" s="800"/>
      <c r="E3" s="800"/>
      <c r="F3" s="66"/>
      <c r="G3" s="66"/>
      <c r="H3" s="66"/>
      <c r="I3" s="66"/>
      <c r="J3"/>
    </row>
    <row r="4" spans="1:10" ht="12.5" x14ac:dyDescent="0.25">
      <c r="A4" s="365"/>
      <c r="B4" s="66"/>
      <c r="C4" s="66"/>
      <c r="D4" s="66"/>
      <c r="E4" s="66"/>
      <c r="F4" s="66"/>
      <c r="G4" s="66"/>
      <c r="H4" s="66"/>
      <c r="I4" s="66"/>
      <c r="J4"/>
    </row>
    <row r="5" spans="1:10" ht="17.149999999999999" customHeight="1" thickBot="1" x14ac:dyDescent="0.35">
      <c r="A5" s="404" t="s">
        <v>103</v>
      </c>
      <c r="B5" s="836"/>
      <c r="C5" s="836"/>
      <c r="D5" s="68"/>
      <c r="E5" s="68"/>
      <c r="F5" s="66"/>
      <c r="G5" s="66"/>
      <c r="H5" s="66"/>
      <c r="I5" s="66"/>
    </row>
    <row r="6" spans="1:10" ht="17.149999999999999" customHeight="1" thickBot="1" x14ac:dyDescent="0.35">
      <c r="A6" s="69" t="s">
        <v>104</v>
      </c>
      <c r="B6" s="818" t="s">
        <v>105</v>
      </c>
      <c r="C6" s="819"/>
      <c r="D6" s="837" t="s">
        <v>106</v>
      </c>
      <c r="E6" s="838"/>
      <c r="F6" s="818" t="s">
        <v>107</v>
      </c>
      <c r="G6" s="832"/>
      <c r="H6" s="832"/>
      <c r="I6" s="819"/>
    </row>
    <row r="7" spans="1:10" ht="17.149999999999999" customHeight="1" thickBot="1" x14ac:dyDescent="0.35">
      <c r="A7" s="70" t="s">
        <v>108</v>
      </c>
      <c r="B7" s="324" t="s">
        <v>147</v>
      </c>
      <c r="C7" s="324" t="s">
        <v>148</v>
      </c>
      <c r="D7" s="324" t="s">
        <v>147</v>
      </c>
      <c r="E7" s="324" t="s">
        <v>148</v>
      </c>
      <c r="F7" s="818" t="s">
        <v>105</v>
      </c>
      <c r="G7" s="819"/>
      <c r="H7" s="818" t="s">
        <v>106</v>
      </c>
      <c r="I7" s="819"/>
    </row>
    <row r="8" spans="1:10" ht="17.149999999999999" customHeight="1" x14ac:dyDescent="0.3">
      <c r="A8" s="839" t="s">
        <v>109</v>
      </c>
      <c r="B8" s="826"/>
      <c r="C8" s="827"/>
      <c r="D8" s="827"/>
      <c r="E8" s="828"/>
      <c r="F8" s="828" t="s">
        <v>110</v>
      </c>
      <c r="G8" s="822" t="s">
        <v>111</v>
      </c>
      <c r="H8" s="822" t="s">
        <v>112</v>
      </c>
      <c r="I8" s="822" t="s">
        <v>111</v>
      </c>
    </row>
    <row r="9" spans="1:10" ht="17.149999999999999" customHeight="1" thickBot="1" x14ac:dyDescent="0.35">
      <c r="A9" s="840"/>
      <c r="B9" s="841"/>
      <c r="C9" s="852"/>
      <c r="D9" s="852"/>
      <c r="E9" s="853"/>
      <c r="F9" s="833"/>
      <c r="G9" s="834"/>
      <c r="H9" s="834"/>
      <c r="I9" s="834"/>
    </row>
    <row r="10" spans="1:10" ht="17.149999999999999" customHeight="1" thickBot="1" x14ac:dyDescent="0.35">
      <c r="A10" s="72" t="s">
        <v>113</v>
      </c>
      <c r="B10" s="405"/>
      <c r="C10" s="406"/>
      <c r="D10" s="406"/>
      <c r="E10" s="536"/>
      <c r="F10" s="76"/>
      <c r="G10" s="76"/>
      <c r="H10" s="76"/>
      <c r="I10" s="77"/>
    </row>
    <row r="11" spans="1:10" ht="17.149999999999999" customHeight="1" x14ac:dyDescent="0.3">
      <c r="A11" s="678" t="s">
        <v>114</v>
      </c>
      <c r="B11" s="78">
        <f>B12+B13+B17</f>
        <v>33745</v>
      </c>
      <c r="C11" s="679">
        <f>31410000/1000</f>
        <v>31410</v>
      </c>
      <c r="D11" s="78">
        <f>D12+D13+D17</f>
        <v>131</v>
      </c>
      <c r="E11" s="78">
        <f>E12+E13+E17</f>
        <v>177</v>
      </c>
      <c r="F11" s="78">
        <f>B11-C11</f>
        <v>2335</v>
      </c>
      <c r="G11" s="78">
        <f>IF(C11&lt;&gt;0,(B11-C11)/C11)*100</f>
        <v>7.4339382362305004</v>
      </c>
      <c r="H11" s="78">
        <f>D11-E11</f>
        <v>-46</v>
      </c>
      <c r="I11" s="79">
        <f>IF(E11&lt;&gt;0,(D11-E11)/E11)*100</f>
        <v>-25.988700564971751</v>
      </c>
      <c r="J11" s="141">
        <v>1000</v>
      </c>
    </row>
    <row r="12" spans="1:10" ht="17.149999999999999" customHeight="1" x14ac:dyDescent="0.3">
      <c r="A12" s="678" t="s">
        <v>115</v>
      </c>
      <c r="B12" s="679">
        <f>33745000/1000</f>
        <v>33745</v>
      </c>
      <c r="C12" s="679">
        <f>31410000/1000</f>
        <v>31410</v>
      </c>
      <c r="D12" s="679">
        <v>131</v>
      </c>
      <c r="E12" s="679">
        <v>177</v>
      </c>
      <c r="F12" s="680">
        <f t="shared" ref="F12:F19" si="0">B12-C12</f>
        <v>2335</v>
      </c>
      <c r="G12" s="681">
        <f>IF(C12&lt;&gt;0,(B12-C12)/C12)*100</f>
        <v>7.4339382362305004</v>
      </c>
      <c r="H12" s="680">
        <f>D12-E12</f>
        <v>-46</v>
      </c>
      <c r="I12" s="681">
        <f>IF(E12&lt;&gt;0,(D12-E12)/E12)*100</f>
        <v>-25.988700564971751</v>
      </c>
    </row>
    <row r="13" spans="1:10" ht="17.149999999999999" customHeight="1" x14ac:dyDescent="0.3">
      <c r="A13" s="678" t="s">
        <v>116</v>
      </c>
      <c r="B13" s="680">
        <f>B14-B15-B16</f>
        <v>0</v>
      </c>
      <c r="C13" s="680">
        <f>C14-C15-C16</f>
        <v>0</v>
      </c>
      <c r="D13" s="682">
        <v>0</v>
      </c>
      <c r="E13" s="682">
        <v>0</v>
      </c>
      <c r="F13" s="680">
        <f t="shared" si="0"/>
        <v>0</v>
      </c>
      <c r="G13" s="681">
        <f>IF(C13&lt;&gt;0,(B13-C13)/C13)*100</f>
        <v>0</v>
      </c>
      <c r="H13" s="680">
        <f>D13-E13</f>
        <v>0</v>
      </c>
      <c r="I13" s="681">
        <f>IF(E13&lt;&gt;0,(D13-E13)/E13)*100</f>
        <v>0</v>
      </c>
    </row>
    <row r="14" spans="1:10" ht="17.149999999999999" customHeight="1" x14ac:dyDescent="0.3">
      <c r="A14" s="683" t="s">
        <v>117</v>
      </c>
      <c r="B14" s="609">
        <v>0</v>
      </c>
      <c r="C14" s="684">
        <v>0</v>
      </c>
      <c r="D14" s="679"/>
      <c r="E14" s="684"/>
      <c r="F14" s="680"/>
      <c r="G14" s="685"/>
      <c r="H14" s="680"/>
      <c r="I14" s="685"/>
    </row>
    <row r="15" spans="1:10" ht="17.149999999999999" customHeight="1" x14ac:dyDescent="0.3">
      <c r="A15" s="686" t="s">
        <v>118</v>
      </c>
      <c r="B15" s="613">
        <v>0</v>
      </c>
      <c r="C15" s="687">
        <v>0</v>
      </c>
      <c r="D15" s="679"/>
      <c r="E15" s="684"/>
      <c r="F15" s="680"/>
      <c r="G15" s="685"/>
      <c r="H15" s="680"/>
      <c r="I15" s="685"/>
    </row>
    <row r="16" spans="1:10" ht="17.149999999999999" customHeight="1" x14ac:dyDescent="0.3">
      <c r="A16" s="686" t="s">
        <v>119</v>
      </c>
      <c r="B16" s="615">
        <v>0</v>
      </c>
      <c r="C16" s="537">
        <v>0</v>
      </c>
      <c r="D16" s="688"/>
      <c r="E16" s="684"/>
      <c r="F16" s="680"/>
      <c r="G16" s="685"/>
      <c r="H16" s="680"/>
      <c r="I16" s="685"/>
    </row>
    <row r="17" spans="1:9" ht="17.149999999999999" customHeight="1" x14ac:dyDescent="0.3">
      <c r="A17" s="617" t="s">
        <v>120</v>
      </c>
      <c r="B17" s="618">
        <v>0</v>
      </c>
      <c r="C17" s="749">
        <v>0</v>
      </c>
      <c r="D17" s="679">
        <v>0</v>
      </c>
      <c r="E17" s="679">
        <v>0</v>
      </c>
      <c r="F17" s="680">
        <f t="shared" si="0"/>
        <v>0</v>
      </c>
      <c r="G17" s="681">
        <f>IF(C17&lt;&gt;0,(B17-C17)/C17)*100</f>
        <v>0</v>
      </c>
      <c r="H17" s="680">
        <f>D17-E17</f>
        <v>0</v>
      </c>
      <c r="I17" s="681">
        <f>IF(E17&lt;&gt;0,(D17-E17)/E17)*100</f>
        <v>0</v>
      </c>
    </row>
    <row r="18" spans="1:9" ht="17.149999999999999" customHeight="1" x14ac:dyDescent="0.3">
      <c r="A18" s="678" t="s">
        <v>121</v>
      </c>
      <c r="B18" s="750">
        <v>0</v>
      </c>
      <c r="C18" s="684">
        <v>0</v>
      </c>
      <c r="D18" s="679">
        <v>0</v>
      </c>
      <c r="E18" s="682">
        <v>0</v>
      </c>
      <c r="F18" s="680">
        <f t="shared" si="0"/>
        <v>0</v>
      </c>
      <c r="G18" s="681">
        <f>IF(C18&lt;&gt;0,(B18-C18)/C18)*100</f>
        <v>0</v>
      </c>
      <c r="H18" s="680">
        <f>D18-E18</f>
        <v>0</v>
      </c>
      <c r="I18" s="681">
        <f>IF(E18&lt;&gt;0,(D18-E18)/E18)*100</f>
        <v>0</v>
      </c>
    </row>
    <row r="19" spans="1:9" ht="17.149999999999999" customHeight="1" thickBot="1" x14ac:dyDescent="0.35">
      <c r="A19" s="619" t="s">
        <v>122</v>
      </c>
      <c r="B19" s="620">
        <v>0</v>
      </c>
      <c r="C19" s="621">
        <v>0</v>
      </c>
      <c r="D19" s="620">
        <v>0</v>
      </c>
      <c r="E19" s="621">
        <v>0</v>
      </c>
      <c r="F19" s="680">
        <f t="shared" si="0"/>
        <v>0</v>
      </c>
      <c r="G19" s="622">
        <f>IF(C19&lt;&gt;0,(B19-C19)/C19)*100</f>
        <v>0</v>
      </c>
      <c r="H19" s="680">
        <f>D19-E19</f>
        <v>0</v>
      </c>
      <c r="I19" s="622">
        <f>IF(E19&lt;&gt;0,(D19-E19)/E19)*100</f>
        <v>0</v>
      </c>
    </row>
    <row r="20" spans="1:9" ht="17.149999999999999" customHeight="1" thickBot="1" x14ac:dyDescent="0.35">
      <c r="A20" s="80" t="s">
        <v>123</v>
      </c>
      <c r="B20" s="81">
        <f>B11+B18+B19</f>
        <v>33745</v>
      </c>
      <c r="C20" s="82">
        <f>C11+C18+C19</f>
        <v>31410</v>
      </c>
      <c r="D20" s="81">
        <f>D11+D18+D19</f>
        <v>131</v>
      </c>
      <c r="E20" s="82">
        <f>E11+E18+E19</f>
        <v>177</v>
      </c>
      <c r="F20" s="81">
        <f>F11+F18+F19</f>
        <v>2335</v>
      </c>
      <c r="G20" s="83">
        <f>IF(C20&lt;&gt;0,(B20-C20)/C20)*100</f>
        <v>7.4339382362305004</v>
      </c>
      <c r="H20" s="81">
        <f>H11+H18+H19</f>
        <v>-46</v>
      </c>
      <c r="I20" s="83">
        <f>IF(E20&lt;&gt;0,(D20-E20)/E20)*100</f>
        <v>-25.988700564971751</v>
      </c>
    </row>
    <row r="21" spans="1:9" ht="17.149999999999999" customHeight="1" thickBot="1" x14ac:dyDescent="0.35">
      <c r="A21" s="84" t="s">
        <v>109</v>
      </c>
      <c r="B21" s="85"/>
      <c r="C21" s="85"/>
      <c r="D21" s="85"/>
      <c r="E21" s="85"/>
      <c r="F21" s="86"/>
      <c r="G21" s="86"/>
      <c r="H21" s="86"/>
      <c r="I21" s="87"/>
    </row>
    <row r="22" spans="1:9" ht="17.149999999999999" customHeight="1" x14ac:dyDescent="0.3">
      <c r="A22" s="751" t="s">
        <v>124</v>
      </c>
      <c r="B22" s="740"/>
      <c r="C22" s="741"/>
      <c r="D22" s="740"/>
      <c r="E22" s="741"/>
      <c r="F22" s="742"/>
      <c r="G22" s="743"/>
      <c r="H22" s="743"/>
      <c r="I22" s="744"/>
    </row>
    <row r="23" spans="1:9" ht="17.149999999999999" customHeight="1" x14ac:dyDescent="0.3">
      <c r="A23" s="678" t="s">
        <v>125</v>
      </c>
      <c r="B23" s="657">
        <f>SUM(B24:B27)</f>
        <v>820</v>
      </c>
      <c r="C23" s="624">
        <f>SUM(C24:C27)</f>
        <v>0</v>
      </c>
      <c r="D23" s="657">
        <f>SUM(D24:D27)</f>
        <v>4</v>
      </c>
      <c r="E23" s="624">
        <f>SUM(E24:E27)</f>
        <v>0</v>
      </c>
      <c r="F23" s="657">
        <f t="shared" ref="F23:F28" si="1">B23-C23</f>
        <v>820</v>
      </c>
      <c r="G23" s="625">
        <f t="shared" ref="G23:G28" si="2">IF(C23&lt;&gt;0,(B23-C23)/C23)*100</f>
        <v>0</v>
      </c>
      <c r="H23" s="657">
        <f t="shared" ref="H23:H28" si="3">D23-E23</f>
        <v>4</v>
      </c>
      <c r="I23" s="625">
        <f t="shared" ref="I23:I28" si="4">IF(E23&lt;&gt;0,(D23-E23)/E23)*100</f>
        <v>0</v>
      </c>
    </row>
    <row r="24" spans="1:9" ht="17.149999999999999" customHeight="1" x14ac:dyDescent="0.3">
      <c r="A24" s="678" t="s">
        <v>126</v>
      </c>
      <c r="B24" s="679">
        <v>0</v>
      </c>
      <c r="C24" s="679">
        <v>0</v>
      </c>
      <c r="D24" s="679">
        <v>0</v>
      </c>
      <c r="E24" s="679">
        <v>0</v>
      </c>
      <c r="F24" s="680">
        <f t="shared" si="1"/>
        <v>0</v>
      </c>
      <c r="G24" s="681">
        <f t="shared" si="2"/>
        <v>0</v>
      </c>
      <c r="H24" s="680">
        <f t="shared" si="3"/>
        <v>0</v>
      </c>
      <c r="I24" s="681">
        <f t="shared" si="4"/>
        <v>0</v>
      </c>
    </row>
    <row r="25" spans="1:9" ht="17.149999999999999" customHeight="1" x14ac:dyDescent="0.3">
      <c r="A25" s="678" t="s">
        <v>127</v>
      </c>
      <c r="B25" s="679">
        <v>0</v>
      </c>
      <c r="C25" s="679">
        <v>0</v>
      </c>
      <c r="D25" s="679">
        <v>0</v>
      </c>
      <c r="E25" s="679">
        <v>0</v>
      </c>
      <c r="F25" s="680">
        <f t="shared" si="1"/>
        <v>0</v>
      </c>
      <c r="G25" s="681">
        <f t="shared" si="2"/>
        <v>0</v>
      </c>
      <c r="H25" s="680">
        <f t="shared" si="3"/>
        <v>0</v>
      </c>
      <c r="I25" s="681">
        <f t="shared" si="4"/>
        <v>0</v>
      </c>
    </row>
    <row r="26" spans="1:9" ht="17.149999999999999" customHeight="1" x14ac:dyDescent="0.3">
      <c r="A26" s="626" t="s">
        <v>128</v>
      </c>
      <c r="B26" s="679">
        <v>0</v>
      </c>
      <c r="C26" s="679">
        <v>0</v>
      </c>
      <c r="D26" s="679">
        <v>0</v>
      </c>
      <c r="E26" s="679">
        <v>0</v>
      </c>
      <c r="F26" s="680">
        <f t="shared" si="1"/>
        <v>0</v>
      </c>
      <c r="G26" s="681">
        <f t="shared" si="2"/>
        <v>0</v>
      </c>
      <c r="H26" s="680">
        <f t="shared" si="3"/>
        <v>0</v>
      </c>
      <c r="I26" s="681">
        <f t="shared" si="4"/>
        <v>0</v>
      </c>
    </row>
    <row r="27" spans="1:9" ht="17.149999999999999" customHeight="1" x14ac:dyDescent="0.3">
      <c r="A27" s="678" t="s">
        <v>129</v>
      </c>
      <c r="B27" s="679">
        <f>820000/1000</f>
        <v>820</v>
      </c>
      <c r="C27" s="679">
        <v>0</v>
      </c>
      <c r="D27" s="679">
        <v>4</v>
      </c>
      <c r="E27" s="679">
        <v>0</v>
      </c>
      <c r="F27" s="680">
        <f t="shared" si="1"/>
        <v>820</v>
      </c>
      <c r="G27" s="681">
        <f t="shared" si="2"/>
        <v>0</v>
      </c>
      <c r="H27" s="680">
        <f t="shared" si="3"/>
        <v>4</v>
      </c>
      <c r="I27" s="681">
        <f t="shared" si="4"/>
        <v>0</v>
      </c>
    </row>
    <row r="28" spans="1:9" ht="17.149999999999999" customHeight="1" x14ac:dyDescent="0.3">
      <c r="A28" s="678" t="s">
        <v>130</v>
      </c>
      <c r="B28" s="679">
        <v>0</v>
      </c>
      <c r="C28" s="679">
        <v>0</v>
      </c>
      <c r="D28" s="679">
        <v>0</v>
      </c>
      <c r="E28" s="679">
        <v>0</v>
      </c>
      <c r="F28" s="680">
        <f t="shared" si="1"/>
        <v>0</v>
      </c>
      <c r="G28" s="681">
        <f t="shared" si="2"/>
        <v>0</v>
      </c>
      <c r="H28" s="680">
        <f t="shared" si="3"/>
        <v>0</v>
      </c>
      <c r="I28" s="681">
        <f t="shared" si="4"/>
        <v>0</v>
      </c>
    </row>
    <row r="29" spans="1:9" ht="17.149999999999999" customHeight="1" x14ac:dyDescent="0.3">
      <c r="A29" s="678"/>
      <c r="B29" s="627"/>
      <c r="C29" s="628"/>
      <c r="D29" s="627"/>
      <c r="E29" s="628"/>
      <c r="F29" s="657"/>
      <c r="G29" s="625"/>
      <c r="H29" s="624"/>
      <c r="I29" s="629"/>
    </row>
    <row r="30" spans="1:9" ht="17.149999999999999" customHeight="1" x14ac:dyDescent="0.3">
      <c r="A30" s="678"/>
      <c r="B30" s="627"/>
      <c r="C30" s="628"/>
      <c r="D30" s="627"/>
      <c r="E30" s="628"/>
      <c r="F30" s="657"/>
      <c r="G30" s="625"/>
      <c r="H30" s="624"/>
      <c r="I30" s="629"/>
    </row>
    <row r="31" spans="1:9" ht="17.149999999999999" customHeight="1" thickBot="1" x14ac:dyDescent="0.35">
      <c r="A31" s="88" t="s">
        <v>109</v>
      </c>
      <c r="B31" s="630"/>
      <c r="C31" s="631"/>
      <c r="D31" s="630"/>
      <c r="E31" s="631"/>
      <c r="F31" s="632"/>
      <c r="G31" s="633"/>
      <c r="H31" s="634"/>
      <c r="I31" s="635"/>
    </row>
    <row r="32" spans="1:9" ht="17.149999999999999" customHeight="1" thickBot="1" x14ac:dyDescent="0.35">
      <c r="A32" s="89" t="s">
        <v>131</v>
      </c>
      <c r="B32" s="90">
        <f>B23+B28</f>
        <v>820</v>
      </c>
      <c r="C32" s="91">
        <f>C23+C28</f>
        <v>0</v>
      </c>
      <c r="D32" s="90">
        <f>D23+D28</f>
        <v>4</v>
      </c>
      <c r="E32" s="91">
        <f>E23+E28</f>
        <v>0</v>
      </c>
      <c r="F32" s="91">
        <f>B32-C32</f>
        <v>820</v>
      </c>
      <c r="G32" s="92">
        <f>IF(C32&lt;&gt;0,(B32-C32)/C32)*100</f>
        <v>0</v>
      </c>
      <c r="H32" s="91">
        <f>D32-E32</f>
        <v>4</v>
      </c>
      <c r="I32" s="92">
        <f>IF(E32&lt;&gt;0,(D32-E32)/E32)*100</f>
        <v>0</v>
      </c>
    </row>
    <row r="33" spans="1:9" ht="17.149999999999999" customHeight="1" thickBot="1" x14ac:dyDescent="0.35">
      <c r="A33" s="93" t="s">
        <v>132</v>
      </c>
      <c r="B33" s="90">
        <f>B20+B32</f>
        <v>34565</v>
      </c>
      <c r="C33" s="91">
        <f>C20+C32</f>
        <v>31410</v>
      </c>
      <c r="D33" s="90">
        <f>D20+D32</f>
        <v>135</v>
      </c>
      <c r="E33" s="91">
        <f>E20+E32</f>
        <v>177</v>
      </c>
      <c r="F33" s="91">
        <f>B33-C33</f>
        <v>3155</v>
      </c>
      <c r="G33" s="92">
        <f>IF(C33&lt;&gt;0,(B33-C33)/C33)*100</f>
        <v>10.044571792422795</v>
      </c>
      <c r="H33" s="91">
        <f>D33-E33</f>
        <v>-42</v>
      </c>
      <c r="I33" s="92">
        <f>IF(E33&lt;&gt;0,(D33-E33)/E33)*100</f>
        <v>-23.728813559322035</v>
      </c>
    </row>
    <row r="34" spans="1:9" ht="17.149999999999999" customHeight="1" x14ac:dyDescent="0.3">
      <c r="A34" s="94"/>
      <c r="B34" s="94"/>
      <c r="C34" s="94"/>
      <c r="D34" s="94"/>
      <c r="E34" s="94"/>
      <c r="F34" s="95"/>
      <c r="G34" s="95"/>
      <c r="H34" s="95"/>
      <c r="I34" s="95"/>
    </row>
    <row r="35" spans="1:9" ht="17.149999999999999" customHeight="1" x14ac:dyDescent="0.3">
      <c r="A35" s="68"/>
      <c r="B35" s="96"/>
      <c r="C35" s="97"/>
      <c r="D35" s="97"/>
      <c r="E35" s="97"/>
      <c r="F35" s="538"/>
      <c r="G35" s="538"/>
      <c r="H35" s="538"/>
      <c r="I35" s="538"/>
    </row>
    <row r="36" spans="1:9" ht="17.149999999999999" customHeight="1" thickBot="1" x14ac:dyDescent="0.35">
      <c r="A36" s="404" t="s">
        <v>133</v>
      </c>
      <c r="B36" s="813"/>
      <c r="C36" s="813"/>
      <c r="D36" s="99"/>
      <c r="E36" s="99"/>
      <c r="F36" s="538"/>
      <c r="G36" s="538"/>
      <c r="H36" s="538"/>
      <c r="I36" s="538"/>
    </row>
    <row r="37" spans="1:9" ht="17.149999999999999" customHeight="1" thickBot="1" x14ac:dyDescent="0.35">
      <c r="A37" s="822" t="s">
        <v>134</v>
      </c>
      <c r="B37" s="818" t="s">
        <v>105</v>
      </c>
      <c r="C37" s="819"/>
      <c r="D37" s="818" t="s">
        <v>106</v>
      </c>
      <c r="E37" s="819"/>
      <c r="F37" s="804" t="s">
        <v>107</v>
      </c>
      <c r="G37" s="805"/>
      <c r="H37" s="805"/>
      <c r="I37" s="806"/>
    </row>
    <row r="38" spans="1:9" ht="17.149999999999999" customHeight="1" thickBot="1" x14ac:dyDescent="0.35">
      <c r="A38" s="823"/>
      <c r="B38" s="324" t="s">
        <v>147</v>
      </c>
      <c r="C38" s="324" t="s">
        <v>148</v>
      </c>
      <c r="D38" s="324" t="s">
        <v>147</v>
      </c>
      <c r="E38" s="324" t="s">
        <v>148</v>
      </c>
      <c r="F38" s="804" t="s">
        <v>105</v>
      </c>
      <c r="G38" s="806"/>
      <c r="H38" s="804" t="s">
        <v>106</v>
      </c>
      <c r="I38" s="806"/>
    </row>
    <row r="39" spans="1:9" ht="17.149999999999999" customHeight="1" x14ac:dyDescent="0.3">
      <c r="A39" s="100"/>
      <c r="B39" s="826"/>
      <c r="C39" s="827"/>
      <c r="D39" s="827"/>
      <c r="E39" s="828"/>
      <c r="F39" s="814" t="s">
        <v>110</v>
      </c>
      <c r="G39" s="816" t="s">
        <v>111</v>
      </c>
      <c r="H39" s="816" t="s">
        <v>112</v>
      </c>
      <c r="I39" s="816" t="s">
        <v>111</v>
      </c>
    </row>
    <row r="40" spans="1:9" ht="17.149999999999999" customHeight="1" thickBot="1" x14ac:dyDescent="0.35">
      <c r="A40" s="101" t="s">
        <v>113</v>
      </c>
      <c r="B40" s="829"/>
      <c r="C40" s="830"/>
      <c r="D40" s="830"/>
      <c r="E40" s="831"/>
      <c r="F40" s="815"/>
      <c r="G40" s="817"/>
      <c r="H40" s="817"/>
      <c r="I40" s="817"/>
    </row>
    <row r="41" spans="1:9" ht="17.149999999999999" customHeight="1" thickBot="1" x14ac:dyDescent="0.35">
      <c r="A41" s="539" t="s">
        <v>135</v>
      </c>
      <c r="B41" s="103">
        <f>B42+B43+B45</f>
        <v>177924.17199999999</v>
      </c>
      <c r="C41" s="104">
        <f>C42+C43+C45</f>
        <v>129116.303</v>
      </c>
      <c r="D41" s="104">
        <f>D42+D43+D45</f>
        <v>6459</v>
      </c>
      <c r="E41" s="104">
        <f>E42+E43+E45</f>
        <v>6271</v>
      </c>
      <c r="F41" s="104">
        <f t="shared" ref="F41:F48" si="5">B41-C41</f>
        <v>48807.868999999992</v>
      </c>
      <c r="G41" s="105">
        <f t="shared" ref="G41:G48" si="6">IF(C41&lt;&gt;0,(B41-C41)/C41)*100</f>
        <v>37.801476549402125</v>
      </c>
      <c r="H41" s="104">
        <f t="shared" ref="H41:H48" si="7">D41-E41</f>
        <v>188</v>
      </c>
      <c r="I41" s="105">
        <f t="shared" ref="I41:I48" si="8">IF(E41&lt;&gt;0,(D41-E41)/E41)*100</f>
        <v>2.9979269653962684</v>
      </c>
    </row>
    <row r="42" spans="1:9" ht="17.149999999999999" customHeight="1" x14ac:dyDescent="0.3">
      <c r="A42" s="539" t="s">
        <v>136</v>
      </c>
      <c r="B42" s="749">
        <f>177924172/1000</f>
        <v>177924.17199999999</v>
      </c>
      <c r="C42" s="749">
        <f>129116303/1000</f>
        <v>129116.303</v>
      </c>
      <c r="D42" s="752">
        <v>6459</v>
      </c>
      <c r="E42" s="752">
        <v>6271</v>
      </c>
      <c r="F42" s="680">
        <f t="shared" si="5"/>
        <v>48807.868999999992</v>
      </c>
      <c r="G42" s="681">
        <f t="shared" si="6"/>
        <v>37.801476549402125</v>
      </c>
      <c r="H42" s="680">
        <f t="shared" si="7"/>
        <v>188</v>
      </c>
      <c r="I42" s="681">
        <f t="shared" si="8"/>
        <v>2.9979269653962684</v>
      </c>
    </row>
    <row r="43" spans="1:9" ht="17.149999999999999" customHeight="1" x14ac:dyDescent="0.3">
      <c r="A43" s="539" t="s">
        <v>116</v>
      </c>
      <c r="B43" s="749">
        <v>0</v>
      </c>
      <c r="C43" s="749">
        <v>0</v>
      </c>
      <c r="D43" s="752">
        <v>0</v>
      </c>
      <c r="E43" s="752">
        <v>0</v>
      </c>
      <c r="F43" s="680">
        <f t="shared" si="5"/>
        <v>0</v>
      </c>
      <c r="G43" s="681">
        <f t="shared" si="6"/>
        <v>0</v>
      </c>
      <c r="H43" s="680">
        <f t="shared" si="7"/>
        <v>0</v>
      </c>
      <c r="I43" s="681">
        <f t="shared" si="8"/>
        <v>0</v>
      </c>
    </row>
    <row r="44" spans="1:9" ht="17.149999999999999" customHeight="1" x14ac:dyDescent="0.3">
      <c r="A44" s="539" t="s">
        <v>137</v>
      </c>
      <c r="B44" s="749">
        <v>0</v>
      </c>
      <c r="C44" s="749">
        <v>0</v>
      </c>
      <c r="D44" s="752">
        <v>0</v>
      </c>
      <c r="E44" s="752">
        <v>0</v>
      </c>
      <c r="F44" s="680">
        <f t="shared" si="5"/>
        <v>0</v>
      </c>
      <c r="G44" s="681">
        <f t="shared" si="6"/>
        <v>0</v>
      </c>
      <c r="H44" s="680">
        <f t="shared" si="7"/>
        <v>0</v>
      </c>
      <c r="I44" s="681">
        <f t="shared" si="8"/>
        <v>0</v>
      </c>
    </row>
    <row r="45" spans="1:9" ht="17.149999999999999" customHeight="1" x14ac:dyDescent="0.3">
      <c r="A45" s="539" t="s">
        <v>143</v>
      </c>
      <c r="B45" s="749">
        <v>0</v>
      </c>
      <c r="C45" s="749">
        <v>0</v>
      </c>
      <c r="D45" s="752">
        <v>0</v>
      </c>
      <c r="E45" s="752">
        <v>0</v>
      </c>
      <c r="F45" s="680">
        <f t="shared" si="5"/>
        <v>0</v>
      </c>
      <c r="G45" s="681">
        <f t="shared" si="6"/>
        <v>0</v>
      </c>
      <c r="H45" s="680">
        <f t="shared" si="7"/>
        <v>0</v>
      </c>
      <c r="I45" s="681">
        <f t="shared" si="8"/>
        <v>0</v>
      </c>
    </row>
    <row r="46" spans="1:9" ht="17.149999999999999" customHeight="1" x14ac:dyDescent="0.3">
      <c r="A46" s="539" t="s">
        <v>139</v>
      </c>
      <c r="B46" s="749">
        <v>0</v>
      </c>
      <c r="C46" s="749">
        <v>0</v>
      </c>
      <c r="D46" s="752">
        <v>0</v>
      </c>
      <c r="E46" s="752">
        <v>0</v>
      </c>
      <c r="F46" s="680">
        <f t="shared" si="5"/>
        <v>0</v>
      </c>
      <c r="G46" s="681">
        <f t="shared" si="6"/>
        <v>0</v>
      </c>
      <c r="H46" s="680">
        <f t="shared" si="7"/>
        <v>0</v>
      </c>
      <c r="I46" s="681">
        <f t="shared" si="8"/>
        <v>0</v>
      </c>
    </row>
    <row r="47" spans="1:9" ht="17.149999999999999" customHeight="1" thickBot="1" x14ac:dyDescent="0.35">
      <c r="A47" s="539" t="s">
        <v>140</v>
      </c>
      <c r="B47" s="749">
        <v>0</v>
      </c>
      <c r="C47" s="749">
        <v>0</v>
      </c>
      <c r="D47" s="752">
        <v>0</v>
      </c>
      <c r="E47" s="752">
        <v>0</v>
      </c>
      <c r="F47" s="680">
        <f t="shared" si="5"/>
        <v>0</v>
      </c>
      <c r="G47" s="681">
        <f t="shared" si="6"/>
        <v>0</v>
      </c>
      <c r="H47" s="680">
        <f t="shared" si="7"/>
        <v>0</v>
      </c>
      <c r="I47" s="681">
        <f t="shared" si="8"/>
        <v>0</v>
      </c>
    </row>
    <row r="48" spans="1:9" ht="17.149999999999999" customHeight="1" thickBot="1" x14ac:dyDescent="0.35">
      <c r="A48" s="106" t="s">
        <v>123</v>
      </c>
      <c r="B48" s="91">
        <f>B41+B46+B47</f>
        <v>177924.17199999999</v>
      </c>
      <c r="C48" s="91">
        <f>C41+C46+C47</f>
        <v>129116.303</v>
      </c>
      <c r="D48" s="91">
        <f>D41+D46+D47</f>
        <v>6459</v>
      </c>
      <c r="E48" s="91">
        <f>E41+E46+E47</f>
        <v>6271</v>
      </c>
      <c r="F48" s="91">
        <f t="shared" si="5"/>
        <v>48807.868999999992</v>
      </c>
      <c r="G48" s="92">
        <f t="shared" si="6"/>
        <v>37.801476549402125</v>
      </c>
      <c r="H48" s="91">
        <f t="shared" si="7"/>
        <v>188</v>
      </c>
      <c r="I48" s="92">
        <f t="shared" si="8"/>
        <v>2.9979269653962684</v>
      </c>
    </row>
    <row r="49" spans="1:9" ht="17.149999999999999" customHeight="1" thickBot="1" x14ac:dyDescent="0.35">
      <c r="A49" s="101" t="s">
        <v>124</v>
      </c>
      <c r="B49" s="114"/>
      <c r="C49" s="115"/>
      <c r="D49" s="115"/>
      <c r="E49" s="115"/>
      <c r="F49" s="116"/>
      <c r="G49" s="117"/>
      <c r="H49" s="116"/>
      <c r="I49" s="124"/>
    </row>
    <row r="50" spans="1:9" ht="17.149999999999999" customHeight="1" thickBot="1" x14ac:dyDescent="0.35">
      <c r="A50" s="539" t="s">
        <v>125</v>
      </c>
      <c r="B50" s="103">
        <f>SUM(B51:B54)</f>
        <v>4946.0770000000002</v>
      </c>
      <c r="C50" s="104">
        <f>SUM(C51:C54)</f>
        <v>4229.9610000000002</v>
      </c>
      <c r="D50" s="104">
        <f>SUM(D51:D54)</f>
        <v>86</v>
      </c>
      <c r="E50" s="104">
        <f>SUM(E51:E54)</f>
        <v>80</v>
      </c>
      <c r="F50" s="104">
        <f t="shared" ref="F50:F55" si="9">B50-C50</f>
        <v>716.11599999999999</v>
      </c>
      <c r="G50" s="105">
        <f t="shared" ref="G50:G55" si="10">IF(C50&lt;&gt;0,(B50-C50)/C50)*100</f>
        <v>16.929612353399946</v>
      </c>
      <c r="H50" s="104">
        <f t="shared" ref="H50:H55" si="11">D50-E50</f>
        <v>6</v>
      </c>
      <c r="I50" s="105">
        <f t="shared" ref="I50:I55" si="12">IF(E50&lt;&gt;0,(D50-E50)/E50)*100</f>
        <v>7.5</v>
      </c>
    </row>
    <row r="51" spans="1:9" ht="17.149999999999999" customHeight="1" x14ac:dyDescent="0.3">
      <c r="A51" s="119" t="s">
        <v>126</v>
      </c>
      <c r="B51" s="749">
        <v>0</v>
      </c>
      <c r="C51" s="749">
        <v>0</v>
      </c>
      <c r="D51" s="749">
        <v>0</v>
      </c>
      <c r="E51" s="749">
        <v>0</v>
      </c>
      <c r="F51" s="680">
        <f t="shared" si="9"/>
        <v>0</v>
      </c>
      <c r="G51" s="681">
        <f t="shared" si="10"/>
        <v>0</v>
      </c>
      <c r="H51" s="680">
        <f t="shared" si="11"/>
        <v>0</v>
      </c>
      <c r="I51" s="681">
        <f t="shared" si="12"/>
        <v>0</v>
      </c>
    </row>
    <row r="52" spans="1:9" ht="17.149999999999999" customHeight="1" x14ac:dyDescent="0.3">
      <c r="A52" s="119" t="s">
        <v>127</v>
      </c>
      <c r="B52" s="749">
        <v>0</v>
      </c>
      <c r="C52" s="749">
        <v>0</v>
      </c>
      <c r="D52" s="749">
        <v>0</v>
      </c>
      <c r="E52" s="749">
        <v>0</v>
      </c>
      <c r="F52" s="680">
        <f t="shared" si="9"/>
        <v>0</v>
      </c>
      <c r="G52" s="681">
        <f t="shared" si="10"/>
        <v>0</v>
      </c>
      <c r="H52" s="680">
        <f t="shared" si="11"/>
        <v>0</v>
      </c>
      <c r="I52" s="681">
        <f t="shared" si="12"/>
        <v>0</v>
      </c>
    </row>
    <row r="53" spans="1:9" ht="17.149999999999999" customHeight="1" x14ac:dyDescent="0.3">
      <c r="A53" s="120" t="s">
        <v>141</v>
      </c>
      <c r="B53" s="749">
        <v>0</v>
      </c>
      <c r="C53" s="749">
        <v>0</v>
      </c>
      <c r="D53" s="749">
        <v>0</v>
      </c>
      <c r="E53" s="749">
        <v>0</v>
      </c>
      <c r="F53" s="680">
        <f t="shared" si="9"/>
        <v>0</v>
      </c>
      <c r="G53" s="681">
        <f t="shared" si="10"/>
        <v>0</v>
      </c>
      <c r="H53" s="680">
        <f t="shared" si="11"/>
        <v>0</v>
      </c>
      <c r="I53" s="681">
        <f t="shared" si="12"/>
        <v>0</v>
      </c>
    </row>
    <row r="54" spans="1:9" ht="17.149999999999999" customHeight="1" x14ac:dyDescent="0.3">
      <c r="A54" s="119" t="s">
        <v>129</v>
      </c>
      <c r="B54" s="749">
        <f>4946077/1000</f>
        <v>4946.0770000000002</v>
      </c>
      <c r="C54" s="749">
        <f>4229961/1000</f>
        <v>4229.9610000000002</v>
      </c>
      <c r="D54" s="749">
        <v>86</v>
      </c>
      <c r="E54" s="749">
        <v>80</v>
      </c>
      <c r="F54" s="680">
        <f t="shared" si="9"/>
        <v>716.11599999999999</v>
      </c>
      <c r="G54" s="681">
        <f t="shared" si="10"/>
        <v>16.929612353399946</v>
      </c>
      <c r="H54" s="680">
        <f t="shared" si="11"/>
        <v>6</v>
      </c>
      <c r="I54" s="681">
        <f t="shared" si="12"/>
        <v>7.5</v>
      </c>
    </row>
    <row r="55" spans="1:9" ht="17.149999999999999" customHeight="1" x14ac:dyDescent="0.3">
      <c r="A55" s="539" t="s">
        <v>130</v>
      </c>
      <c r="B55" s="749">
        <v>0</v>
      </c>
      <c r="C55" s="749">
        <v>0</v>
      </c>
      <c r="D55" s="749">
        <v>0</v>
      </c>
      <c r="E55" s="749">
        <v>0</v>
      </c>
      <c r="F55" s="680">
        <f t="shared" si="9"/>
        <v>0</v>
      </c>
      <c r="G55" s="681">
        <f t="shared" si="10"/>
        <v>0</v>
      </c>
      <c r="H55" s="680">
        <f t="shared" si="11"/>
        <v>0</v>
      </c>
      <c r="I55" s="681">
        <f t="shared" si="12"/>
        <v>0</v>
      </c>
    </row>
    <row r="56" spans="1:9" ht="17.149999999999999" customHeight="1" x14ac:dyDescent="0.3">
      <c r="A56" s="539"/>
      <c r="B56" s="684"/>
      <c r="C56" s="684"/>
      <c r="D56" s="684"/>
      <c r="E56" s="684"/>
      <c r="F56" s="753"/>
      <c r="G56" s="754"/>
      <c r="H56" s="753"/>
      <c r="I56" s="754"/>
    </row>
    <row r="57" spans="1:9" ht="17.149999999999999" customHeight="1" x14ac:dyDescent="0.3">
      <c r="A57" s="539"/>
      <c r="B57" s="684"/>
      <c r="C57" s="684"/>
      <c r="D57" s="684"/>
      <c r="E57" s="684"/>
      <c r="F57" s="753"/>
      <c r="G57" s="754"/>
      <c r="H57" s="753"/>
      <c r="I57" s="754"/>
    </row>
    <row r="58" spans="1:9" ht="17.149999999999999" customHeight="1" thickBot="1" x14ac:dyDescent="0.35">
      <c r="A58" s="539"/>
      <c r="B58" s="636"/>
      <c r="C58" s="636"/>
      <c r="D58" s="637"/>
      <c r="E58" s="637"/>
      <c r="F58" s="638"/>
      <c r="G58" s="639"/>
      <c r="H58" s="640"/>
      <c r="I58" s="641"/>
    </row>
    <row r="59" spans="1:9" ht="17.149999999999999" customHeight="1" thickBot="1" x14ac:dyDescent="0.35">
      <c r="A59" s="106" t="s">
        <v>131</v>
      </c>
      <c r="B59" s="103">
        <f>B50+B55</f>
        <v>4946.0770000000002</v>
      </c>
      <c r="C59" s="104">
        <f>C50+C55</f>
        <v>4229.9610000000002</v>
      </c>
      <c r="D59" s="104">
        <f>D50+D55</f>
        <v>86</v>
      </c>
      <c r="E59" s="104">
        <f>E50+E55</f>
        <v>80</v>
      </c>
      <c r="F59" s="657">
        <f>B59-C59</f>
        <v>716.11599999999999</v>
      </c>
      <c r="G59" s="625">
        <f>IF(C59&lt;&gt;0,(B59-C59)/C59)*100</f>
        <v>16.929612353399946</v>
      </c>
      <c r="H59" s="657">
        <f>D59-E59</f>
        <v>6</v>
      </c>
      <c r="I59" s="625">
        <f>IF(E59&lt;&gt;0,(D59-E59)/E59)*100</f>
        <v>7.5</v>
      </c>
    </row>
    <row r="60" spans="1:9" ht="17.149999999999999" customHeight="1" thickBot="1" x14ac:dyDescent="0.35">
      <c r="A60" s="539"/>
      <c r="B60" s="121"/>
      <c r="C60" s="122"/>
      <c r="D60" s="122"/>
      <c r="E60" s="122"/>
      <c r="F60" s="123"/>
      <c r="G60" s="124"/>
      <c r="H60" s="123"/>
      <c r="I60" s="125"/>
    </row>
    <row r="61" spans="1:9" ht="17.149999999999999" customHeight="1" thickBot="1" x14ac:dyDescent="0.35">
      <c r="A61" s="106" t="s">
        <v>132</v>
      </c>
      <c r="B61" s="103">
        <f>B48+B59</f>
        <v>182870.24899999998</v>
      </c>
      <c r="C61" s="104">
        <f>C48+C59</f>
        <v>133346.264</v>
      </c>
      <c r="D61" s="104">
        <f>D48+D59</f>
        <v>6545</v>
      </c>
      <c r="E61" s="104">
        <f>E48+E59</f>
        <v>6351</v>
      </c>
      <c r="F61" s="104">
        <f>B61-C61</f>
        <v>49523.984999999986</v>
      </c>
      <c r="G61" s="105">
        <f>IF(C61&lt;&gt;0,(B61-C61)/C61)*100</f>
        <v>37.139386972251422</v>
      </c>
      <c r="H61" s="104">
        <f>D61-E61</f>
        <v>194</v>
      </c>
      <c r="I61" s="105">
        <f>IF(E61&lt;&gt;0,(D61-E61)/E61)*100</f>
        <v>3.0546370650291292</v>
      </c>
    </row>
    <row r="62" spans="1:9" ht="17.149999999999999" customHeight="1" x14ac:dyDescent="0.3">
      <c r="A62" s="94"/>
      <c r="B62" s="94"/>
      <c r="C62" s="94"/>
      <c r="D62" s="94"/>
      <c r="E62" s="94"/>
      <c r="F62" s="95"/>
      <c r="G62" s="95"/>
      <c r="H62" s="95"/>
      <c r="I62" s="95"/>
    </row>
    <row r="63" spans="1:9" ht="17.149999999999999" customHeight="1" x14ac:dyDescent="0.3">
      <c r="A63" s="126"/>
      <c r="B63" s="127"/>
      <c r="C63" s="126"/>
      <c r="D63" s="126"/>
      <c r="E63" s="126"/>
      <c r="F63" s="538"/>
      <c r="G63" s="538"/>
      <c r="H63" s="538"/>
      <c r="I63" s="538"/>
    </row>
    <row r="64" spans="1:9" ht="17.149999999999999" customHeight="1" thickBot="1" x14ac:dyDescent="0.35">
      <c r="A64" s="404" t="s">
        <v>142</v>
      </c>
      <c r="B64" s="813"/>
      <c r="C64" s="813"/>
      <c r="D64" s="129"/>
      <c r="E64" s="129"/>
      <c r="F64" s="538"/>
      <c r="G64" s="538"/>
      <c r="H64" s="538"/>
      <c r="I64" s="538"/>
    </row>
    <row r="65" spans="1:9" ht="17.149999999999999" customHeight="1" thickBot="1" x14ac:dyDescent="0.35">
      <c r="A65" s="824" t="s">
        <v>134</v>
      </c>
      <c r="B65" s="820" t="s">
        <v>105</v>
      </c>
      <c r="C65" s="821"/>
      <c r="D65" s="820" t="s">
        <v>106</v>
      </c>
      <c r="E65" s="821"/>
      <c r="F65" s="804" t="s">
        <v>107</v>
      </c>
      <c r="G65" s="805"/>
      <c r="H65" s="805"/>
      <c r="I65" s="806"/>
    </row>
    <row r="66" spans="1:9" ht="17.149999999999999" customHeight="1" thickBot="1" x14ac:dyDescent="0.35">
      <c r="A66" s="825"/>
      <c r="B66" s="324" t="s">
        <v>147</v>
      </c>
      <c r="C66" s="324" t="s">
        <v>148</v>
      </c>
      <c r="D66" s="324" t="s">
        <v>147</v>
      </c>
      <c r="E66" s="324" t="s">
        <v>148</v>
      </c>
      <c r="F66" s="804" t="s">
        <v>105</v>
      </c>
      <c r="G66" s="806"/>
      <c r="H66" s="804" t="s">
        <v>106</v>
      </c>
      <c r="I66" s="806"/>
    </row>
    <row r="67" spans="1:9" ht="17.149999999999999" customHeight="1" x14ac:dyDescent="0.3">
      <c r="A67" s="130"/>
      <c r="B67" s="807"/>
      <c r="C67" s="808"/>
      <c r="D67" s="808"/>
      <c r="E67" s="809"/>
      <c r="F67" s="814" t="s">
        <v>110</v>
      </c>
      <c r="G67" s="816" t="s">
        <v>111</v>
      </c>
      <c r="H67" s="816" t="s">
        <v>112</v>
      </c>
      <c r="I67" s="816" t="s">
        <v>111</v>
      </c>
    </row>
    <row r="68" spans="1:9" ht="17.149999999999999" customHeight="1" thickBot="1" x14ac:dyDescent="0.35">
      <c r="A68" s="131" t="s">
        <v>113</v>
      </c>
      <c r="B68" s="810"/>
      <c r="C68" s="811"/>
      <c r="D68" s="811"/>
      <c r="E68" s="812"/>
      <c r="F68" s="815"/>
      <c r="G68" s="817"/>
      <c r="H68" s="817"/>
      <c r="I68" s="817"/>
    </row>
    <row r="69" spans="1:9" ht="17.149999999999999" customHeight="1" thickBot="1" x14ac:dyDescent="0.35">
      <c r="A69" s="540" t="s">
        <v>135</v>
      </c>
      <c r="B69" s="133">
        <f>B70+B71+B72</f>
        <v>250585.82799999998</v>
      </c>
      <c r="C69" s="91">
        <f>C70+C71+C72</f>
        <v>176328.00599999999</v>
      </c>
      <c r="D69" s="91">
        <f>D70+D71+D72</f>
        <v>7740</v>
      </c>
      <c r="E69" s="91">
        <f>E70+E71+E72</f>
        <v>7804</v>
      </c>
      <c r="F69" s="91">
        <f t="shared" ref="F69:F75" si="13">B69-C69</f>
        <v>74257.821999999986</v>
      </c>
      <c r="G69" s="92">
        <f t="shared" ref="G69:G75" si="14">IF(C69&lt;&gt;0,(B69-C69)/C69)*100</f>
        <v>42.113458709446292</v>
      </c>
      <c r="H69" s="91">
        <f t="shared" ref="H69:H75" si="15">D69-E69</f>
        <v>-64</v>
      </c>
      <c r="I69" s="92">
        <f t="shared" ref="I69:I75" si="16">IF(E69&lt;&gt;0,(D69-E69)/E69)*100</f>
        <v>-0.82009226037929261</v>
      </c>
    </row>
    <row r="70" spans="1:9" ht="17.149999999999999" customHeight="1" x14ac:dyDescent="0.3">
      <c r="A70" s="540" t="s">
        <v>136</v>
      </c>
      <c r="B70" s="749">
        <f t="shared" ref="B70:E71" si="17">B42+B98</f>
        <v>250585.82799999998</v>
      </c>
      <c r="C70" s="749">
        <f t="shared" si="17"/>
        <v>176328.00599999999</v>
      </c>
      <c r="D70" s="749">
        <f t="shared" si="17"/>
        <v>7740</v>
      </c>
      <c r="E70" s="749">
        <f t="shared" si="17"/>
        <v>7804</v>
      </c>
      <c r="F70" s="680">
        <f t="shared" si="13"/>
        <v>74257.821999999986</v>
      </c>
      <c r="G70" s="681">
        <f t="shared" si="14"/>
        <v>42.113458709446292</v>
      </c>
      <c r="H70" s="680">
        <f t="shared" si="15"/>
        <v>-64</v>
      </c>
      <c r="I70" s="681">
        <f t="shared" si="16"/>
        <v>-0.82009226037929261</v>
      </c>
    </row>
    <row r="71" spans="1:9" ht="17.149999999999999" customHeight="1" x14ac:dyDescent="0.3">
      <c r="A71" s="540" t="s">
        <v>116</v>
      </c>
      <c r="B71" s="749">
        <f t="shared" si="17"/>
        <v>0</v>
      </c>
      <c r="C71" s="749">
        <f t="shared" si="17"/>
        <v>0</v>
      </c>
      <c r="D71" s="749">
        <f t="shared" si="17"/>
        <v>0</v>
      </c>
      <c r="E71" s="749">
        <f t="shared" si="17"/>
        <v>0</v>
      </c>
      <c r="F71" s="680">
        <f t="shared" si="13"/>
        <v>0</v>
      </c>
      <c r="G71" s="681">
        <f t="shared" si="14"/>
        <v>0</v>
      </c>
      <c r="H71" s="680">
        <f t="shared" si="15"/>
        <v>0</v>
      </c>
      <c r="I71" s="681">
        <f t="shared" si="16"/>
        <v>0</v>
      </c>
    </row>
    <row r="72" spans="1:9" ht="17.149999999999999" customHeight="1" x14ac:dyDescent="0.3">
      <c r="A72" s="540" t="s">
        <v>143</v>
      </c>
      <c r="B72" s="749">
        <f>B45+B100</f>
        <v>0</v>
      </c>
      <c r="C72" s="749">
        <f t="shared" ref="C72:E74" si="18">C45+C100</f>
        <v>0</v>
      </c>
      <c r="D72" s="749">
        <f t="shared" si="18"/>
        <v>0</v>
      </c>
      <c r="E72" s="749">
        <f t="shared" si="18"/>
        <v>0</v>
      </c>
      <c r="F72" s="680">
        <f t="shared" si="13"/>
        <v>0</v>
      </c>
      <c r="G72" s="681">
        <f t="shared" si="14"/>
        <v>0</v>
      </c>
      <c r="H72" s="680">
        <f t="shared" si="15"/>
        <v>0</v>
      </c>
      <c r="I72" s="681">
        <f t="shared" si="16"/>
        <v>0</v>
      </c>
    </row>
    <row r="73" spans="1:9" ht="17.149999999999999" customHeight="1" x14ac:dyDescent="0.3">
      <c r="A73" s="540" t="s">
        <v>139</v>
      </c>
      <c r="B73" s="749">
        <f>B46+B101</f>
        <v>0</v>
      </c>
      <c r="C73" s="749">
        <f t="shared" si="18"/>
        <v>0</v>
      </c>
      <c r="D73" s="749">
        <f t="shared" si="18"/>
        <v>0</v>
      </c>
      <c r="E73" s="749">
        <f t="shared" si="18"/>
        <v>0</v>
      </c>
      <c r="F73" s="680">
        <f t="shared" si="13"/>
        <v>0</v>
      </c>
      <c r="G73" s="681">
        <f t="shared" si="14"/>
        <v>0</v>
      </c>
      <c r="H73" s="680">
        <f t="shared" si="15"/>
        <v>0</v>
      </c>
      <c r="I73" s="681">
        <f t="shared" si="16"/>
        <v>0</v>
      </c>
    </row>
    <row r="74" spans="1:9" ht="17.149999999999999" customHeight="1" thickBot="1" x14ac:dyDescent="0.35">
      <c r="A74" s="540" t="s">
        <v>140</v>
      </c>
      <c r="B74" s="749">
        <f>B47+B102</f>
        <v>0</v>
      </c>
      <c r="C74" s="749">
        <f t="shared" si="18"/>
        <v>0</v>
      </c>
      <c r="D74" s="749">
        <f t="shared" si="18"/>
        <v>0</v>
      </c>
      <c r="E74" s="749">
        <f t="shared" si="18"/>
        <v>0</v>
      </c>
      <c r="F74" s="680">
        <f t="shared" si="13"/>
        <v>0</v>
      </c>
      <c r="G74" s="681">
        <f t="shared" si="14"/>
        <v>0</v>
      </c>
      <c r="H74" s="680">
        <f t="shared" si="15"/>
        <v>0</v>
      </c>
      <c r="I74" s="681">
        <f t="shared" si="16"/>
        <v>0</v>
      </c>
    </row>
    <row r="75" spans="1:9" ht="17.149999999999999" customHeight="1" thickBot="1" x14ac:dyDescent="0.35">
      <c r="A75" s="134" t="s">
        <v>123</v>
      </c>
      <c r="B75" s="135">
        <f>B69+B73+B74</f>
        <v>250585.82799999998</v>
      </c>
      <c r="C75" s="90">
        <f>C69+C73+C74</f>
        <v>176328.00599999999</v>
      </c>
      <c r="D75" s="90">
        <f>D69+D73+D74</f>
        <v>7740</v>
      </c>
      <c r="E75" s="91">
        <f>E69+E73+E74</f>
        <v>7804</v>
      </c>
      <c r="F75" s="82">
        <f t="shared" si="13"/>
        <v>74257.821999999986</v>
      </c>
      <c r="G75" s="83">
        <f t="shared" si="14"/>
        <v>42.113458709446292</v>
      </c>
      <c r="H75" s="82">
        <f t="shared" si="15"/>
        <v>-64</v>
      </c>
      <c r="I75" s="83">
        <f t="shared" si="16"/>
        <v>-0.82009226037929261</v>
      </c>
    </row>
    <row r="76" spans="1:9" ht="17.149999999999999" customHeight="1" x14ac:dyDescent="0.3">
      <c r="A76" s="136"/>
      <c r="B76" s="107"/>
      <c r="C76" s="108"/>
      <c r="D76" s="108"/>
      <c r="E76" s="108"/>
      <c r="F76" s="110"/>
      <c r="G76" s="110"/>
      <c r="H76" s="110"/>
      <c r="I76" s="137"/>
    </row>
    <row r="77" spans="1:9" ht="17.149999999999999" customHeight="1" thickBot="1" x14ac:dyDescent="0.35">
      <c r="A77" s="131" t="s">
        <v>124</v>
      </c>
      <c r="B77" s="114"/>
      <c r="C77" s="115"/>
      <c r="D77" s="115"/>
      <c r="E77" s="115"/>
      <c r="F77" s="116"/>
      <c r="G77" s="116"/>
      <c r="H77" s="116"/>
      <c r="I77" s="138"/>
    </row>
    <row r="78" spans="1:9" ht="17.149999999999999" customHeight="1" thickBot="1" x14ac:dyDescent="0.35">
      <c r="A78" s="540" t="s">
        <v>125</v>
      </c>
      <c r="B78" s="133">
        <f>SUM(B79:B82)</f>
        <v>5936.4610000000002</v>
      </c>
      <c r="C78" s="91">
        <f>SUM(C79:C82)</f>
        <v>5926.4549999999999</v>
      </c>
      <c r="D78" s="91">
        <f>SUM(D79:D82)</f>
        <v>109</v>
      </c>
      <c r="E78" s="91">
        <f>SUM(E79:E82)</f>
        <v>101</v>
      </c>
      <c r="F78" s="91">
        <f t="shared" ref="F78:F83" si="19">B78-C78</f>
        <v>10.006000000000313</v>
      </c>
      <c r="G78" s="92">
        <f t="shared" ref="G78:G83" si="20">IF(C78&lt;&gt;0,(B78-C78)/C78)*100</f>
        <v>0.16883617609515827</v>
      </c>
      <c r="H78" s="91">
        <f t="shared" ref="H78:H83" si="21">D78-E78</f>
        <v>8</v>
      </c>
      <c r="I78" s="92">
        <f t="shared" ref="I78:I83" si="22">IF(E78&lt;&gt;0,(D78-E78)/E78)*100</f>
        <v>7.9207920792079207</v>
      </c>
    </row>
    <row r="79" spans="1:9" ht="17.149999999999999" customHeight="1" x14ac:dyDescent="0.3">
      <c r="A79" s="119" t="s">
        <v>126</v>
      </c>
      <c r="B79" s="749">
        <f t="shared" ref="B79:E83" si="23">B51+B107</f>
        <v>0</v>
      </c>
      <c r="C79" s="749">
        <f t="shared" si="23"/>
        <v>0</v>
      </c>
      <c r="D79" s="749">
        <f t="shared" si="23"/>
        <v>0</v>
      </c>
      <c r="E79" s="749">
        <f t="shared" si="23"/>
        <v>0</v>
      </c>
      <c r="F79" s="680">
        <f t="shared" si="19"/>
        <v>0</v>
      </c>
      <c r="G79" s="681">
        <f t="shared" si="20"/>
        <v>0</v>
      </c>
      <c r="H79" s="680">
        <f t="shared" si="21"/>
        <v>0</v>
      </c>
      <c r="I79" s="681">
        <f t="shared" si="22"/>
        <v>0</v>
      </c>
    </row>
    <row r="80" spans="1:9" ht="17.149999999999999" customHeight="1" x14ac:dyDescent="0.3">
      <c r="A80" s="119" t="s">
        <v>144</v>
      </c>
      <c r="B80" s="684">
        <f t="shared" si="23"/>
        <v>0</v>
      </c>
      <c r="C80" s="684">
        <f t="shared" si="23"/>
        <v>0</v>
      </c>
      <c r="D80" s="684">
        <f t="shared" si="23"/>
        <v>0</v>
      </c>
      <c r="E80" s="684">
        <f t="shared" si="23"/>
        <v>0</v>
      </c>
      <c r="F80" s="680">
        <f t="shared" si="19"/>
        <v>0</v>
      </c>
      <c r="G80" s="681">
        <f t="shared" si="20"/>
        <v>0</v>
      </c>
      <c r="H80" s="680">
        <f t="shared" si="21"/>
        <v>0</v>
      </c>
      <c r="I80" s="681">
        <f t="shared" si="22"/>
        <v>0</v>
      </c>
    </row>
    <row r="81" spans="1:9" ht="17.149999999999999" customHeight="1" x14ac:dyDescent="0.3">
      <c r="A81" s="120" t="s">
        <v>141</v>
      </c>
      <c r="B81" s="749">
        <f t="shared" si="23"/>
        <v>0</v>
      </c>
      <c r="C81" s="749">
        <f t="shared" si="23"/>
        <v>0</v>
      </c>
      <c r="D81" s="749">
        <f t="shared" si="23"/>
        <v>0</v>
      </c>
      <c r="E81" s="749">
        <f t="shared" si="23"/>
        <v>0</v>
      </c>
      <c r="F81" s="680">
        <f t="shared" si="19"/>
        <v>0</v>
      </c>
      <c r="G81" s="681">
        <f t="shared" si="20"/>
        <v>0</v>
      </c>
      <c r="H81" s="680">
        <f t="shared" si="21"/>
        <v>0</v>
      </c>
      <c r="I81" s="681">
        <f t="shared" si="22"/>
        <v>0</v>
      </c>
    </row>
    <row r="82" spans="1:9" ht="17.149999999999999" customHeight="1" x14ac:dyDescent="0.3">
      <c r="A82" s="119" t="s">
        <v>129</v>
      </c>
      <c r="B82" s="749">
        <f t="shared" si="23"/>
        <v>5936.4610000000002</v>
      </c>
      <c r="C82" s="749">
        <f t="shared" si="23"/>
        <v>5926.4549999999999</v>
      </c>
      <c r="D82" s="749">
        <f t="shared" si="23"/>
        <v>109</v>
      </c>
      <c r="E82" s="749">
        <f t="shared" si="23"/>
        <v>101</v>
      </c>
      <c r="F82" s="680">
        <f t="shared" si="19"/>
        <v>10.006000000000313</v>
      </c>
      <c r="G82" s="681">
        <f t="shared" si="20"/>
        <v>0.16883617609515827</v>
      </c>
      <c r="H82" s="680">
        <f t="shared" si="21"/>
        <v>8</v>
      </c>
      <c r="I82" s="681">
        <f t="shared" si="22"/>
        <v>7.9207920792079207</v>
      </c>
    </row>
    <row r="83" spans="1:9" ht="17.149999999999999" customHeight="1" x14ac:dyDescent="0.3">
      <c r="A83" s="540" t="s">
        <v>130</v>
      </c>
      <c r="B83" s="749">
        <f t="shared" si="23"/>
        <v>0</v>
      </c>
      <c r="C83" s="749">
        <f t="shared" si="23"/>
        <v>0</v>
      </c>
      <c r="D83" s="749">
        <f t="shared" si="23"/>
        <v>0</v>
      </c>
      <c r="E83" s="749">
        <f t="shared" si="23"/>
        <v>0</v>
      </c>
      <c r="F83" s="680">
        <f t="shared" si="19"/>
        <v>0</v>
      </c>
      <c r="G83" s="681">
        <f t="shared" si="20"/>
        <v>0</v>
      </c>
      <c r="H83" s="680">
        <f t="shared" si="21"/>
        <v>0</v>
      </c>
      <c r="I83" s="681">
        <f t="shared" si="22"/>
        <v>0</v>
      </c>
    </row>
    <row r="84" spans="1:9" ht="17.149999999999999" customHeight="1" x14ac:dyDescent="0.3">
      <c r="A84" s="540"/>
      <c r="B84" s="749"/>
      <c r="C84" s="749"/>
      <c r="D84" s="749"/>
      <c r="E84" s="749"/>
      <c r="F84" s="753"/>
      <c r="G84" s="754"/>
      <c r="H84" s="753"/>
      <c r="I84" s="754"/>
    </row>
    <row r="85" spans="1:9" ht="17.149999999999999" customHeight="1" x14ac:dyDescent="0.3">
      <c r="A85" s="540"/>
      <c r="B85" s="749"/>
      <c r="C85" s="749"/>
      <c r="D85" s="749"/>
      <c r="E85" s="749"/>
      <c r="F85" s="753"/>
      <c r="G85" s="754"/>
      <c r="H85" s="753"/>
      <c r="I85" s="754"/>
    </row>
    <row r="86" spans="1:9" ht="17.149999999999999" customHeight="1" thickBot="1" x14ac:dyDescent="0.35">
      <c r="A86" s="540"/>
      <c r="B86" s="642"/>
      <c r="C86" s="636"/>
      <c r="D86" s="637"/>
      <c r="E86" s="637"/>
      <c r="F86" s="638"/>
      <c r="G86" s="639"/>
      <c r="H86" s="640"/>
      <c r="I86" s="641"/>
    </row>
    <row r="87" spans="1:9" ht="17.149999999999999" customHeight="1" thickBot="1" x14ac:dyDescent="0.35">
      <c r="A87" s="134" t="s">
        <v>131</v>
      </c>
      <c r="B87" s="103">
        <f>B78+B83</f>
        <v>5936.4610000000002</v>
      </c>
      <c r="C87" s="104">
        <f>C78+C83</f>
        <v>5926.4549999999999</v>
      </c>
      <c r="D87" s="104">
        <f>D78+D83</f>
        <v>109</v>
      </c>
      <c r="E87" s="104">
        <f>E78+E83</f>
        <v>101</v>
      </c>
      <c r="F87" s="657">
        <f>B87-C87</f>
        <v>10.006000000000313</v>
      </c>
      <c r="G87" s="625">
        <f>IF(C87&lt;&gt;0,(B87-C87)/C87)*100</f>
        <v>0.16883617609515827</v>
      </c>
      <c r="H87" s="657">
        <f>D87-E87</f>
        <v>8</v>
      </c>
      <c r="I87" s="625">
        <f>IF(E87&lt;&gt;0,(D87-E87)/E87)*100</f>
        <v>7.9207920792079207</v>
      </c>
    </row>
    <row r="88" spans="1:9" ht="17.149999999999999" customHeight="1" thickBot="1" x14ac:dyDescent="0.35">
      <c r="A88" s="540"/>
      <c r="B88" s="121"/>
      <c r="C88" s="122"/>
      <c r="D88" s="122"/>
      <c r="E88" s="122"/>
      <c r="F88" s="123"/>
      <c r="G88" s="124"/>
      <c r="H88" s="123"/>
      <c r="I88" s="125"/>
    </row>
    <row r="89" spans="1:9" ht="17.149999999999999" customHeight="1" thickBot="1" x14ac:dyDescent="0.35">
      <c r="A89" s="134" t="s">
        <v>132</v>
      </c>
      <c r="B89" s="139">
        <f>B75+B87</f>
        <v>256522.28899999999</v>
      </c>
      <c r="C89" s="140">
        <f>C75+C87</f>
        <v>182254.46099999998</v>
      </c>
      <c r="D89" s="140">
        <f>D75+D87</f>
        <v>7849</v>
      </c>
      <c r="E89" s="140">
        <f>E75+E87</f>
        <v>7905</v>
      </c>
      <c r="F89" s="104">
        <f>B89-C89</f>
        <v>74267.828000000009</v>
      </c>
      <c r="G89" s="105">
        <f>IF(C89&lt;&gt;0,(B89-C89)/C89)*100</f>
        <v>40.749525467033706</v>
      </c>
      <c r="H89" s="104">
        <f>D89-E89</f>
        <v>-56</v>
      </c>
      <c r="I89" s="105">
        <f>IF(E89&lt;&gt;0,(D89-E89)/E89)*100</f>
        <v>-0.70841239721695126</v>
      </c>
    </row>
    <row r="90" spans="1:9" ht="17.149999999999999" customHeight="1" x14ac:dyDescent="0.3">
      <c r="A90" s="94"/>
      <c r="B90" s="94"/>
      <c r="C90" s="94"/>
      <c r="D90" s="94"/>
      <c r="E90" s="94"/>
      <c r="F90" s="541"/>
      <c r="G90" s="541"/>
      <c r="H90" s="541"/>
      <c r="I90" s="541"/>
    </row>
    <row r="91" spans="1:9" ht="17.149999999999999" customHeight="1" x14ac:dyDescent="0.3">
      <c r="A91" s="126"/>
      <c r="B91" s="97"/>
      <c r="C91" s="97"/>
      <c r="D91" s="97"/>
      <c r="E91" s="97"/>
      <c r="F91" s="541"/>
      <c r="G91" s="541"/>
      <c r="H91" s="541"/>
      <c r="I91" s="541"/>
    </row>
    <row r="92" spans="1:9" ht="17.149999999999999" customHeight="1" thickBot="1" x14ac:dyDescent="0.35">
      <c r="A92" s="404" t="s">
        <v>145</v>
      </c>
      <c r="B92" s="813"/>
      <c r="C92" s="813"/>
      <c r="D92" s="129"/>
      <c r="E92" s="129"/>
      <c r="F92" s="541"/>
      <c r="G92" s="541"/>
      <c r="H92" s="541"/>
      <c r="I92" s="541"/>
    </row>
    <row r="93" spans="1:9" ht="17.149999999999999" customHeight="1" thickBot="1" x14ac:dyDescent="0.35">
      <c r="A93" s="824" t="s">
        <v>134</v>
      </c>
      <c r="B93" s="820" t="s">
        <v>105</v>
      </c>
      <c r="C93" s="835"/>
      <c r="D93" s="820" t="s">
        <v>106</v>
      </c>
      <c r="E93" s="821"/>
      <c r="F93" s="804" t="s">
        <v>107</v>
      </c>
      <c r="G93" s="805"/>
      <c r="H93" s="805"/>
      <c r="I93" s="806"/>
    </row>
    <row r="94" spans="1:9" ht="17.149999999999999" customHeight="1" thickBot="1" x14ac:dyDescent="0.35">
      <c r="A94" s="825"/>
      <c r="B94" s="324" t="s">
        <v>147</v>
      </c>
      <c r="C94" s="324" t="s">
        <v>148</v>
      </c>
      <c r="D94" s="324" t="s">
        <v>147</v>
      </c>
      <c r="E94" s="324" t="s">
        <v>148</v>
      </c>
      <c r="F94" s="804" t="s">
        <v>105</v>
      </c>
      <c r="G94" s="806"/>
      <c r="H94" s="804" t="s">
        <v>106</v>
      </c>
      <c r="I94" s="806"/>
    </row>
    <row r="95" spans="1:9" ht="17.149999999999999" customHeight="1" x14ac:dyDescent="0.3">
      <c r="A95" s="130"/>
      <c r="B95" s="807"/>
      <c r="C95" s="808"/>
      <c r="D95" s="808"/>
      <c r="E95" s="809"/>
      <c r="F95" s="814" t="s">
        <v>110</v>
      </c>
      <c r="G95" s="816" t="s">
        <v>111</v>
      </c>
      <c r="H95" s="816" t="s">
        <v>112</v>
      </c>
      <c r="I95" s="816" t="s">
        <v>111</v>
      </c>
    </row>
    <row r="96" spans="1:9" ht="17.149999999999999" customHeight="1" thickBot="1" x14ac:dyDescent="0.35">
      <c r="A96" s="131" t="s">
        <v>113</v>
      </c>
      <c r="B96" s="810"/>
      <c r="C96" s="811"/>
      <c r="D96" s="811"/>
      <c r="E96" s="812"/>
      <c r="F96" s="815"/>
      <c r="G96" s="817"/>
      <c r="H96" s="817"/>
      <c r="I96" s="817"/>
    </row>
    <row r="97" spans="1:9" ht="17.149999999999999" customHeight="1" thickBot="1" x14ac:dyDescent="0.35">
      <c r="A97" s="540" t="s">
        <v>135</v>
      </c>
      <c r="B97" s="91">
        <f>B98+B99+B100</f>
        <v>72661.656000000003</v>
      </c>
      <c r="C97" s="91">
        <f>C98+C99+C100</f>
        <v>47211.703000000001</v>
      </c>
      <c r="D97" s="91">
        <f>D98+D99+D100</f>
        <v>1281</v>
      </c>
      <c r="E97" s="91">
        <f>E98+E99+E100</f>
        <v>1533</v>
      </c>
      <c r="F97" s="91">
        <f t="shared" ref="F97:F103" si="24">B97-C97</f>
        <v>25449.953000000001</v>
      </c>
      <c r="G97" s="92">
        <f t="shared" ref="G97:G103" si="25">IF(C97&lt;&gt;0,(B97-C97)/C97)*100</f>
        <v>53.90602622404873</v>
      </c>
      <c r="H97" s="91">
        <f t="shared" ref="H97:H103" si="26">D97-E97</f>
        <v>-252</v>
      </c>
      <c r="I97" s="92">
        <f t="shared" ref="I97:I103" si="27">IF(E97&lt;&gt;0,(D97-E97)/E97)*100</f>
        <v>-16.43835616438356</v>
      </c>
    </row>
    <row r="98" spans="1:9" ht="17.149999999999999" customHeight="1" x14ac:dyDescent="0.3">
      <c r="A98" s="540" t="s">
        <v>136</v>
      </c>
      <c r="B98" s="752">
        <f>72661656/1000</f>
        <v>72661.656000000003</v>
      </c>
      <c r="C98" s="752">
        <f>47211703/1000</f>
        <v>47211.703000000001</v>
      </c>
      <c r="D98" s="752">
        <v>1281</v>
      </c>
      <c r="E98" s="752">
        <v>1533</v>
      </c>
      <c r="F98" s="680">
        <f t="shared" si="24"/>
        <v>25449.953000000001</v>
      </c>
      <c r="G98" s="681">
        <f t="shared" si="25"/>
        <v>53.90602622404873</v>
      </c>
      <c r="H98" s="680">
        <f t="shared" si="26"/>
        <v>-252</v>
      </c>
      <c r="I98" s="681">
        <f t="shared" si="27"/>
        <v>-16.43835616438356</v>
      </c>
    </row>
    <row r="99" spans="1:9" ht="17.149999999999999" customHeight="1" x14ac:dyDescent="0.3">
      <c r="A99" s="540" t="s">
        <v>116</v>
      </c>
      <c r="B99" s="752">
        <v>0</v>
      </c>
      <c r="C99" s="752">
        <v>0</v>
      </c>
      <c r="D99" s="752">
        <v>0</v>
      </c>
      <c r="E99" s="752">
        <v>0</v>
      </c>
      <c r="F99" s="680">
        <f t="shared" si="24"/>
        <v>0</v>
      </c>
      <c r="G99" s="681">
        <f t="shared" si="25"/>
        <v>0</v>
      </c>
      <c r="H99" s="680">
        <f t="shared" si="26"/>
        <v>0</v>
      </c>
      <c r="I99" s="681">
        <f t="shared" si="27"/>
        <v>0</v>
      </c>
    </row>
    <row r="100" spans="1:9" ht="17.149999999999999" customHeight="1" x14ac:dyDescent="0.3">
      <c r="A100" s="540" t="s">
        <v>143</v>
      </c>
      <c r="B100" s="752">
        <v>0</v>
      </c>
      <c r="C100" s="752">
        <v>0</v>
      </c>
      <c r="D100" s="752">
        <v>0</v>
      </c>
      <c r="E100" s="752">
        <v>0</v>
      </c>
      <c r="F100" s="680">
        <f t="shared" si="24"/>
        <v>0</v>
      </c>
      <c r="G100" s="681">
        <f t="shared" si="25"/>
        <v>0</v>
      </c>
      <c r="H100" s="680">
        <f t="shared" si="26"/>
        <v>0</v>
      </c>
      <c r="I100" s="681">
        <f t="shared" si="27"/>
        <v>0</v>
      </c>
    </row>
    <row r="101" spans="1:9" ht="17.149999999999999" customHeight="1" x14ac:dyDescent="0.3">
      <c r="A101" s="540" t="s">
        <v>139</v>
      </c>
      <c r="B101" s="752">
        <v>0</v>
      </c>
      <c r="C101" s="752">
        <v>0</v>
      </c>
      <c r="D101" s="752">
        <v>0</v>
      </c>
      <c r="E101" s="752">
        <v>0</v>
      </c>
      <c r="F101" s="680">
        <f t="shared" si="24"/>
        <v>0</v>
      </c>
      <c r="G101" s="681">
        <f t="shared" si="25"/>
        <v>0</v>
      </c>
      <c r="H101" s="680">
        <f t="shared" si="26"/>
        <v>0</v>
      </c>
      <c r="I101" s="681">
        <f t="shared" si="27"/>
        <v>0</v>
      </c>
    </row>
    <row r="102" spans="1:9" ht="17.149999999999999" customHeight="1" thickBot="1" x14ac:dyDescent="0.35">
      <c r="A102" s="540" t="s">
        <v>140</v>
      </c>
      <c r="B102" s="752">
        <v>0</v>
      </c>
      <c r="C102" s="752">
        <v>0</v>
      </c>
      <c r="D102" s="752">
        <v>0</v>
      </c>
      <c r="E102" s="752">
        <v>0</v>
      </c>
      <c r="F102" s="680">
        <f t="shared" si="24"/>
        <v>0</v>
      </c>
      <c r="G102" s="681">
        <f t="shared" si="25"/>
        <v>0</v>
      </c>
      <c r="H102" s="680">
        <f t="shared" si="26"/>
        <v>0</v>
      </c>
      <c r="I102" s="681">
        <f t="shared" si="27"/>
        <v>0</v>
      </c>
    </row>
    <row r="103" spans="1:9" ht="17.149999999999999" customHeight="1" thickBot="1" x14ac:dyDescent="0.35">
      <c r="A103" s="134" t="s">
        <v>123</v>
      </c>
      <c r="B103" s="81">
        <f>B97+B101+B102</f>
        <v>72661.656000000003</v>
      </c>
      <c r="C103" s="81">
        <f>C97+C101+C102</f>
        <v>47211.703000000001</v>
      </c>
      <c r="D103" s="81">
        <f>D97+D101+D102</f>
        <v>1281</v>
      </c>
      <c r="E103" s="82">
        <f>E97+E101+E102</f>
        <v>1533</v>
      </c>
      <c r="F103" s="91">
        <f t="shared" si="24"/>
        <v>25449.953000000001</v>
      </c>
      <c r="G103" s="92">
        <f t="shared" si="25"/>
        <v>53.90602622404873</v>
      </c>
      <c r="H103" s="91">
        <f t="shared" si="26"/>
        <v>-252</v>
      </c>
      <c r="I103" s="92">
        <f t="shared" si="27"/>
        <v>-16.43835616438356</v>
      </c>
    </row>
    <row r="104" spans="1:9" ht="17.149999999999999" customHeight="1" x14ac:dyDescent="0.3">
      <c r="A104" s="142"/>
      <c r="B104" s="107"/>
      <c r="C104" s="108"/>
      <c r="D104" s="109"/>
      <c r="E104" s="108"/>
      <c r="F104" s="110"/>
      <c r="G104" s="111"/>
      <c r="H104" s="112"/>
      <c r="I104" s="113"/>
    </row>
    <row r="105" spans="1:9" ht="17.149999999999999" customHeight="1" thickBot="1" x14ac:dyDescent="0.35">
      <c r="A105" s="143" t="s">
        <v>124</v>
      </c>
      <c r="B105" s="114"/>
      <c r="C105" s="115"/>
      <c r="D105" s="115"/>
      <c r="E105" s="115"/>
      <c r="F105" s="116"/>
      <c r="G105" s="117"/>
      <c r="H105" s="116"/>
      <c r="I105" s="118"/>
    </row>
    <row r="106" spans="1:9" ht="17.149999999999999" customHeight="1" thickBot="1" x14ac:dyDescent="0.35">
      <c r="A106" s="540" t="s">
        <v>125</v>
      </c>
      <c r="B106" s="104">
        <f>SUM(B107:B110)</f>
        <v>990.38400000000001</v>
      </c>
      <c r="C106" s="104">
        <f>SUM(C107:C110)</f>
        <v>1696.4939999999999</v>
      </c>
      <c r="D106" s="104">
        <f>SUM(D107:D110)</f>
        <v>23</v>
      </c>
      <c r="E106" s="104">
        <f>SUM(E107:E110)</f>
        <v>21</v>
      </c>
      <c r="F106" s="91">
        <f t="shared" ref="F106:F111" si="28">B106-C106</f>
        <v>-706.1099999999999</v>
      </c>
      <c r="G106" s="92">
        <f t="shared" ref="G106:G111" si="29">IF(C106&lt;&gt;0,(B106-C106)/C106)*100</f>
        <v>-41.62172103172778</v>
      </c>
      <c r="H106" s="91">
        <f t="shared" ref="H106:H111" si="30">D106-E106</f>
        <v>2</v>
      </c>
      <c r="I106" s="92">
        <f t="shared" ref="I106:I111" si="31">IF(E106&lt;&gt;0,(D106-E106)/E106)*100</f>
        <v>9.5238095238095237</v>
      </c>
    </row>
    <row r="107" spans="1:9" ht="17.149999999999999" customHeight="1" x14ac:dyDescent="0.3">
      <c r="A107" s="119" t="s">
        <v>126</v>
      </c>
      <c r="B107" s="752">
        <v>0</v>
      </c>
      <c r="C107" s="752">
        <v>0</v>
      </c>
      <c r="D107" s="752">
        <v>0</v>
      </c>
      <c r="E107" s="752">
        <v>0</v>
      </c>
      <c r="F107" s="680">
        <f t="shared" si="28"/>
        <v>0</v>
      </c>
      <c r="G107" s="681">
        <f t="shared" si="29"/>
        <v>0</v>
      </c>
      <c r="H107" s="680">
        <f t="shared" si="30"/>
        <v>0</v>
      </c>
      <c r="I107" s="681">
        <f t="shared" si="31"/>
        <v>0</v>
      </c>
    </row>
    <row r="108" spans="1:9" ht="17.149999999999999" customHeight="1" x14ac:dyDescent="0.3">
      <c r="A108" s="119" t="s">
        <v>144</v>
      </c>
      <c r="B108" s="752">
        <v>0</v>
      </c>
      <c r="C108" s="752">
        <v>0</v>
      </c>
      <c r="D108" s="752">
        <v>0</v>
      </c>
      <c r="E108" s="752">
        <v>0</v>
      </c>
      <c r="F108" s="680">
        <f t="shared" si="28"/>
        <v>0</v>
      </c>
      <c r="G108" s="681">
        <f t="shared" si="29"/>
        <v>0</v>
      </c>
      <c r="H108" s="680">
        <f t="shared" si="30"/>
        <v>0</v>
      </c>
      <c r="I108" s="681">
        <f t="shared" si="31"/>
        <v>0</v>
      </c>
    </row>
    <row r="109" spans="1:9" ht="17.149999999999999" customHeight="1" x14ac:dyDescent="0.3">
      <c r="A109" s="120" t="s">
        <v>141</v>
      </c>
      <c r="B109" s="752">
        <v>0</v>
      </c>
      <c r="C109" s="752">
        <v>0</v>
      </c>
      <c r="D109" s="752">
        <v>0</v>
      </c>
      <c r="E109" s="752">
        <v>0</v>
      </c>
      <c r="F109" s="680">
        <f t="shared" si="28"/>
        <v>0</v>
      </c>
      <c r="G109" s="681">
        <f t="shared" si="29"/>
        <v>0</v>
      </c>
      <c r="H109" s="680">
        <f t="shared" si="30"/>
        <v>0</v>
      </c>
      <c r="I109" s="681">
        <f t="shared" si="31"/>
        <v>0</v>
      </c>
    </row>
    <row r="110" spans="1:9" ht="17.149999999999999" customHeight="1" x14ac:dyDescent="0.3">
      <c r="A110" s="119" t="s">
        <v>129</v>
      </c>
      <c r="B110" s="752">
        <f>990384/1000</f>
        <v>990.38400000000001</v>
      </c>
      <c r="C110" s="752">
        <f>1696494/1000</f>
        <v>1696.4939999999999</v>
      </c>
      <c r="D110" s="752">
        <v>23</v>
      </c>
      <c r="E110" s="752">
        <v>21</v>
      </c>
      <c r="F110" s="680">
        <f t="shared" si="28"/>
        <v>-706.1099999999999</v>
      </c>
      <c r="G110" s="681">
        <f t="shared" si="29"/>
        <v>-41.62172103172778</v>
      </c>
      <c r="H110" s="680">
        <f t="shared" si="30"/>
        <v>2</v>
      </c>
      <c r="I110" s="681">
        <f t="shared" si="31"/>
        <v>9.5238095238095237</v>
      </c>
    </row>
    <row r="111" spans="1:9" ht="17.149999999999999" customHeight="1" x14ac:dyDescent="0.3">
      <c r="A111" s="540" t="s">
        <v>130</v>
      </c>
      <c r="B111" s="752">
        <v>0</v>
      </c>
      <c r="C111" s="752">
        <v>0</v>
      </c>
      <c r="D111" s="752">
        <v>0</v>
      </c>
      <c r="E111" s="752">
        <v>0</v>
      </c>
      <c r="F111" s="680">
        <f t="shared" si="28"/>
        <v>0</v>
      </c>
      <c r="G111" s="681">
        <f t="shared" si="29"/>
        <v>0</v>
      </c>
      <c r="H111" s="680">
        <f t="shared" si="30"/>
        <v>0</v>
      </c>
      <c r="I111" s="681">
        <f t="shared" si="31"/>
        <v>0</v>
      </c>
    </row>
    <row r="112" spans="1:9" ht="17.149999999999999" customHeight="1" x14ac:dyDescent="0.3">
      <c r="A112" s="540"/>
      <c r="B112" s="684"/>
      <c r="C112" s="684"/>
      <c r="D112" s="684"/>
      <c r="E112" s="684"/>
      <c r="F112" s="753"/>
      <c r="G112" s="754"/>
      <c r="H112" s="753"/>
      <c r="I112" s="754"/>
    </row>
    <row r="113" spans="1:10" ht="17.149999999999999" customHeight="1" x14ac:dyDescent="0.3">
      <c r="A113" s="540"/>
      <c r="B113" s="684"/>
      <c r="C113" s="684"/>
      <c r="D113" s="684"/>
      <c r="E113" s="684"/>
      <c r="F113" s="753"/>
      <c r="G113" s="754"/>
      <c r="H113" s="753"/>
      <c r="I113" s="754"/>
    </row>
    <row r="114" spans="1:10" ht="17.149999999999999" customHeight="1" thickBot="1" x14ac:dyDescent="0.35">
      <c r="A114" s="540"/>
      <c r="B114" s="636"/>
      <c r="C114" s="636"/>
      <c r="D114" s="637"/>
      <c r="E114" s="637"/>
      <c r="F114" s="638"/>
      <c r="G114" s="639"/>
      <c r="H114" s="640"/>
      <c r="I114" s="641"/>
    </row>
    <row r="115" spans="1:10" ht="17.149999999999999" customHeight="1" thickBot="1" x14ac:dyDescent="0.35">
      <c r="A115" s="134" t="s">
        <v>131</v>
      </c>
      <c r="B115" s="104">
        <f>B106+B111</f>
        <v>990.38400000000001</v>
      </c>
      <c r="C115" s="104">
        <f>C106+C111</f>
        <v>1696.4939999999999</v>
      </c>
      <c r="D115" s="104">
        <f>D106+D111</f>
        <v>23</v>
      </c>
      <c r="E115" s="104">
        <f>E106+E111</f>
        <v>21</v>
      </c>
      <c r="F115" s="657">
        <f>B115-C115</f>
        <v>-706.1099999999999</v>
      </c>
      <c r="G115" s="625">
        <f>IF(C115&lt;&gt;0,(B115-C115)/C115)*100</f>
        <v>-41.62172103172778</v>
      </c>
      <c r="H115" s="657">
        <f>D115-E115</f>
        <v>2</v>
      </c>
      <c r="I115" s="625">
        <f>IF(E115&lt;&gt;0,(D115-E115)/E115)*100</f>
        <v>9.5238095238095237</v>
      </c>
    </row>
    <row r="116" spans="1:10" ht="17.149999999999999" customHeight="1" thickBot="1" x14ac:dyDescent="0.35">
      <c r="A116" s="540"/>
      <c r="B116" s="121"/>
      <c r="C116" s="122"/>
      <c r="D116" s="122"/>
      <c r="E116" s="122"/>
      <c r="F116" s="123"/>
      <c r="G116" s="124"/>
      <c r="H116" s="123"/>
      <c r="I116" s="125"/>
    </row>
    <row r="117" spans="1:10" ht="17.149999999999999" customHeight="1" thickBot="1" x14ac:dyDescent="0.35">
      <c r="A117" s="134" t="s">
        <v>132</v>
      </c>
      <c r="B117" s="104">
        <f>B103+B115</f>
        <v>73652.040000000008</v>
      </c>
      <c r="C117" s="104">
        <f>C103+C115</f>
        <v>48908.197</v>
      </c>
      <c r="D117" s="104">
        <f>D103+D115</f>
        <v>1304</v>
      </c>
      <c r="E117" s="104">
        <f>E103+E115</f>
        <v>1554</v>
      </c>
      <c r="F117" s="104">
        <f>B117-C117</f>
        <v>24743.843000000008</v>
      </c>
      <c r="G117" s="105">
        <f>IF(C117&lt;&gt;0,(B117-C117)/C117)*100</f>
        <v>50.592425232931824</v>
      </c>
      <c r="H117" s="104">
        <f>D117-E117</f>
        <v>-250</v>
      </c>
      <c r="I117" s="105">
        <f>IF(E117&lt;&gt;0,(D117-E117)/E117)*100</f>
        <v>-16.087516087516089</v>
      </c>
    </row>
    <row r="118" spans="1:10" x14ac:dyDescent="0.3">
      <c r="J118"/>
    </row>
    <row r="119" spans="1:10" x14ac:dyDescent="0.3">
      <c r="J119"/>
    </row>
    <row r="120" spans="1:10" ht="15.5" x14ac:dyDescent="0.35">
      <c r="B120" s="217">
        <f t="shared" ref="B120:E122" si="32">B41-B69+B97</f>
        <v>0</v>
      </c>
      <c r="C120" s="217">
        <f t="shared" si="32"/>
        <v>0</v>
      </c>
      <c r="D120" s="217">
        <f t="shared" si="32"/>
        <v>0</v>
      </c>
      <c r="E120" s="217">
        <f t="shared" si="32"/>
        <v>0</v>
      </c>
      <c r="J120"/>
    </row>
    <row r="121" spans="1:10" ht="15.5" x14ac:dyDescent="0.35">
      <c r="B121" s="217">
        <f t="shared" si="32"/>
        <v>0</v>
      </c>
      <c r="C121" s="217">
        <f t="shared" si="32"/>
        <v>0</v>
      </c>
      <c r="D121" s="217">
        <f t="shared" si="32"/>
        <v>0</v>
      </c>
      <c r="E121" s="217">
        <f t="shared" si="32"/>
        <v>0</v>
      </c>
      <c r="J121"/>
    </row>
    <row r="122" spans="1:10" ht="15.5" x14ac:dyDescent="0.35">
      <c r="B122" s="217">
        <f t="shared" si="32"/>
        <v>0</v>
      </c>
      <c r="C122" s="217">
        <f t="shared" si="32"/>
        <v>0</v>
      </c>
      <c r="D122" s="217">
        <f t="shared" si="32"/>
        <v>0</v>
      </c>
      <c r="E122" s="217">
        <f t="shared" si="32"/>
        <v>0</v>
      </c>
      <c r="J122"/>
    </row>
    <row r="123" spans="1:10" ht="15.5" x14ac:dyDescent="0.35">
      <c r="B123" s="217">
        <f t="shared" ref="B123:E127" si="33">B45-B72+B100</f>
        <v>0</v>
      </c>
      <c r="C123" s="217">
        <f t="shared" si="33"/>
        <v>0</v>
      </c>
      <c r="D123" s="217">
        <f t="shared" si="33"/>
        <v>0</v>
      </c>
      <c r="E123" s="217">
        <f t="shared" si="33"/>
        <v>0</v>
      </c>
      <c r="J123"/>
    </row>
    <row r="124" spans="1:10" ht="15.5" x14ac:dyDescent="0.35">
      <c r="B124" s="217">
        <f t="shared" si="33"/>
        <v>0</v>
      </c>
      <c r="C124" s="217">
        <f t="shared" si="33"/>
        <v>0</v>
      </c>
      <c r="D124" s="217">
        <f t="shared" si="33"/>
        <v>0</v>
      </c>
      <c r="E124" s="217">
        <f t="shared" si="33"/>
        <v>0</v>
      </c>
      <c r="J124"/>
    </row>
    <row r="125" spans="1:10" ht="15.5" x14ac:dyDescent="0.35">
      <c r="B125" s="217">
        <f t="shared" si="33"/>
        <v>0</v>
      </c>
      <c r="C125" s="217">
        <f t="shared" si="33"/>
        <v>0</v>
      </c>
      <c r="D125" s="217">
        <f t="shared" si="33"/>
        <v>0</v>
      </c>
      <c r="E125" s="217">
        <f t="shared" si="33"/>
        <v>0</v>
      </c>
      <c r="J125"/>
    </row>
    <row r="126" spans="1:10" ht="15.5" x14ac:dyDescent="0.35">
      <c r="B126" s="217">
        <f t="shared" si="33"/>
        <v>0</v>
      </c>
      <c r="C126" s="217">
        <f t="shared" si="33"/>
        <v>0</v>
      </c>
      <c r="D126" s="217">
        <f t="shared" si="33"/>
        <v>0</v>
      </c>
      <c r="E126" s="217">
        <f t="shared" si="33"/>
        <v>0</v>
      </c>
      <c r="J126"/>
    </row>
    <row r="127" spans="1:10" ht="15.5" x14ac:dyDescent="0.35">
      <c r="B127" s="217">
        <f t="shared" si="33"/>
        <v>0</v>
      </c>
      <c r="C127" s="217">
        <f t="shared" si="33"/>
        <v>0</v>
      </c>
      <c r="D127" s="217">
        <f t="shared" si="33"/>
        <v>0</v>
      </c>
      <c r="E127" s="217">
        <f t="shared" si="33"/>
        <v>0</v>
      </c>
      <c r="J127"/>
    </row>
    <row r="128" spans="1:10" ht="15.5" x14ac:dyDescent="0.35">
      <c r="B128" s="217">
        <f t="shared" ref="B128:E135" si="34">B49-B77+B105</f>
        <v>0</v>
      </c>
      <c r="C128" s="217">
        <f t="shared" si="34"/>
        <v>0</v>
      </c>
      <c r="D128" s="217">
        <f t="shared" si="34"/>
        <v>0</v>
      </c>
      <c r="E128" s="217">
        <f t="shared" si="34"/>
        <v>0</v>
      </c>
      <c r="J128"/>
    </row>
    <row r="129" spans="1:5" customFormat="1" ht="15.5" x14ac:dyDescent="0.35">
      <c r="A129" s="347"/>
      <c r="B129" s="217">
        <f t="shared" si="34"/>
        <v>0</v>
      </c>
      <c r="C129" s="217">
        <f>C50-C78+C106</f>
        <v>0</v>
      </c>
      <c r="D129" s="217">
        <f t="shared" si="34"/>
        <v>0</v>
      </c>
      <c r="E129" s="217">
        <f t="shared" si="34"/>
        <v>0</v>
      </c>
    </row>
    <row r="130" spans="1:5" customFormat="1" ht="15.5" x14ac:dyDescent="0.35">
      <c r="A130" s="347"/>
      <c r="B130" s="217">
        <f t="shared" si="34"/>
        <v>0</v>
      </c>
      <c r="C130" s="217">
        <f t="shared" si="34"/>
        <v>0</v>
      </c>
      <c r="D130" s="217">
        <f t="shared" si="34"/>
        <v>0</v>
      </c>
      <c r="E130" s="217">
        <f t="shared" si="34"/>
        <v>0</v>
      </c>
    </row>
    <row r="131" spans="1:5" customFormat="1" ht="15.5" x14ac:dyDescent="0.35">
      <c r="A131" s="347"/>
      <c r="B131" s="217">
        <f t="shared" si="34"/>
        <v>0</v>
      </c>
      <c r="C131" s="217">
        <f t="shared" si="34"/>
        <v>0</v>
      </c>
      <c r="D131" s="217">
        <f t="shared" si="34"/>
        <v>0</v>
      </c>
      <c r="E131" s="217">
        <f t="shared" si="34"/>
        <v>0</v>
      </c>
    </row>
    <row r="132" spans="1:5" customFormat="1" ht="15.5" x14ac:dyDescent="0.35">
      <c r="A132" s="347"/>
      <c r="B132" s="217">
        <f t="shared" si="34"/>
        <v>0</v>
      </c>
      <c r="C132" s="217">
        <f t="shared" si="34"/>
        <v>0</v>
      </c>
      <c r="D132" s="217">
        <f t="shared" si="34"/>
        <v>0</v>
      </c>
      <c r="E132" s="217">
        <f t="shared" si="34"/>
        <v>0</v>
      </c>
    </row>
    <row r="133" spans="1:5" customFormat="1" ht="15.5" x14ac:dyDescent="0.35">
      <c r="A133" s="347"/>
      <c r="B133" s="217">
        <f t="shared" si="34"/>
        <v>0</v>
      </c>
      <c r="C133" s="217">
        <f t="shared" si="34"/>
        <v>0</v>
      </c>
      <c r="D133" s="217">
        <f t="shared" si="34"/>
        <v>0</v>
      </c>
      <c r="E133" s="217">
        <f t="shared" si="34"/>
        <v>0</v>
      </c>
    </row>
    <row r="134" spans="1:5" customFormat="1" ht="15.5" x14ac:dyDescent="0.35">
      <c r="A134" s="347"/>
      <c r="B134" s="217">
        <f t="shared" si="34"/>
        <v>0</v>
      </c>
      <c r="C134" s="217">
        <f>C55-C83+C111</f>
        <v>0</v>
      </c>
      <c r="D134" s="217">
        <f t="shared" si="34"/>
        <v>0</v>
      </c>
      <c r="E134" s="217">
        <f t="shared" si="34"/>
        <v>0</v>
      </c>
    </row>
    <row r="135" spans="1:5" customFormat="1" ht="15.5" x14ac:dyDescent="0.35">
      <c r="A135" s="347"/>
      <c r="B135" s="217">
        <f t="shared" si="34"/>
        <v>0</v>
      </c>
      <c r="C135" s="217">
        <f t="shared" si="34"/>
        <v>0</v>
      </c>
      <c r="D135" s="217">
        <f t="shared" si="34"/>
        <v>0</v>
      </c>
      <c r="E135" s="217">
        <f t="shared" si="34"/>
        <v>0</v>
      </c>
    </row>
    <row r="136" spans="1:5" customFormat="1" ht="15.5" x14ac:dyDescent="0.35">
      <c r="A136" s="347"/>
      <c r="B136" s="217">
        <f t="shared" ref="B136:E140" si="35">B57-B85+B113</f>
        <v>0</v>
      </c>
      <c r="C136" s="217">
        <f t="shared" si="35"/>
        <v>0</v>
      </c>
      <c r="D136" s="217">
        <f t="shared" si="35"/>
        <v>0</v>
      </c>
      <c r="E136" s="217">
        <f t="shared" si="35"/>
        <v>0</v>
      </c>
    </row>
    <row r="137" spans="1:5" customFormat="1" ht="15.5" x14ac:dyDescent="0.35">
      <c r="A137" s="347"/>
      <c r="B137" s="217">
        <f t="shared" si="35"/>
        <v>0</v>
      </c>
      <c r="C137" s="217">
        <f t="shared" si="35"/>
        <v>0</v>
      </c>
      <c r="D137" s="217">
        <f t="shared" si="35"/>
        <v>0</v>
      </c>
      <c r="E137" s="217">
        <f t="shared" si="35"/>
        <v>0</v>
      </c>
    </row>
    <row r="138" spans="1:5" customFormat="1" ht="15.5" x14ac:dyDescent="0.35">
      <c r="A138" s="347"/>
      <c r="B138" s="217">
        <f t="shared" si="35"/>
        <v>0</v>
      </c>
      <c r="C138" s="217">
        <f t="shared" si="35"/>
        <v>0</v>
      </c>
      <c r="D138" s="217">
        <f t="shared" si="35"/>
        <v>0</v>
      </c>
      <c r="E138" s="217">
        <f t="shared" si="35"/>
        <v>0</v>
      </c>
    </row>
    <row r="139" spans="1:5" customFormat="1" ht="15.5" x14ac:dyDescent="0.35">
      <c r="A139" s="347"/>
      <c r="B139" s="217">
        <f t="shared" si="35"/>
        <v>0</v>
      </c>
      <c r="C139" s="217">
        <f t="shared" si="35"/>
        <v>0</v>
      </c>
      <c r="D139" s="217">
        <f t="shared" si="35"/>
        <v>0</v>
      </c>
      <c r="E139" s="217">
        <f t="shared" si="35"/>
        <v>0</v>
      </c>
    </row>
    <row r="140" spans="1:5" customFormat="1" ht="15.5" x14ac:dyDescent="0.35">
      <c r="A140" s="347"/>
      <c r="B140" s="217">
        <f>B61-B89+B117</f>
        <v>0</v>
      </c>
      <c r="C140" s="217">
        <f t="shared" si="35"/>
        <v>0</v>
      </c>
      <c r="D140" s="217">
        <f t="shared" si="35"/>
        <v>0</v>
      </c>
      <c r="E140" s="217">
        <f t="shared" si="35"/>
        <v>0</v>
      </c>
    </row>
  </sheetData>
  <mergeCells count="49">
    <mergeCell ref="B36:C36"/>
    <mergeCell ref="F37:I37"/>
    <mergeCell ref="F38:G38"/>
    <mergeCell ref="H38:I38"/>
    <mergeCell ref="B39:E40"/>
    <mergeCell ref="F39:F40"/>
    <mergeCell ref="G39:G40"/>
    <mergeCell ref="H39:H40"/>
    <mergeCell ref="I39:I40"/>
    <mergeCell ref="B37:C37"/>
    <mergeCell ref="D37:E37"/>
    <mergeCell ref="F6:I6"/>
    <mergeCell ref="F7:G7"/>
    <mergeCell ref="H7:I7"/>
    <mergeCell ref="F8:F9"/>
    <mergeCell ref="G8:G9"/>
    <mergeCell ref="H8:H9"/>
    <mergeCell ref="I8:I9"/>
    <mergeCell ref="A3:E3"/>
    <mergeCell ref="B5:C5"/>
    <mergeCell ref="B6:C6"/>
    <mergeCell ref="D6:E6"/>
    <mergeCell ref="A8:A9"/>
    <mergeCell ref="B8:E9"/>
    <mergeCell ref="A37:A38"/>
    <mergeCell ref="B64:C64"/>
    <mergeCell ref="B67:E68"/>
    <mergeCell ref="F67:F68"/>
    <mergeCell ref="G67:G68"/>
    <mergeCell ref="A65:A66"/>
    <mergeCell ref="F65:I65"/>
    <mergeCell ref="F66:G66"/>
    <mergeCell ref="H66:I66"/>
    <mergeCell ref="B65:C65"/>
    <mergeCell ref="D65:E65"/>
    <mergeCell ref="H67:H68"/>
    <mergeCell ref="I67:I68"/>
    <mergeCell ref="B92:C92"/>
    <mergeCell ref="A93:A94"/>
    <mergeCell ref="F93:I93"/>
    <mergeCell ref="F94:G94"/>
    <mergeCell ref="H94:I94"/>
    <mergeCell ref="B93:C93"/>
    <mergeCell ref="D93:E93"/>
    <mergeCell ref="B95:E96"/>
    <mergeCell ref="F95:F96"/>
    <mergeCell ref="G95:G96"/>
    <mergeCell ref="H95:H96"/>
    <mergeCell ref="I95:I96"/>
  </mergeCells>
  <dataValidations disablePrompts="1" count="1">
    <dataValidation type="list" allowBlank="1" showInputMessage="1" showErrorMessage="1" sqref="WBR983045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B65600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B131136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B196672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B262208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B327744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B393280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B458816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B524352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B589888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B655424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B720960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B786496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B852032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B917568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B983104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B65628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B131164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B196700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B262236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B327772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B393308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B458844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B524380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B589916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B655452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B720988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B786524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B852060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B917596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B983132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VRV983045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VRV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BR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LN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WVJ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B5 B36 B64 B92" xr:uid="{00000000-0002-0000-1600-000000000000}">
      <formula1>#REF!</formula1>
    </dataValidation>
  </dataValidations>
  <pageMargins left="0.7" right="0.7" top="0.75" bottom="0.75" header="0.3" footer="0.3"/>
  <pageSetup paperSize="9" scale="43"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4"/>
  <dimension ref="A1:J140"/>
  <sheetViews>
    <sheetView showGridLines="0" view="pageBreakPreview" zoomScale="90" zoomScaleNormal="80" zoomScaleSheetLayoutView="90" workbookViewId="0">
      <selection activeCell="I1" sqref="I1"/>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0" ht="14" x14ac:dyDescent="0.3">
      <c r="A1" s="364" t="s">
        <v>101</v>
      </c>
      <c r="B1" s="66"/>
      <c r="C1" s="66"/>
      <c r="D1" s="66"/>
      <c r="E1" s="66"/>
      <c r="F1" s="66"/>
      <c r="G1" s="66"/>
      <c r="H1" s="66"/>
      <c r="I1" s="66"/>
      <c r="J1"/>
    </row>
    <row r="2" spans="1:10" ht="12.5" x14ac:dyDescent="0.25">
      <c r="A2" s="365"/>
      <c r="B2" s="66"/>
      <c r="C2" s="66"/>
      <c r="D2" s="66"/>
      <c r="E2" s="66"/>
      <c r="F2" s="66"/>
      <c r="G2" s="66"/>
      <c r="H2" s="66"/>
      <c r="I2" s="66"/>
      <c r="J2"/>
    </row>
    <row r="3" spans="1:10" ht="12.5" x14ac:dyDescent="0.25">
      <c r="A3" s="800" t="s">
        <v>154</v>
      </c>
      <c r="B3" s="800"/>
      <c r="C3" s="800"/>
      <c r="D3" s="800"/>
      <c r="E3" s="800"/>
      <c r="F3" s="66"/>
      <c r="G3" s="66"/>
      <c r="H3" s="66"/>
      <c r="I3" s="66"/>
      <c r="J3"/>
    </row>
    <row r="4" spans="1:10" ht="12.5" x14ac:dyDescent="0.25">
      <c r="A4" s="365"/>
      <c r="B4" s="66"/>
      <c r="C4" s="66"/>
      <c r="D4" s="66"/>
      <c r="E4" s="66"/>
      <c r="F4" s="66"/>
      <c r="G4" s="66"/>
      <c r="H4" s="66"/>
      <c r="I4" s="66"/>
      <c r="J4"/>
    </row>
    <row r="5" spans="1:10" ht="17.149999999999999" customHeight="1" thickBot="1" x14ac:dyDescent="0.35">
      <c r="A5" s="404" t="s">
        <v>103</v>
      </c>
      <c r="B5" s="836"/>
      <c r="C5" s="836"/>
      <c r="D5" s="68"/>
      <c r="E5" s="68"/>
      <c r="F5" s="66"/>
      <c r="G5" s="66"/>
      <c r="H5" s="66"/>
      <c r="I5" s="66"/>
    </row>
    <row r="6" spans="1:10" ht="17.149999999999999" customHeight="1" thickBot="1" x14ac:dyDescent="0.35">
      <c r="A6" s="69" t="s">
        <v>104</v>
      </c>
      <c r="B6" s="818" t="s">
        <v>105</v>
      </c>
      <c r="C6" s="819"/>
      <c r="D6" s="837" t="s">
        <v>106</v>
      </c>
      <c r="E6" s="838"/>
      <c r="F6" s="818" t="s">
        <v>107</v>
      </c>
      <c r="G6" s="832"/>
      <c r="H6" s="832"/>
      <c r="I6" s="819"/>
    </row>
    <row r="7" spans="1:10" ht="17.149999999999999" customHeight="1" thickBot="1" x14ac:dyDescent="0.35">
      <c r="A7" s="70" t="s">
        <v>108</v>
      </c>
      <c r="B7" s="324" t="s">
        <v>148</v>
      </c>
      <c r="C7" s="324" t="s">
        <v>149</v>
      </c>
      <c r="D7" s="324" t="s">
        <v>148</v>
      </c>
      <c r="E7" s="324" t="s">
        <v>149</v>
      </c>
      <c r="F7" s="818" t="s">
        <v>105</v>
      </c>
      <c r="G7" s="819"/>
      <c r="H7" s="818" t="s">
        <v>106</v>
      </c>
      <c r="I7" s="819"/>
    </row>
    <row r="8" spans="1:10" ht="17.149999999999999" customHeight="1" x14ac:dyDescent="0.3">
      <c r="A8" s="839" t="s">
        <v>109</v>
      </c>
      <c r="B8" s="826"/>
      <c r="C8" s="827"/>
      <c r="D8" s="827"/>
      <c r="E8" s="828"/>
      <c r="F8" s="828" t="s">
        <v>110</v>
      </c>
      <c r="G8" s="822" t="s">
        <v>111</v>
      </c>
      <c r="H8" s="822" t="s">
        <v>112</v>
      </c>
      <c r="I8" s="822" t="s">
        <v>111</v>
      </c>
    </row>
    <row r="9" spans="1:10" ht="17.149999999999999" customHeight="1" thickBot="1" x14ac:dyDescent="0.35">
      <c r="A9" s="840"/>
      <c r="B9" s="841"/>
      <c r="C9" s="852"/>
      <c r="D9" s="852"/>
      <c r="E9" s="853"/>
      <c r="F9" s="833"/>
      <c r="G9" s="834"/>
      <c r="H9" s="834"/>
      <c r="I9" s="834"/>
    </row>
    <row r="10" spans="1:10" ht="17.149999999999999" customHeight="1" thickBot="1" x14ac:dyDescent="0.35">
      <c r="A10" s="72" t="s">
        <v>113</v>
      </c>
      <c r="B10" s="405"/>
      <c r="C10" s="406"/>
      <c r="D10" s="406"/>
      <c r="E10" s="407"/>
      <c r="F10" s="76"/>
      <c r="G10" s="76"/>
      <c r="H10" s="76"/>
      <c r="I10" s="77"/>
    </row>
    <row r="11" spans="1:10" ht="17.149999999999999" customHeight="1" x14ac:dyDescent="0.3">
      <c r="A11" s="678" t="s">
        <v>114</v>
      </c>
      <c r="B11" s="78">
        <f>B12+B13+B17</f>
        <v>0</v>
      </c>
      <c r="C11" s="644">
        <v>0</v>
      </c>
      <c r="D11" s="78">
        <f>D12+D13+D17</f>
        <v>0</v>
      </c>
      <c r="E11" s="78">
        <f>E12+E13+E17</f>
        <v>0</v>
      </c>
      <c r="F11" s="78">
        <f>B11-C11</f>
        <v>0</v>
      </c>
      <c r="G11" s="78">
        <f>IF(C11&lt;&gt;0,(B11-C11)/C11)*100</f>
        <v>0</v>
      </c>
      <c r="H11" s="78">
        <f>D11-E11</f>
        <v>0</v>
      </c>
      <c r="I11" s="79">
        <f>IF(E11&lt;&gt;0,(D11-E11)/E11)*100</f>
        <v>0</v>
      </c>
      <c r="J11" s="141">
        <v>1000</v>
      </c>
    </row>
    <row r="12" spans="1:10" ht="17.149999999999999" customHeight="1" x14ac:dyDescent="0.3">
      <c r="A12" s="678" t="s">
        <v>115</v>
      </c>
      <c r="B12" s="644">
        <v>0</v>
      </c>
      <c r="C12" s="644">
        <v>0</v>
      </c>
      <c r="D12" s="644">
        <v>0</v>
      </c>
      <c r="E12" s="644">
        <v>0</v>
      </c>
      <c r="F12" s="646">
        <f t="shared" ref="F12:F19" si="0">B12-C12</f>
        <v>0</v>
      </c>
      <c r="G12" s="647">
        <f>IF(C12&lt;&gt;0,(B12-C12)/C12)*100</f>
        <v>0</v>
      </c>
      <c r="H12" s="646">
        <f>D12-E12</f>
        <v>0</v>
      </c>
      <c r="I12" s="647">
        <f>IF(E12&lt;&gt;0,(D12-E12)/E12)*100</f>
        <v>0</v>
      </c>
    </row>
    <row r="13" spans="1:10" ht="17.149999999999999" customHeight="1" x14ac:dyDescent="0.3">
      <c r="A13" s="678" t="s">
        <v>116</v>
      </c>
      <c r="B13" s="646">
        <f>B14-B15-B16</f>
        <v>0</v>
      </c>
      <c r="C13" s="646">
        <f>C14-C15-C16</f>
        <v>0</v>
      </c>
      <c r="D13" s="648">
        <v>0</v>
      </c>
      <c r="E13" s="648">
        <v>0</v>
      </c>
      <c r="F13" s="646">
        <f t="shared" si="0"/>
        <v>0</v>
      </c>
      <c r="G13" s="647">
        <f>IF(C13&lt;&gt;0,(B13-C13)/C13)*100</f>
        <v>0</v>
      </c>
      <c r="H13" s="646">
        <f>D13-E13</f>
        <v>0</v>
      </c>
      <c r="I13" s="647">
        <f>IF(E13&lt;&gt;0,(D13-E13)/E13)*100</f>
        <v>0</v>
      </c>
    </row>
    <row r="14" spans="1:10" ht="17.149999999999999" customHeight="1" x14ac:dyDescent="0.3">
      <c r="A14" s="683" t="s">
        <v>117</v>
      </c>
      <c r="B14" s="663">
        <v>0</v>
      </c>
      <c r="C14" s="645">
        <v>0</v>
      </c>
      <c r="D14" s="644"/>
      <c r="E14" s="645"/>
      <c r="F14" s="646"/>
      <c r="G14" s="650"/>
      <c r="H14" s="646"/>
      <c r="I14" s="650"/>
    </row>
    <row r="15" spans="1:10" ht="17.149999999999999" customHeight="1" x14ac:dyDescent="0.3">
      <c r="A15" s="686" t="s">
        <v>118</v>
      </c>
      <c r="B15" s="689">
        <v>0</v>
      </c>
      <c r="C15" s="662">
        <v>0</v>
      </c>
      <c r="D15" s="644"/>
      <c r="E15" s="645"/>
      <c r="F15" s="646"/>
      <c r="G15" s="650"/>
      <c r="H15" s="646"/>
      <c r="I15" s="650"/>
    </row>
    <row r="16" spans="1:10" ht="17.149999999999999" customHeight="1" x14ac:dyDescent="0.3">
      <c r="A16" s="686" t="s">
        <v>119</v>
      </c>
      <c r="B16" s="690">
        <v>0</v>
      </c>
      <c r="C16" s="409">
        <v>0</v>
      </c>
      <c r="D16" s="691"/>
      <c r="E16" s="645"/>
      <c r="F16" s="646"/>
      <c r="G16" s="650"/>
      <c r="H16" s="646"/>
      <c r="I16" s="650"/>
    </row>
    <row r="17" spans="1:9" ht="17.149999999999999" customHeight="1" x14ac:dyDescent="0.3">
      <c r="A17" s="617" t="s">
        <v>120</v>
      </c>
      <c r="B17" s="692">
        <v>0</v>
      </c>
      <c r="C17" s="745">
        <v>0</v>
      </c>
      <c r="D17" s="644">
        <v>0</v>
      </c>
      <c r="E17" s="644">
        <v>0</v>
      </c>
      <c r="F17" s="646">
        <f t="shared" si="0"/>
        <v>0</v>
      </c>
      <c r="G17" s="647">
        <f>IF(C17&lt;&gt;0,(B17-C17)/C17)*100</f>
        <v>0</v>
      </c>
      <c r="H17" s="646">
        <f>D17-E17</f>
        <v>0</v>
      </c>
      <c r="I17" s="647">
        <f>IF(E17&lt;&gt;0,(D17-E17)/E17)*100</f>
        <v>0</v>
      </c>
    </row>
    <row r="18" spans="1:9" ht="17.149999999999999" customHeight="1" x14ac:dyDescent="0.3">
      <c r="A18" s="678" t="s">
        <v>121</v>
      </c>
      <c r="B18" s="755">
        <v>0</v>
      </c>
      <c r="C18" s="645">
        <v>0</v>
      </c>
      <c r="D18" s="644">
        <v>0</v>
      </c>
      <c r="E18" s="648">
        <v>0</v>
      </c>
      <c r="F18" s="646">
        <f t="shared" si="0"/>
        <v>0</v>
      </c>
      <c r="G18" s="647">
        <f>IF(C18&lt;&gt;0,(B18-C18)/C18)*100</f>
        <v>0</v>
      </c>
      <c r="H18" s="646">
        <f>D18-E18</f>
        <v>0</v>
      </c>
      <c r="I18" s="647">
        <f>IF(E18&lt;&gt;0,(D18-E18)/E18)*100</f>
        <v>0</v>
      </c>
    </row>
    <row r="19" spans="1:9" ht="17.149999999999999" customHeight="1" thickBot="1" x14ac:dyDescent="0.35">
      <c r="A19" s="619" t="s">
        <v>122</v>
      </c>
      <c r="B19" s="653">
        <v>0</v>
      </c>
      <c r="C19" s="654">
        <v>0</v>
      </c>
      <c r="D19" s="653">
        <v>0</v>
      </c>
      <c r="E19" s="654">
        <v>0</v>
      </c>
      <c r="F19" s="646">
        <f t="shared" si="0"/>
        <v>0</v>
      </c>
      <c r="G19" s="655">
        <f>IF(C19&lt;&gt;0,(B19-C19)/C19)*100</f>
        <v>0</v>
      </c>
      <c r="H19" s="646">
        <f>D19-E19</f>
        <v>0</v>
      </c>
      <c r="I19" s="655">
        <f>IF(E19&lt;&gt;0,(D19-E19)/E19)*100</f>
        <v>0</v>
      </c>
    </row>
    <row r="20" spans="1:9" ht="17.149999999999999" customHeight="1" thickBot="1" x14ac:dyDescent="0.35">
      <c r="A20" s="80" t="s">
        <v>123</v>
      </c>
      <c r="B20" s="81">
        <f>B11+B18+B19</f>
        <v>0</v>
      </c>
      <c r="C20" s="82">
        <f>C11+C18+C19</f>
        <v>0</v>
      </c>
      <c r="D20" s="81">
        <f>D11+D18+D19</f>
        <v>0</v>
      </c>
      <c r="E20" s="82">
        <f>E11+E18+E19</f>
        <v>0</v>
      </c>
      <c r="F20" s="81">
        <f>F11+F18+F19</f>
        <v>0</v>
      </c>
      <c r="G20" s="83">
        <f>IF(C20&lt;&gt;0,(B20-C20)/C20)*100</f>
        <v>0</v>
      </c>
      <c r="H20" s="81">
        <f>H11+H18+H19</f>
        <v>0</v>
      </c>
      <c r="I20" s="83">
        <f>IF(E20&lt;&gt;0,(D20-E20)/E20)*100</f>
        <v>0</v>
      </c>
    </row>
    <row r="21" spans="1:9" ht="17.149999999999999" customHeight="1" thickBot="1" x14ac:dyDescent="0.35">
      <c r="A21" s="84" t="s">
        <v>109</v>
      </c>
      <c r="B21" s="85"/>
      <c r="C21" s="85"/>
      <c r="D21" s="85"/>
      <c r="E21" s="85"/>
      <c r="F21" s="86"/>
      <c r="G21" s="86"/>
      <c r="H21" s="86"/>
      <c r="I21" s="87"/>
    </row>
    <row r="22" spans="1:9" ht="17.149999999999999" customHeight="1" x14ac:dyDescent="0.3">
      <c r="A22" s="751" t="s">
        <v>124</v>
      </c>
      <c r="B22" s="740"/>
      <c r="C22" s="741"/>
      <c r="D22" s="740"/>
      <c r="E22" s="741"/>
      <c r="F22" s="742"/>
      <c r="G22" s="743"/>
      <c r="H22" s="743"/>
      <c r="I22" s="744"/>
    </row>
    <row r="23" spans="1:9" ht="17.149999999999999" customHeight="1" x14ac:dyDescent="0.3">
      <c r="A23" s="678" t="s">
        <v>125</v>
      </c>
      <c r="B23" s="657">
        <f>SUM(B24:B27)</f>
        <v>6.7119999999999997</v>
      </c>
      <c r="C23" s="624">
        <f>SUM(C24:C27)</f>
        <v>7155.0219999999999</v>
      </c>
      <c r="D23" s="657">
        <f>SUM(D24:D27)</f>
        <v>130</v>
      </c>
      <c r="E23" s="624">
        <f>SUM(E24:E27)</f>
        <v>285</v>
      </c>
      <c r="F23" s="657">
        <f t="shared" ref="F23:F28" si="1">B23-C23</f>
        <v>-7148.3099999999995</v>
      </c>
      <c r="G23" s="625">
        <f t="shared" ref="G23:G28" si="2">IF(C23&lt;&gt;0,(B23-C23)/C23)*100</f>
        <v>-99.90619176293238</v>
      </c>
      <c r="H23" s="657">
        <f t="shared" ref="H23:H28" si="3">D23-E23</f>
        <v>-155</v>
      </c>
      <c r="I23" s="625">
        <f t="shared" ref="I23:I28" si="4">IF(E23&lt;&gt;0,(D23-E23)/E23)*100</f>
        <v>-54.385964912280706</v>
      </c>
    </row>
    <row r="24" spans="1:9" ht="17.149999999999999" customHeight="1" x14ac:dyDescent="0.3">
      <c r="A24" s="678" t="s">
        <v>126</v>
      </c>
      <c r="B24" s="644">
        <v>1.6919999999999999</v>
      </c>
      <c r="C24" s="644">
        <v>4853.9470000000001</v>
      </c>
      <c r="D24" s="644">
        <v>31</v>
      </c>
      <c r="E24" s="644">
        <v>207</v>
      </c>
      <c r="F24" s="646">
        <f t="shared" si="1"/>
        <v>-4852.2550000000001</v>
      </c>
      <c r="G24" s="647">
        <f t="shared" si="2"/>
        <v>-99.965141770192375</v>
      </c>
      <c r="H24" s="646">
        <f t="shared" si="3"/>
        <v>-176</v>
      </c>
      <c r="I24" s="647">
        <f t="shared" si="4"/>
        <v>-85.024154589371975</v>
      </c>
    </row>
    <row r="25" spans="1:9" ht="17.149999999999999" customHeight="1" x14ac:dyDescent="0.3">
      <c r="A25" s="678" t="s">
        <v>127</v>
      </c>
      <c r="B25" s="644">
        <v>5.0199999999999996</v>
      </c>
      <c r="C25" s="644">
        <v>1106.3030000000001</v>
      </c>
      <c r="D25" s="644">
        <v>99</v>
      </c>
      <c r="E25" s="644">
        <v>36</v>
      </c>
      <c r="F25" s="646">
        <f t="shared" si="1"/>
        <v>-1101.2830000000001</v>
      </c>
      <c r="G25" s="647">
        <f t="shared" si="2"/>
        <v>-99.546236428898766</v>
      </c>
      <c r="H25" s="646">
        <f t="shared" si="3"/>
        <v>63</v>
      </c>
      <c r="I25" s="647">
        <f t="shared" si="4"/>
        <v>175</v>
      </c>
    </row>
    <row r="26" spans="1:9" ht="17.149999999999999" customHeight="1" x14ac:dyDescent="0.3">
      <c r="A26" s="626" t="s">
        <v>128</v>
      </c>
      <c r="B26" s="644">
        <v>0</v>
      </c>
      <c r="C26" s="644">
        <v>1194.7719999999999</v>
      </c>
      <c r="D26" s="644">
        <v>0</v>
      </c>
      <c r="E26" s="644">
        <v>42</v>
      </c>
      <c r="F26" s="646">
        <f t="shared" si="1"/>
        <v>-1194.7719999999999</v>
      </c>
      <c r="G26" s="647">
        <f t="shared" si="2"/>
        <v>-100</v>
      </c>
      <c r="H26" s="646">
        <f t="shared" si="3"/>
        <v>-42</v>
      </c>
      <c r="I26" s="647">
        <f t="shared" si="4"/>
        <v>-100</v>
      </c>
    </row>
    <row r="27" spans="1:9" ht="17.149999999999999" customHeight="1" x14ac:dyDescent="0.3">
      <c r="A27" s="678" t="s">
        <v>129</v>
      </c>
      <c r="B27" s="644">
        <v>0</v>
      </c>
      <c r="C27" s="644">
        <v>0</v>
      </c>
      <c r="D27" s="644">
        <v>0</v>
      </c>
      <c r="E27" s="644">
        <v>0</v>
      </c>
      <c r="F27" s="646">
        <f t="shared" si="1"/>
        <v>0</v>
      </c>
      <c r="G27" s="647">
        <f t="shared" si="2"/>
        <v>0</v>
      </c>
      <c r="H27" s="646">
        <f t="shared" si="3"/>
        <v>0</v>
      </c>
      <c r="I27" s="647">
        <f t="shared" si="4"/>
        <v>0</v>
      </c>
    </row>
    <row r="28" spans="1:9" ht="17.149999999999999" customHeight="1" x14ac:dyDescent="0.3">
      <c r="A28" s="678" t="s">
        <v>130</v>
      </c>
      <c r="B28" s="644">
        <v>0</v>
      </c>
      <c r="C28" s="644">
        <v>0</v>
      </c>
      <c r="D28" s="644">
        <v>0</v>
      </c>
      <c r="E28" s="644">
        <v>0</v>
      </c>
      <c r="F28" s="646">
        <f t="shared" si="1"/>
        <v>0</v>
      </c>
      <c r="G28" s="647">
        <f t="shared" si="2"/>
        <v>0</v>
      </c>
      <c r="H28" s="646">
        <f t="shared" si="3"/>
        <v>0</v>
      </c>
      <c r="I28" s="647">
        <f t="shared" si="4"/>
        <v>0</v>
      </c>
    </row>
    <row r="29" spans="1:9" ht="17.149999999999999" customHeight="1" x14ac:dyDescent="0.3">
      <c r="A29" s="678"/>
      <c r="B29" s="627">
        <v>0</v>
      </c>
      <c r="C29" s="628">
        <v>0</v>
      </c>
      <c r="D29" s="627"/>
      <c r="E29" s="628"/>
      <c r="F29" s="657"/>
      <c r="G29" s="625"/>
      <c r="H29" s="624"/>
      <c r="I29" s="629"/>
    </row>
    <row r="30" spans="1:9" ht="17.149999999999999" customHeight="1" x14ac:dyDescent="0.3">
      <c r="A30" s="678"/>
      <c r="B30" s="627">
        <v>0</v>
      </c>
      <c r="C30" s="628">
        <v>0</v>
      </c>
      <c r="D30" s="627"/>
      <c r="E30" s="628"/>
      <c r="F30" s="657"/>
      <c r="G30" s="625"/>
      <c r="H30" s="624"/>
      <c r="I30" s="629"/>
    </row>
    <row r="31" spans="1:9" ht="17.149999999999999" customHeight="1" thickBot="1" x14ac:dyDescent="0.35">
      <c r="A31" s="88" t="s">
        <v>109</v>
      </c>
      <c r="B31" s="630">
        <v>0</v>
      </c>
      <c r="C31" s="631">
        <v>0</v>
      </c>
      <c r="D31" s="630"/>
      <c r="E31" s="631"/>
      <c r="F31" s="632"/>
      <c r="G31" s="633"/>
      <c r="H31" s="634"/>
      <c r="I31" s="635"/>
    </row>
    <row r="32" spans="1:9" ht="17.149999999999999" customHeight="1" thickBot="1" x14ac:dyDescent="0.35">
      <c r="A32" s="89" t="s">
        <v>131</v>
      </c>
      <c r="B32" s="90">
        <f>B23+B28</f>
        <v>6.7119999999999997</v>
      </c>
      <c r="C32" s="91">
        <f>C23+C28</f>
        <v>7155.0219999999999</v>
      </c>
      <c r="D32" s="90">
        <f>D23+D28</f>
        <v>130</v>
      </c>
      <c r="E32" s="91">
        <f>E23+E28</f>
        <v>285</v>
      </c>
      <c r="F32" s="91">
        <f>B32-C32</f>
        <v>-7148.3099999999995</v>
      </c>
      <c r="G32" s="92">
        <f>IF(C32&lt;&gt;0,(B32-C32)/C32)*100</f>
        <v>-99.90619176293238</v>
      </c>
      <c r="H32" s="91">
        <f>D32-E32</f>
        <v>-155</v>
      </c>
      <c r="I32" s="92">
        <f>IF(E32&lt;&gt;0,(D32-E32)/E32)*100</f>
        <v>-54.385964912280706</v>
      </c>
    </row>
    <row r="33" spans="1:9" ht="17.149999999999999" customHeight="1" thickBot="1" x14ac:dyDescent="0.35">
      <c r="A33" s="93" t="s">
        <v>132</v>
      </c>
      <c r="B33" s="90">
        <f>B20+B32</f>
        <v>6.7119999999999997</v>
      </c>
      <c r="C33" s="91">
        <f>C20+C32</f>
        <v>7155.0219999999999</v>
      </c>
      <c r="D33" s="90">
        <f>D20+D32</f>
        <v>130</v>
      </c>
      <c r="E33" s="91">
        <f>E20+E32</f>
        <v>285</v>
      </c>
      <c r="F33" s="91">
        <f>B33-C33</f>
        <v>-7148.3099999999995</v>
      </c>
      <c r="G33" s="92">
        <f>IF(C33&lt;&gt;0,(B33-C33)/C33)*100</f>
        <v>-99.90619176293238</v>
      </c>
      <c r="H33" s="91">
        <f>D33-E33</f>
        <v>-155</v>
      </c>
      <c r="I33" s="92">
        <f>IF(E33&lt;&gt;0,(D33-E33)/E33)*100</f>
        <v>-54.385964912280706</v>
      </c>
    </row>
    <row r="34" spans="1:9" ht="17.149999999999999" customHeight="1" x14ac:dyDescent="0.3">
      <c r="A34" s="94"/>
      <c r="B34" s="94"/>
      <c r="C34" s="94"/>
      <c r="D34" s="94"/>
      <c r="E34" s="94"/>
      <c r="F34" s="95"/>
      <c r="G34" s="95"/>
      <c r="H34" s="95"/>
      <c r="I34" s="95"/>
    </row>
    <row r="35" spans="1:9" ht="17.149999999999999" customHeight="1" x14ac:dyDescent="0.3">
      <c r="A35" s="68"/>
      <c r="B35" s="96"/>
      <c r="C35" s="97"/>
      <c r="D35" s="97"/>
      <c r="E35" s="97"/>
      <c r="F35" s="66"/>
      <c r="G35" s="66"/>
      <c r="H35" s="66"/>
      <c r="I35" s="66"/>
    </row>
    <row r="36" spans="1:9" ht="17.149999999999999" customHeight="1" thickBot="1" x14ac:dyDescent="0.35">
      <c r="A36" s="404" t="s">
        <v>133</v>
      </c>
      <c r="B36" s="836"/>
      <c r="C36" s="836"/>
      <c r="D36" s="99"/>
      <c r="E36" s="99"/>
      <c r="F36" s="66"/>
      <c r="G36" s="66"/>
      <c r="H36" s="66"/>
      <c r="I36" s="66"/>
    </row>
    <row r="37" spans="1:9" ht="17.149999999999999" customHeight="1" thickBot="1" x14ac:dyDescent="0.35">
      <c r="A37" s="822" t="s">
        <v>134</v>
      </c>
      <c r="B37" s="818" t="s">
        <v>105</v>
      </c>
      <c r="C37" s="819"/>
      <c r="D37" s="818" t="s">
        <v>106</v>
      </c>
      <c r="E37" s="819"/>
      <c r="F37" s="804" t="s">
        <v>107</v>
      </c>
      <c r="G37" s="805"/>
      <c r="H37" s="805"/>
      <c r="I37" s="806"/>
    </row>
    <row r="38" spans="1:9" ht="17.149999999999999" customHeight="1" thickBot="1" x14ac:dyDescent="0.35">
      <c r="A38" s="823"/>
      <c r="B38" s="324" t="s">
        <v>148</v>
      </c>
      <c r="C38" s="324" t="s">
        <v>149</v>
      </c>
      <c r="D38" s="324" t="s">
        <v>148</v>
      </c>
      <c r="E38" s="324" t="s">
        <v>149</v>
      </c>
      <c r="F38" s="804" t="s">
        <v>105</v>
      </c>
      <c r="G38" s="806"/>
      <c r="H38" s="804" t="s">
        <v>106</v>
      </c>
      <c r="I38" s="806"/>
    </row>
    <row r="39" spans="1:9" ht="17.149999999999999" customHeight="1" x14ac:dyDescent="0.3">
      <c r="A39" s="100"/>
      <c r="B39" s="826"/>
      <c r="C39" s="827"/>
      <c r="D39" s="827"/>
      <c r="E39" s="828"/>
      <c r="F39" s="814" t="s">
        <v>110</v>
      </c>
      <c r="G39" s="816" t="s">
        <v>111</v>
      </c>
      <c r="H39" s="816" t="s">
        <v>112</v>
      </c>
      <c r="I39" s="816" t="s">
        <v>111</v>
      </c>
    </row>
    <row r="40" spans="1:9" ht="17.149999999999999" customHeight="1" thickBot="1" x14ac:dyDescent="0.35">
      <c r="A40" s="101" t="s">
        <v>113</v>
      </c>
      <c r="B40" s="829"/>
      <c r="C40" s="830"/>
      <c r="D40" s="830"/>
      <c r="E40" s="831"/>
      <c r="F40" s="815"/>
      <c r="G40" s="817"/>
      <c r="H40" s="817"/>
      <c r="I40" s="817"/>
    </row>
    <row r="41" spans="1:9" ht="17.149999999999999" customHeight="1" thickBot="1" x14ac:dyDescent="0.35">
      <c r="A41" s="102" t="s">
        <v>135</v>
      </c>
      <c r="B41" s="103">
        <f>B42+B43+B45</f>
        <v>0</v>
      </c>
      <c r="C41" s="104">
        <f>C42+C43+C45</f>
        <v>0</v>
      </c>
      <c r="D41" s="104">
        <f>D42+D43+D45</f>
        <v>0</v>
      </c>
      <c r="E41" s="104">
        <f>E42+E43+E45</f>
        <v>0</v>
      </c>
      <c r="F41" s="104">
        <f t="shared" ref="F41:F48" si="5">B41-C41</f>
        <v>0</v>
      </c>
      <c r="G41" s="105">
        <f t="shared" ref="G41:G48" si="6">IF(C41&lt;&gt;0,(B41-C41)/C41)*100</f>
        <v>0</v>
      </c>
      <c r="H41" s="104">
        <f t="shared" ref="H41:H48" si="7">D41-E41</f>
        <v>0</v>
      </c>
      <c r="I41" s="105">
        <f t="shared" ref="I41:I48" si="8">IF(E41&lt;&gt;0,(D41-E41)/E41)*100</f>
        <v>0</v>
      </c>
    </row>
    <row r="42" spans="1:9" ht="17.149999999999999" customHeight="1" x14ac:dyDescent="0.3">
      <c r="A42" s="102" t="s">
        <v>136</v>
      </c>
      <c r="B42" s="745">
        <v>0</v>
      </c>
      <c r="C42" s="745">
        <v>0</v>
      </c>
      <c r="D42" s="746">
        <v>0</v>
      </c>
      <c r="E42" s="746">
        <v>0</v>
      </c>
      <c r="F42" s="646">
        <f t="shared" si="5"/>
        <v>0</v>
      </c>
      <c r="G42" s="647">
        <f t="shared" si="6"/>
        <v>0</v>
      </c>
      <c r="H42" s="646">
        <f t="shared" si="7"/>
        <v>0</v>
      </c>
      <c r="I42" s="647">
        <f t="shared" si="8"/>
        <v>0</v>
      </c>
    </row>
    <row r="43" spans="1:9" ht="17.149999999999999" customHeight="1" x14ac:dyDescent="0.3">
      <c r="A43" s="102" t="s">
        <v>116</v>
      </c>
      <c r="B43" s="745">
        <v>0</v>
      </c>
      <c r="C43" s="745">
        <v>0</v>
      </c>
      <c r="D43" s="746">
        <v>0</v>
      </c>
      <c r="E43" s="746">
        <v>0</v>
      </c>
      <c r="F43" s="646">
        <f t="shared" si="5"/>
        <v>0</v>
      </c>
      <c r="G43" s="647">
        <f t="shared" si="6"/>
        <v>0</v>
      </c>
      <c r="H43" s="646">
        <f t="shared" si="7"/>
        <v>0</v>
      </c>
      <c r="I43" s="647">
        <f t="shared" si="8"/>
        <v>0</v>
      </c>
    </row>
    <row r="44" spans="1:9" ht="17.149999999999999" customHeight="1" x14ac:dyDescent="0.3">
      <c r="A44" s="102" t="s">
        <v>137</v>
      </c>
      <c r="B44" s="745">
        <v>0</v>
      </c>
      <c r="C44" s="745">
        <v>0</v>
      </c>
      <c r="D44" s="746">
        <v>0</v>
      </c>
      <c r="E44" s="746">
        <v>0</v>
      </c>
      <c r="F44" s="646">
        <f t="shared" si="5"/>
        <v>0</v>
      </c>
      <c r="G44" s="647">
        <f t="shared" si="6"/>
        <v>0</v>
      </c>
      <c r="H44" s="646">
        <f t="shared" si="7"/>
        <v>0</v>
      </c>
      <c r="I44" s="647">
        <f t="shared" si="8"/>
        <v>0</v>
      </c>
    </row>
    <row r="45" spans="1:9" ht="17.149999999999999" customHeight="1" x14ac:dyDescent="0.3">
      <c r="A45" s="102" t="s">
        <v>143</v>
      </c>
      <c r="B45" s="745">
        <v>0</v>
      </c>
      <c r="C45" s="745">
        <v>0</v>
      </c>
      <c r="D45" s="746">
        <v>0</v>
      </c>
      <c r="E45" s="746">
        <v>0</v>
      </c>
      <c r="F45" s="646">
        <f t="shared" si="5"/>
        <v>0</v>
      </c>
      <c r="G45" s="647">
        <f t="shared" si="6"/>
        <v>0</v>
      </c>
      <c r="H45" s="646">
        <f t="shared" si="7"/>
        <v>0</v>
      </c>
      <c r="I45" s="647">
        <f t="shared" si="8"/>
        <v>0</v>
      </c>
    </row>
    <row r="46" spans="1:9" ht="17.149999999999999" customHeight="1" x14ac:dyDescent="0.3">
      <c r="A46" s="102" t="s">
        <v>139</v>
      </c>
      <c r="B46" s="745">
        <v>0</v>
      </c>
      <c r="C46" s="745">
        <v>0</v>
      </c>
      <c r="D46" s="746">
        <v>0</v>
      </c>
      <c r="E46" s="746">
        <v>0</v>
      </c>
      <c r="F46" s="646">
        <f t="shared" si="5"/>
        <v>0</v>
      </c>
      <c r="G46" s="647">
        <f t="shared" si="6"/>
        <v>0</v>
      </c>
      <c r="H46" s="646">
        <f t="shared" si="7"/>
        <v>0</v>
      </c>
      <c r="I46" s="647">
        <f t="shared" si="8"/>
        <v>0</v>
      </c>
    </row>
    <row r="47" spans="1:9" ht="17.149999999999999" customHeight="1" thickBot="1" x14ac:dyDescent="0.35">
      <c r="A47" s="102" t="s">
        <v>140</v>
      </c>
      <c r="B47" s="745">
        <v>0</v>
      </c>
      <c r="C47" s="745">
        <v>0</v>
      </c>
      <c r="D47" s="746">
        <v>0</v>
      </c>
      <c r="E47" s="746">
        <v>0</v>
      </c>
      <c r="F47" s="646">
        <f t="shared" si="5"/>
        <v>0</v>
      </c>
      <c r="G47" s="647">
        <f t="shared" si="6"/>
        <v>0</v>
      </c>
      <c r="H47" s="646">
        <f t="shared" si="7"/>
        <v>0</v>
      </c>
      <c r="I47" s="647">
        <f t="shared" si="8"/>
        <v>0</v>
      </c>
    </row>
    <row r="48" spans="1:9" ht="17.149999999999999" customHeight="1" thickBot="1" x14ac:dyDescent="0.35">
      <c r="A48" s="106" t="s">
        <v>123</v>
      </c>
      <c r="B48" s="91">
        <f>B41+B46+B47</f>
        <v>0</v>
      </c>
      <c r="C48" s="91">
        <f>C41+C46+C47</f>
        <v>0</v>
      </c>
      <c r="D48" s="91">
        <f>D41+D46+D47</f>
        <v>0</v>
      </c>
      <c r="E48" s="91">
        <f>E41+E46+E47</f>
        <v>0</v>
      </c>
      <c r="F48" s="91">
        <f t="shared" si="5"/>
        <v>0</v>
      </c>
      <c r="G48" s="92">
        <f t="shared" si="6"/>
        <v>0</v>
      </c>
      <c r="H48" s="91">
        <f t="shared" si="7"/>
        <v>0</v>
      </c>
      <c r="I48" s="92">
        <f t="shared" si="8"/>
        <v>0</v>
      </c>
    </row>
    <row r="49" spans="1:9" ht="17.149999999999999" customHeight="1" thickBot="1" x14ac:dyDescent="0.35">
      <c r="A49" s="101" t="s">
        <v>124</v>
      </c>
      <c r="B49" s="114"/>
      <c r="C49" s="115"/>
      <c r="D49" s="115"/>
      <c r="E49" s="115"/>
      <c r="F49" s="116"/>
      <c r="G49" s="117"/>
      <c r="H49" s="116"/>
      <c r="I49" s="124"/>
    </row>
    <row r="50" spans="1:9" ht="17.149999999999999" customHeight="1" thickBot="1" x14ac:dyDescent="0.35">
      <c r="A50" s="102" t="s">
        <v>125</v>
      </c>
      <c r="B50" s="103">
        <f>SUM(B51:B54)</f>
        <v>113.39699999999999</v>
      </c>
      <c r="C50" s="104">
        <f>SUM(C51:C54)</f>
        <v>135670.87800000003</v>
      </c>
      <c r="D50" s="104">
        <f>SUM(D51:D54)</f>
        <v>3349</v>
      </c>
      <c r="E50" s="104">
        <f>SUM(E51:E54)</f>
        <v>4255</v>
      </c>
      <c r="F50" s="104">
        <f t="shared" ref="F50:F55" si="9">B50-C50</f>
        <v>-135557.48100000003</v>
      </c>
      <c r="G50" s="105">
        <f t="shared" ref="G50:G55" si="10">IF(C50&lt;&gt;0,(B50-C50)/C50)*100</f>
        <v>-99.91641758226109</v>
      </c>
      <c r="H50" s="104">
        <f t="shared" ref="H50:H55" si="11">D50-E50</f>
        <v>-906</v>
      </c>
      <c r="I50" s="105">
        <f t="shared" ref="I50:I55" si="12">IF(E50&lt;&gt;0,(D50-E50)/E50)*100</f>
        <v>-21.292596944770857</v>
      </c>
    </row>
    <row r="51" spans="1:9" ht="17.149999999999999" customHeight="1" x14ac:dyDescent="0.3">
      <c r="A51" s="119" t="s">
        <v>126</v>
      </c>
      <c r="B51" s="745">
        <v>87.641999999999996</v>
      </c>
      <c r="C51" s="745">
        <v>107477.42200000001</v>
      </c>
      <c r="D51" s="745">
        <v>2699</v>
      </c>
      <c r="E51" s="745">
        <v>3583</v>
      </c>
      <c r="F51" s="646">
        <f t="shared" si="9"/>
        <v>-107389.78</v>
      </c>
      <c r="G51" s="647">
        <f t="shared" si="10"/>
        <v>-99.918455431504483</v>
      </c>
      <c r="H51" s="646">
        <f t="shared" si="11"/>
        <v>-884</v>
      </c>
      <c r="I51" s="647">
        <f t="shared" si="12"/>
        <v>-24.672062517443482</v>
      </c>
    </row>
    <row r="52" spans="1:9" ht="17.149999999999999" customHeight="1" x14ac:dyDescent="0.3">
      <c r="A52" s="119" t="s">
        <v>127</v>
      </c>
      <c r="B52" s="745">
        <v>13.044</v>
      </c>
      <c r="C52" s="745">
        <v>12868.21</v>
      </c>
      <c r="D52" s="745">
        <v>331</v>
      </c>
      <c r="E52" s="745">
        <v>308</v>
      </c>
      <c r="F52" s="646">
        <f t="shared" si="9"/>
        <v>-12855.165999999999</v>
      </c>
      <c r="G52" s="647">
        <f t="shared" si="10"/>
        <v>-99.89863392033547</v>
      </c>
      <c r="H52" s="646">
        <f t="shared" si="11"/>
        <v>23</v>
      </c>
      <c r="I52" s="647">
        <f t="shared" si="12"/>
        <v>7.4675324675324672</v>
      </c>
    </row>
    <row r="53" spans="1:9" ht="17.149999999999999" customHeight="1" x14ac:dyDescent="0.3">
      <c r="A53" s="120" t="s">
        <v>141</v>
      </c>
      <c r="B53" s="745">
        <v>12.711</v>
      </c>
      <c r="C53" s="745">
        <v>15325.245999999999</v>
      </c>
      <c r="D53" s="745">
        <v>319</v>
      </c>
      <c r="E53" s="745">
        <v>364</v>
      </c>
      <c r="F53" s="646">
        <f t="shared" si="9"/>
        <v>-15312.535</v>
      </c>
      <c r="G53" s="647">
        <f t="shared" si="10"/>
        <v>-99.917058427642857</v>
      </c>
      <c r="H53" s="646">
        <f t="shared" si="11"/>
        <v>-45</v>
      </c>
      <c r="I53" s="647">
        <f t="shared" si="12"/>
        <v>-12.362637362637363</v>
      </c>
    </row>
    <row r="54" spans="1:9" ht="17.149999999999999" customHeight="1" x14ac:dyDescent="0.3">
      <c r="A54" s="119" t="s">
        <v>129</v>
      </c>
      <c r="B54" s="745">
        <v>0</v>
      </c>
      <c r="C54" s="745">
        <v>0</v>
      </c>
      <c r="D54" s="745">
        <v>0</v>
      </c>
      <c r="E54" s="745">
        <v>0</v>
      </c>
      <c r="F54" s="646">
        <f t="shared" si="9"/>
        <v>0</v>
      </c>
      <c r="G54" s="647">
        <f t="shared" si="10"/>
        <v>0</v>
      </c>
      <c r="H54" s="646">
        <f t="shared" si="11"/>
        <v>0</v>
      </c>
      <c r="I54" s="647">
        <f t="shared" si="12"/>
        <v>0</v>
      </c>
    </row>
    <row r="55" spans="1:9" ht="17.149999999999999" customHeight="1" x14ac:dyDescent="0.3">
      <c r="A55" s="102" t="s">
        <v>130</v>
      </c>
      <c r="B55" s="745">
        <v>0</v>
      </c>
      <c r="C55" s="745">
        <v>0</v>
      </c>
      <c r="D55" s="745">
        <v>0</v>
      </c>
      <c r="E55" s="745">
        <v>0</v>
      </c>
      <c r="F55" s="646">
        <f t="shared" si="9"/>
        <v>0</v>
      </c>
      <c r="G55" s="647">
        <f t="shared" si="10"/>
        <v>0</v>
      </c>
      <c r="H55" s="646">
        <f t="shared" si="11"/>
        <v>0</v>
      </c>
      <c r="I55" s="647">
        <f t="shared" si="12"/>
        <v>0</v>
      </c>
    </row>
    <row r="56" spans="1:9" ht="17.149999999999999" customHeight="1" x14ac:dyDescent="0.3">
      <c r="A56" s="102"/>
      <c r="B56" s="645">
        <v>0</v>
      </c>
      <c r="C56" s="645">
        <v>0</v>
      </c>
      <c r="D56" s="645"/>
      <c r="E56" s="645"/>
      <c r="F56" s="747"/>
      <c r="G56" s="748"/>
      <c r="H56" s="747"/>
      <c r="I56" s="748"/>
    </row>
    <row r="57" spans="1:9" ht="17.149999999999999" customHeight="1" x14ac:dyDescent="0.3">
      <c r="A57" s="102"/>
      <c r="B57" s="645">
        <v>0</v>
      </c>
      <c r="C57" s="645">
        <v>0</v>
      </c>
      <c r="D57" s="645"/>
      <c r="E57" s="645"/>
      <c r="F57" s="747"/>
      <c r="G57" s="748"/>
      <c r="H57" s="747"/>
      <c r="I57" s="748"/>
    </row>
    <row r="58" spans="1:9" ht="17.149999999999999" customHeight="1" thickBot="1" x14ac:dyDescent="0.35">
      <c r="A58" s="102"/>
      <c r="B58" s="668"/>
      <c r="C58" s="668"/>
      <c r="D58" s="669"/>
      <c r="E58" s="669"/>
      <c r="F58" s="670"/>
      <c r="G58" s="671"/>
      <c r="H58" s="672"/>
      <c r="I58" s="673"/>
    </row>
    <row r="59" spans="1:9" ht="17.149999999999999" customHeight="1" thickBot="1" x14ac:dyDescent="0.35">
      <c r="A59" s="106" t="s">
        <v>131</v>
      </c>
      <c r="B59" s="103">
        <f>B50+B55</f>
        <v>113.39699999999999</v>
      </c>
      <c r="C59" s="104">
        <f>C50+C55</f>
        <v>135670.87800000003</v>
      </c>
      <c r="D59" s="104">
        <f>D50+D55</f>
        <v>3349</v>
      </c>
      <c r="E59" s="104">
        <f>E50+E55</f>
        <v>4255</v>
      </c>
      <c r="F59" s="657">
        <f>B59-C59</f>
        <v>-135557.48100000003</v>
      </c>
      <c r="G59" s="625">
        <f>IF(C59&lt;&gt;0,(B59-C59)/C59)*100</f>
        <v>-99.91641758226109</v>
      </c>
      <c r="H59" s="657">
        <f>D59-E59</f>
        <v>-906</v>
      </c>
      <c r="I59" s="625">
        <f>IF(E59&lt;&gt;0,(D59-E59)/E59)*100</f>
        <v>-21.292596944770857</v>
      </c>
    </row>
    <row r="60" spans="1:9" ht="17.149999999999999" customHeight="1" thickBot="1" x14ac:dyDescent="0.35">
      <c r="A60" s="102"/>
      <c r="B60" s="121"/>
      <c r="C60" s="122"/>
      <c r="D60" s="122"/>
      <c r="E60" s="122"/>
      <c r="F60" s="123"/>
      <c r="G60" s="124"/>
      <c r="H60" s="123"/>
      <c r="I60" s="125"/>
    </row>
    <row r="61" spans="1:9" ht="17.149999999999999" customHeight="1" thickBot="1" x14ac:dyDescent="0.35">
      <c r="A61" s="106" t="s">
        <v>132</v>
      </c>
      <c r="B61" s="103">
        <f>B48+B59</f>
        <v>113.39699999999999</v>
      </c>
      <c r="C61" s="104">
        <f>C48+C59</f>
        <v>135670.87800000003</v>
      </c>
      <c r="D61" s="104">
        <f>D48+D59</f>
        <v>3349</v>
      </c>
      <c r="E61" s="104">
        <f>E48+E59</f>
        <v>4255</v>
      </c>
      <c r="F61" s="104">
        <f>B61-C61</f>
        <v>-135557.48100000003</v>
      </c>
      <c r="G61" s="105">
        <f>IF(C61&lt;&gt;0,(B61-C61)/C61)*100</f>
        <v>-99.91641758226109</v>
      </c>
      <c r="H61" s="104">
        <f>D61-E61</f>
        <v>-906</v>
      </c>
      <c r="I61" s="105">
        <f>IF(E61&lt;&gt;0,(D61-E61)/E61)*100</f>
        <v>-21.292596944770857</v>
      </c>
    </row>
    <row r="62" spans="1:9" ht="17.149999999999999" customHeight="1" x14ac:dyDescent="0.3">
      <c r="A62" s="94"/>
      <c r="B62" s="94"/>
      <c r="C62" s="94"/>
      <c r="D62" s="94"/>
      <c r="E62" s="94"/>
      <c r="F62" s="95"/>
      <c r="G62" s="95"/>
      <c r="H62" s="95"/>
      <c r="I62" s="95"/>
    </row>
    <row r="63" spans="1:9" ht="17.149999999999999" customHeight="1" x14ac:dyDescent="0.3">
      <c r="A63" s="126"/>
      <c r="B63" s="127"/>
      <c r="C63" s="126"/>
      <c r="D63" s="126"/>
      <c r="E63" s="126"/>
      <c r="F63" s="66"/>
      <c r="G63" s="66"/>
      <c r="H63" s="66"/>
      <c r="I63" s="66"/>
    </row>
    <row r="64" spans="1:9" ht="17.149999999999999" customHeight="1" thickBot="1" x14ac:dyDescent="0.35">
      <c r="A64" s="404" t="s">
        <v>142</v>
      </c>
      <c r="B64" s="836"/>
      <c r="C64" s="836"/>
      <c r="D64" s="129"/>
      <c r="E64" s="129"/>
      <c r="F64" s="66"/>
      <c r="G64" s="66"/>
      <c r="H64" s="66"/>
      <c r="I64" s="66"/>
    </row>
    <row r="65" spans="1:9" ht="17.149999999999999" customHeight="1" thickBot="1" x14ac:dyDescent="0.35">
      <c r="A65" s="824" t="s">
        <v>134</v>
      </c>
      <c r="B65" s="820" t="s">
        <v>105</v>
      </c>
      <c r="C65" s="821"/>
      <c r="D65" s="820" t="s">
        <v>106</v>
      </c>
      <c r="E65" s="821"/>
      <c r="F65" s="804" t="s">
        <v>107</v>
      </c>
      <c r="G65" s="805"/>
      <c r="H65" s="805"/>
      <c r="I65" s="806"/>
    </row>
    <row r="66" spans="1:9" ht="17.149999999999999" customHeight="1" thickBot="1" x14ac:dyDescent="0.35">
      <c r="A66" s="825"/>
      <c r="B66" s="324" t="s">
        <v>148</v>
      </c>
      <c r="C66" s="324" t="s">
        <v>149</v>
      </c>
      <c r="D66" s="324" t="s">
        <v>148</v>
      </c>
      <c r="E66" s="324" t="s">
        <v>149</v>
      </c>
      <c r="F66" s="804" t="s">
        <v>105</v>
      </c>
      <c r="G66" s="806"/>
      <c r="H66" s="804" t="s">
        <v>106</v>
      </c>
      <c r="I66" s="806"/>
    </row>
    <row r="67" spans="1:9" ht="17.149999999999999" customHeight="1" x14ac:dyDescent="0.3">
      <c r="A67" s="130"/>
      <c r="B67" s="807"/>
      <c r="C67" s="808"/>
      <c r="D67" s="808"/>
      <c r="E67" s="809"/>
      <c r="F67" s="814" t="s">
        <v>110</v>
      </c>
      <c r="G67" s="816" t="s">
        <v>111</v>
      </c>
      <c r="H67" s="816" t="s">
        <v>112</v>
      </c>
      <c r="I67" s="816" t="s">
        <v>111</v>
      </c>
    </row>
    <row r="68" spans="1:9" ht="17.149999999999999" customHeight="1" thickBot="1" x14ac:dyDescent="0.35">
      <c r="A68" s="131" t="s">
        <v>113</v>
      </c>
      <c r="B68" s="810"/>
      <c r="C68" s="811"/>
      <c r="D68" s="811"/>
      <c r="E68" s="812"/>
      <c r="F68" s="815"/>
      <c r="G68" s="817"/>
      <c r="H68" s="817"/>
      <c r="I68" s="817"/>
    </row>
    <row r="69" spans="1:9" ht="17.149999999999999" customHeight="1" thickBot="1" x14ac:dyDescent="0.35">
      <c r="A69" s="132" t="s">
        <v>135</v>
      </c>
      <c r="B69" s="133">
        <f>B70+B71+B72</f>
        <v>0</v>
      </c>
      <c r="C69" s="91">
        <f>C70+C71+C72</f>
        <v>0</v>
      </c>
      <c r="D69" s="91">
        <f>D70+D71+D72</f>
        <v>0</v>
      </c>
      <c r="E69" s="91">
        <f>E70+E71+E72</f>
        <v>0</v>
      </c>
      <c r="F69" s="91">
        <f t="shared" ref="F69:F75" si="13">B69-C69</f>
        <v>0</v>
      </c>
      <c r="G69" s="92">
        <f t="shared" ref="G69:G75" si="14">IF(C69&lt;&gt;0,(B69-C69)/C69)*100</f>
        <v>0</v>
      </c>
      <c r="H69" s="91">
        <f t="shared" ref="H69:H75" si="15">D69-E69</f>
        <v>0</v>
      </c>
      <c r="I69" s="92">
        <f t="shared" ref="I69:I75" si="16">IF(E69&lt;&gt;0,(D69-E69)/E69)*100</f>
        <v>0</v>
      </c>
    </row>
    <row r="70" spans="1:9" ht="17.149999999999999" customHeight="1" x14ac:dyDescent="0.3">
      <c r="A70" s="132" t="s">
        <v>136</v>
      </c>
      <c r="B70" s="745">
        <f t="shared" ref="B70:E71" si="17">B42+B98</f>
        <v>0</v>
      </c>
      <c r="C70" s="745">
        <f t="shared" si="17"/>
        <v>0</v>
      </c>
      <c r="D70" s="745">
        <f t="shared" si="17"/>
        <v>0</v>
      </c>
      <c r="E70" s="745">
        <f t="shared" si="17"/>
        <v>0</v>
      </c>
      <c r="F70" s="646">
        <f t="shared" si="13"/>
        <v>0</v>
      </c>
      <c r="G70" s="647">
        <f t="shared" si="14"/>
        <v>0</v>
      </c>
      <c r="H70" s="646">
        <f t="shared" si="15"/>
        <v>0</v>
      </c>
      <c r="I70" s="647">
        <f t="shared" si="16"/>
        <v>0</v>
      </c>
    </row>
    <row r="71" spans="1:9" ht="17.149999999999999" customHeight="1" x14ac:dyDescent="0.3">
      <c r="A71" s="132" t="s">
        <v>116</v>
      </c>
      <c r="B71" s="745">
        <f t="shared" si="17"/>
        <v>0</v>
      </c>
      <c r="C71" s="745">
        <f t="shared" si="17"/>
        <v>0</v>
      </c>
      <c r="D71" s="745">
        <f t="shared" si="17"/>
        <v>0</v>
      </c>
      <c r="E71" s="745">
        <f t="shared" si="17"/>
        <v>0</v>
      </c>
      <c r="F71" s="646">
        <f t="shared" si="13"/>
        <v>0</v>
      </c>
      <c r="G71" s="647">
        <f t="shared" si="14"/>
        <v>0</v>
      </c>
      <c r="H71" s="646">
        <f t="shared" si="15"/>
        <v>0</v>
      </c>
      <c r="I71" s="647">
        <f t="shared" si="16"/>
        <v>0</v>
      </c>
    </row>
    <row r="72" spans="1:9" ht="17.149999999999999" customHeight="1" x14ac:dyDescent="0.3">
      <c r="A72" s="132" t="s">
        <v>143</v>
      </c>
      <c r="B72" s="745">
        <f>B45+B100</f>
        <v>0</v>
      </c>
      <c r="C72" s="745">
        <f t="shared" ref="C72:E74" si="18">C45+C100</f>
        <v>0</v>
      </c>
      <c r="D72" s="745">
        <f t="shared" si="18"/>
        <v>0</v>
      </c>
      <c r="E72" s="745">
        <f t="shared" si="18"/>
        <v>0</v>
      </c>
      <c r="F72" s="646">
        <f t="shared" si="13"/>
        <v>0</v>
      </c>
      <c r="G72" s="647">
        <f t="shared" si="14"/>
        <v>0</v>
      </c>
      <c r="H72" s="646">
        <f t="shared" si="15"/>
        <v>0</v>
      </c>
      <c r="I72" s="647">
        <f t="shared" si="16"/>
        <v>0</v>
      </c>
    </row>
    <row r="73" spans="1:9" ht="17.149999999999999" customHeight="1" x14ac:dyDescent="0.3">
      <c r="A73" s="132" t="s">
        <v>139</v>
      </c>
      <c r="B73" s="745">
        <f>B46+B101</f>
        <v>0</v>
      </c>
      <c r="C73" s="745">
        <f t="shared" si="18"/>
        <v>0</v>
      </c>
      <c r="D73" s="745">
        <f t="shared" si="18"/>
        <v>0</v>
      </c>
      <c r="E73" s="745">
        <f t="shared" si="18"/>
        <v>0</v>
      </c>
      <c r="F73" s="646">
        <f t="shared" si="13"/>
        <v>0</v>
      </c>
      <c r="G73" s="647">
        <f t="shared" si="14"/>
        <v>0</v>
      </c>
      <c r="H73" s="646">
        <f t="shared" si="15"/>
        <v>0</v>
      </c>
      <c r="I73" s="647">
        <f t="shared" si="16"/>
        <v>0</v>
      </c>
    </row>
    <row r="74" spans="1:9" ht="17.149999999999999" customHeight="1" thickBot="1" x14ac:dyDescent="0.35">
      <c r="A74" s="132" t="s">
        <v>140</v>
      </c>
      <c r="B74" s="745">
        <f>B47+B102</f>
        <v>0</v>
      </c>
      <c r="C74" s="745">
        <f t="shared" si="18"/>
        <v>0</v>
      </c>
      <c r="D74" s="745">
        <f t="shared" si="18"/>
        <v>0</v>
      </c>
      <c r="E74" s="745">
        <f t="shared" si="18"/>
        <v>0</v>
      </c>
      <c r="F74" s="646">
        <f t="shared" si="13"/>
        <v>0</v>
      </c>
      <c r="G74" s="647">
        <f t="shared" si="14"/>
        <v>0</v>
      </c>
      <c r="H74" s="646">
        <f t="shared" si="15"/>
        <v>0</v>
      </c>
      <c r="I74" s="647">
        <f t="shared" si="16"/>
        <v>0</v>
      </c>
    </row>
    <row r="75" spans="1:9" ht="17.149999999999999" customHeight="1" thickBot="1" x14ac:dyDescent="0.35">
      <c r="A75" s="134" t="s">
        <v>123</v>
      </c>
      <c r="B75" s="135">
        <f>B69+B73+B74</f>
        <v>0</v>
      </c>
      <c r="C75" s="90">
        <f>C69+C73+C74</f>
        <v>0</v>
      </c>
      <c r="D75" s="90">
        <f>D69+D73+D74</f>
        <v>0</v>
      </c>
      <c r="E75" s="91">
        <f>E69+E73+E74</f>
        <v>0</v>
      </c>
      <c r="F75" s="82">
        <f t="shared" si="13"/>
        <v>0</v>
      </c>
      <c r="G75" s="83">
        <f t="shared" si="14"/>
        <v>0</v>
      </c>
      <c r="H75" s="82">
        <f t="shared" si="15"/>
        <v>0</v>
      </c>
      <c r="I75" s="83">
        <f t="shared" si="16"/>
        <v>0</v>
      </c>
    </row>
    <row r="76" spans="1:9" ht="17.149999999999999" customHeight="1" x14ac:dyDescent="0.3">
      <c r="A76" s="136"/>
      <c r="B76" s="107"/>
      <c r="C76" s="108"/>
      <c r="D76" s="108"/>
      <c r="E76" s="108"/>
      <c r="F76" s="110"/>
      <c r="G76" s="110"/>
      <c r="H76" s="110"/>
      <c r="I76" s="137"/>
    </row>
    <row r="77" spans="1:9" ht="17.149999999999999" customHeight="1" thickBot="1" x14ac:dyDescent="0.35">
      <c r="A77" s="131" t="s">
        <v>124</v>
      </c>
      <c r="B77" s="114"/>
      <c r="C77" s="115"/>
      <c r="D77" s="115"/>
      <c r="E77" s="115"/>
      <c r="F77" s="116"/>
      <c r="G77" s="116"/>
      <c r="H77" s="116"/>
      <c r="I77" s="138"/>
    </row>
    <row r="78" spans="1:9" ht="17.149999999999999" customHeight="1" thickBot="1" x14ac:dyDescent="0.35">
      <c r="A78" s="132" t="s">
        <v>125</v>
      </c>
      <c r="B78" s="133">
        <f>SUM(B79:B82)</f>
        <v>121.756</v>
      </c>
      <c r="C78" s="91">
        <f>SUM(C79:C82)</f>
        <v>143297.84600000002</v>
      </c>
      <c r="D78" s="91">
        <f>SUM(D79:D82)</f>
        <v>3570</v>
      </c>
      <c r="E78" s="91">
        <f>SUM(E79:E82)</f>
        <v>4443</v>
      </c>
      <c r="F78" s="91">
        <f t="shared" ref="F78:F83" si="19">B78-C78</f>
        <v>-143176.09000000003</v>
      </c>
      <c r="G78" s="92">
        <f t="shared" ref="G78:G83" si="20">IF(C78&lt;&gt;0,(B78-C78)/C78)*100</f>
        <v>-99.91503291682416</v>
      </c>
      <c r="H78" s="91">
        <f t="shared" ref="H78:H83" si="21">D78-E78</f>
        <v>-873</v>
      </c>
      <c r="I78" s="92">
        <f t="shared" ref="I78:I83" si="22">IF(E78&lt;&gt;0,(D78-E78)/E78)*100</f>
        <v>-19.648885887913572</v>
      </c>
    </row>
    <row r="79" spans="1:9" ht="17.149999999999999" customHeight="1" x14ac:dyDescent="0.3">
      <c r="A79" s="119" t="s">
        <v>126</v>
      </c>
      <c r="B79" s="745">
        <f t="shared" ref="B79:E83" si="23">B51+B107</f>
        <v>93.332999999999998</v>
      </c>
      <c r="C79" s="745">
        <f t="shared" si="23"/>
        <v>112986.31400000001</v>
      </c>
      <c r="D79" s="745">
        <f t="shared" si="23"/>
        <v>2848</v>
      </c>
      <c r="E79" s="745">
        <f t="shared" si="23"/>
        <v>3726</v>
      </c>
      <c r="F79" s="646">
        <f t="shared" si="19"/>
        <v>-112892.98100000001</v>
      </c>
      <c r="G79" s="647">
        <f t="shared" si="20"/>
        <v>-99.917394420000278</v>
      </c>
      <c r="H79" s="646">
        <f t="shared" si="21"/>
        <v>-878</v>
      </c>
      <c r="I79" s="647">
        <f t="shared" si="22"/>
        <v>-23.564143853998925</v>
      </c>
    </row>
    <row r="80" spans="1:9" ht="17.149999999999999" customHeight="1" x14ac:dyDescent="0.3">
      <c r="A80" s="119" t="s">
        <v>144</v>
      </c>
      <c r="B80" s="645">
        <f t="shared" si="23"/>
        <v>13.569000000000001</v>
      </c>
      <c r="C80" s="645">
        <f t="shared" si="23"/>
        <v>13393.675999999999</v>
      </c>
      <c r="D80" s="645">
        <f t="shared" si="23"/>
        <v>348</v>
      </c>
      <c r="E80" s="645">
        <f t="shared" si="23"/>
        <v>314</v>
      </c>
      <c r="F80" s="646">
        <f t="shared" si="19"/>
        <v>-13380.107</v>
      </c>
      <c r="G80" s="647">
        <f t="shared" si="20"/>
        <v>-99.898690994167694</v>
      </c>
      <c r="H80" s="646">
        <f t="shared" si="21"/>
        <v>34</v>
      </c>
      <c r="I80" s="647">
        <f t="shared" si="22"/>
        <v>10.828025477707007</v>
      </c>
    </row>
    <row r="81" spans="1:9" ht="17.149999999999999" customHeight="1" x14ac:dyDescent="0.3">
      <c r="A81" s="120" t="s">
        <v>141</v>
      </c>
      <c r="B81" s="745">
        <f t="shared" si="23"/>
        <v>14.853999999999999</v>
      </c>
      <c r="C81" s="745">
        <f t="shared" si="23"/>
        <v>16917.856</v>
      </c>
      <c r="D81" s="745">
        <f t="shared" si="23"/>
        <v>374</v>
      </c>
      <c r="E81" s="745">
        <f t="shared" si="23"/>
        <v>403</v>
      </c>
      <c r="F81" s="646">
        <f t="shared" si="19"/>
        <v>-16903.002</v>
      </c>
      <c r="G81" s="647">
        <f t="shared" si="20"/>
        <v>-99.912199276314922</v>
      </c>
      <c r="H81" s="646">
        <f t="shared" si="21"/>
        <v>-29</v>
      </c>
      <c r="I81" s="647">
        <f t="shared" si="22"/>
        <v>-7.1960297766749379</v>
      </c>
    </row>
    <row r="82" spans="1:9" ht="17.149999999999999" customHeight="1" x14ac:dyDescent="0.3">
      <c r="A82" s="119" t="s">
        <v>129</v>
      </c>
      <c r="B82" s="745">
        <f t="shared" si="23"/>
        <v>0</v>
      </c>
      <c r="C82" s="745">
        <f t="shared" si="23"/>
        <v>0</v>
      </c>
      <c r="D82" s="745">
        <f t="shared" si="23"/>
        <v>0</v>
      </c>
      <c r="E82" s="745">
        <f t="shared" si="23"/>
        <v>0</v>
      </c>
      <c r="F82" s="646">
        <f t="shared" si="19"/>
        <v>0</v>
      </c>
      <c r="G82" s="647">
        <f t="shared" si="20"/>
        <v>0</v>
      </c>
      <c r="H82" s="646">
        <f t="shared" si="21"/>
        <v>0</v>
      </c>
      <c r="I82" s="647">
        <f t="shared" si="22"/>
        <v>0</v>
      </c>
    </row>
    <row r="83" spans="1:9" ht="17.149999999999999" customHeight="1" x14ac:dyDescent="0.3">
      <c r="A83" s="132" t="s">
        <v>130</v>
      </c>
      <c r="B83" s="745">
        <f t="shared" si="23"/>
        <v>0</v>
      </c>
      <c r="C83" s="745">
        <f t="shared" si="23"/>
        <v>0</v>
      </c>
      <c r="D83" s="745">
        <f t="shared" si="23"/>
        <v>0</v>
      </c>
      <c r="E83" s="745">
        <f t="shared" si="23"/>
        <v>0</v>
      </c>
      <c r="F83" s="646">
        <f t="shared" si="19"/>
        <v>0</v>
      </c>
      <c r="G83" s="647">
        <f t="shared" si="20"/>
        <v>0</v>
      </c>
      <c r="H83" s="646">
        <f t="shared" si="21"/>
        <v>0</v>
      </c>
      <c r="I83" s="647">
        <f t="shared" si="22"/>
        <v>0</v>
      </c>
    </row>
    <row r="84" spans="1:9" ht="17.149999999999999" customHeight="1" x14ac:dyDescent="0.3">
      <c r="A84" s="132"/>
      <c r="B84" s="745"/>
      <c r="C84" s="745"/>
      <c r="D84" s="745"/>
      <c r="E84" s="745"/>
      <c r="F84" s="747"/>
      <c r="G84" s="748"/>
      <c r="H84" s="747"/>
      <c r="I84" s="748"/>
    </row>
    <row r="85" spans="1:9" ht="17.149999999999999" customHeight="1" x14ac:dyDescent="0.3">
      <c r="A85" s="132"/>
      <c r="B85" s="745"/>
      <c r="C85" s="745"/>
      <c r="D85" s="745"/>
      <c r="E85" s="745"/>
      <c r="F85" s="747"/>
      <c r="G85" s="748"/>
      <c r="H85" s="747"/>
      <c r="I85" s="748"/>
    </row>
    <row r="86" spans="1:9" ht="17.149999999999999" customHeight="1" thickBot="1" x14ac:dyDescent="0.35">
      <c r="A86" s="132"/>
      <c r="B86" s="674"/>
      <c r="C86" s="668"/>
      <c r="D86" s="669"/>
      <c r="E86" s="669"/>
      <c r="F86" s="670"/>
      <c r="G86" s="671"/>
      <c r="H86" s="672"/>
      <c r="I86" s="673"/>
    </row>
    <row r="87" spans="1:9" ht="17.149999999999999" customHeight="1" thickBot="1" x14ac:dyDescent="0.35">
      <c r="A87" s="134" t="s">
        <v>131</v>
      </c>
      <c r="B87" s="103">
        <f>B78+B83</f>
        <v>121.756</v>
      </c>
      <c r="C87" s="104">
        <f>C78+C83</f>
        <v>143297.84600000002</v>
      </c>
      <c r="D87" s="104">
        <f>D78+D83</f>
        <v>3570</v>
      </c>
      <c r="E87" s="104">
        <f>E78+E83</f>
        <v>4443</v>
      </c>
      <c r="F87" s="657">
        <f>B87-C87</f>
        <v>-143176.09000000003</v>
      </c>
      <c r="G87" s="625">
        <f>IF(C87&lt;&gt;0,(B87-C87)/C87)*100</f>
        <v>-99.91503291682416</v>
      </c>
      <c r="H87" s="657">
        <f>D87-E87</f>
        <v>-873</v>
      </c>
      <c r="I87" s="625">
        <f>IF(E87&lt;&gt;0,(D87-E87)/E87)*100</f>
        <v>-19.648885887913572</v>
      </c>
    </row>
    <row r="88" spans="1:9" ht="17.149999999999999" customHeight="1" thickBot="1" x14ac:dyDescent="0.35">
      <c r="A88" s="132"/>
      <c r="B88" s="121"/>
      <c r="C88" s="122"/>
      <c r="D88" s="122"/>
      <c r="E88" s="122"/>
      <c r="F88" s="123"/>
      <c r="G88" s="124"/>
      <c r="H88" s="123"/>
      <c r="I88" s="125"/>
    </row>
    <row r="89" spans="1:9" ht="17.149999999999999" customHeight="1" thickBot="1" x14ac:dyDescent="0.35">
      <c r="A89" s="134" t="s">
        <v>132</v>
      </c>
      <c r="B89" s="139">
        <f>B75+B87</f>
        <v>121.756</v>
      </c>
      <c r="C89" s="140">
        <f>C75+C87</f>
        <v>143297.84600000002</v>
      </c>
      <c r="D89" s="140">
        <f>D75+D87</f>
        <v>3570</v>
      </c>
      <c r="E89" s="140">
        <f>E75+E87</f>
        <v>4443</v>
      </c>
      <c r="F89" s="104">
        <f>B89-C89</f>
        <v>-143176.09000000003</v>
      </c>
      <c r="G89" s="105">
        <f>IF(C89&lt;&gt;0,(B89-C89)/C89)*100</f>
        <v>-99.91503291682416</v>
      </c>
      <c r="H89" s="104">
        <f>D89-E89</f>
        <v>-873</v>
      </c>
      <c r="I89" s="105">
        <f>IF(E89&lt;&gt;0,(D89-E89)/E89)*100</f>
        <v>-19.648885887913572</v>
      </c>
    </row>
    <row r="90" spans="1:9" ht="17.149999999999999" customHeight="1" x14ac:dyDescent="0.3">
      <c r="A90" s="94"/>
      <c r="B90" s="94"/>
      <c r="C90" s="94"/>
      <c r="D90" s="94"/>
      <c r="E90" s="94"/>
    </row>
    <row r="91" spans="1:9" ht="17.149999999999999" customHeight="1" x14ac:dyDescent="0.3">
      <c r="A91" s="126"/>
      <c r="B91" s="97"/>
      <c r="C91" s="97"/>
      <c r="D91" s="97"/>
      <c r="E91" s="97"/>
    </row>
    <row r="92" spans="1:9" ht="17.149999999999999" customHeight="1" thickBot="1" x14ac:dyDescent="0.35">
      <c r="A92" s="404" t="s">
        <v>145</v>
      </c>
      <c r="B92" s="836"/>
      <c r="C92" s="836"/>
      <c r="D92" s="129"/>
      <c r="E92" s="129"/>
    </row>
    <row r="93" spans="1:9" ht="17.149999999999999" customHeight="1" thickBot="1" x14ac:dyDescent="0.35">
      <c r="A93" s="824" t="s">
        <v>134</v>
      </c>
      <c r="B93" s="820" t="s">
        <v>105</v>
      </c>
      <c r="C93" s="835"/>
      <c r="D93" s="820" t="s">
        <v>106</v>
      </c>
      <c r="E93" s="821"/>
      <c r="F93" s="804" t="s">
        <v>107</v>
      </c>
      <c r="G93" s="805"/>
      <c r="H93" s="805"/>
      <c r="I93" s="806"/>
    </row>
    <row r="94" spans="1:9" ht="17.149999999999999" customHeight="1" thickBot="1" x14ac:dyDescent="0.35">
      <c r="A94" s="825"/>
      <c r="B94" s="324" t="s">
        <v>148</v>
      </c>
      <c r="C94" s="324" t="s">
        <v>149</v>
      </c>
      <c r="D94" s="324" t="s">
        <v>148</v>
      </c>
      <c r="E94" s="324" t="s">
        <v>149</v>
      </c>
      <c r="F94" s="804" t="s">
        <v>105</v>
      </c>
      <c r="G94" s="806"/>
      <c r="H94" s="804" t="s">
        <v>106</v>
      </c>
      <c r="I94" s="806"/>
    </row>
    <row r="95" spans="1:9" ht="17.149999999999999" customHeight="1" x14ac:dyDescent="0.3">
      <c r="A95" s="130"/>
      <c r="B95" s="807"/>
      <c r="C95" s="808"/>
      <c r="D95" s="808"/>
      <c r="E95" s="809"/>
      <c r="F95" s="814" t="s">
        <v>110</v>
      </c>
      <c r="G95" s="816" t="s">
        <v>111</v>
      </c>
      <c r="H95" s="816" t="s">
        <v>112</v>
      </c>
      <c r="I95" s="816" t="s">
        <v>111</v>
      </c>
    </row>
    <row r="96" spans="1:9" ht="17.149999999999999" customHeight="1" thickBot="1" x14ac:dyDescent="0.35">
      <c r="A96" s="131" t="s">
        <v>113</v>
      </c>
      <c r="B96" s="810"/>
      <c r="C96" s="811"/>
      <c r="D96" s="811"/>
      <c r="E96" s="812"/>
      <c r="F96" s="815"/>
      <c r="G96" s="817"/>
      <c r="H96" s="817"/>
      <c r="I96" s="817"/>
    </row>
    <row r="97" spans="1:9" ht="17.149999999999999" customHeight="1" thickBot="1" x14ac:dyDescent="0.35">
      <c r="A97" s="132" t="s">
        <v>135</v>
      </c>
      <c r="B97" s="91">
        <f>B98+B99+B100</f>
        <v>0</v>
      </c>
      <c r="C97" s="91">
        <f>C98+C99+C100</f>
        <v>0</v>
      </c>
      <c r="D97" s="91">
        <f>D98+D99+D100</f>
        <v>0</v>
      </c>
      <c r="E97" s="91">
        <f>E98+E99+E100</f>
        <v>0</v>
      </c>
      <c r="F97" s="91">
        <f t="shared" ref="F97:F103" si="24">B97-C97</f>
        <v>0</v>
      </c>
      <c r="G97" s="92">
        <f t="shared" ref="G97:G103" si="25">IF(C97&lt;&gt;0,(B97-C97)/C97)*100</f>
        <v>0</v>
      </c>
      <c r="H97" s="91">
        <f t="shared" ref="H97:H103" si="26">D97-E97</f>
        <v>0</v>
      </c>
      <c r="I97" s="92">
        <f t="shared" ref="I97:I103" si="27">IF(E97&lt;&gt;0,(D97-E97)/E97)*100</f>
        <v>0</v>
      </c>
    </row>
    <row r="98" spans="1:9" ht="17.149999999999999" customHeight="1" x14ac:dyDescent="0.3">
      <c r="A98" s="132" t="s">
        <v>136</v>
      </c>
      <c r="B98" s="746">
        <v>0</v>
      </c>
      <c r="C98" s="746">
        <v>0</v>
      </c>
      <c r="D98" s="746">
        <v>0</v>
      </c>
      <c r="E98" s="746">
        <v>0</v>
      </c>
      <c r="F98" s="646">
        <f t="shared" si="24"/>
        <v>0</v>
      </c>
      <c r="G98" s="647">
        <f t="shared" si="25"/>
        <v>0</v>
      </c>
      <c r="H98" s="646">
        <f t="shared" si="26"/>
        <v>0</v>
      </c>
      <c r="I98" s="647">
        <f t="shared" si="27"/>
        <v>0</v>
      </c>
    </row>
    <row r="99" spans="1:9" ht="17.149999999999999" customHeight="1" x14ac:dyDescent="0.3">
      <c r="A99" s="132" t="s">
        <v>116</v>
      </c>
      <c r="B99" s="746">
        <v>0</v>
      </c>
      <c r="C99" s="746">
        <v>0</v>
      </c>
      <c r="D99" s="746">
        <v>0</v>
      </c>
      <c r="E99" s="746">
        <v>0</v>
      </c>
      <c r="F99" s="646">
        <f t="shared" si="24"/>
        <v>0</v>
      </c>
      <c r="G99" s="647">
        <f t="shared" si="25"/>
        <v>0</v>
      </c>
      <c r="H99" s="646">
        <f t="shared" si="26"/>
        <v>0</v>
      </c>
      <c r="I99" s="647">
        <f t="shared" si="27"/>
        <v>0</v>
      </c>
    </row>
    <row r="100" spans="1:9" ht="17.149999999999999" customHeight="1" x14ac:dyDescent="0.3">
      <c r="A100" s="132" t="s">
        <v>143</v>
      </c>
      <c r="B100" s="746">
        <v>0</v>
      </c>
      <c r="C100" s="746">
        <v>0</v>
      </c>
      <c r="D100" s="746">
        <v>0</v>
      </c>
      <c r="E100" s="746">
        <v>0</v>
      </c>
      <c r="F100" s="646">
        <f t="shared" si="24"/>
        <v>0</v>
      </c>
      <c r="G100" s="647">
        <f t="shared" si="25"/>
        <v>0</v>
      </c>
      <c r="H100" s="646">
        <f t="shared" si="26"/>
        <v>0</v>
      </c>
      <c r="I100" s="647">
        <f t="shared" si="27"/>
        <v>0</v>
      </c>
    </row>
    <row r="101" spans="1:9" ht="17.149999999999999" customHeight="1" x14ac:dyDescent="0.3">
      <c r="A101" s="132" t="s">
        <v>139</v>
      </c>
      <c r="B101" s="746">
        <v>0</v>
      </c>
      <c r="C101" s="746">
        <v>0</v>
      </c>
      <c r="D101" s="746">
        <v>0</v>
      </c>
      <c r="E101" s="746">
        <v>0</v>
      </c>
      <c r="F101" s="646">
        <f t="shared" si="24"/>
        <v>0</v>
      </c>
      <c r="G101" s="647">
        <f t="shared" si="25"/>
        <v>0</v>
      </c>
      <c r="H101" s="646">
        <f t="shared" si="26"/>
        <v>0</v>
      </c>
      <c r="I101" s="647">
        <f t="shared" si="27"/>
        <v>0</v>
      </c>
    </row>
    <row r="102" spans="1:9" ht="17.149999999999999" customHeight="1" thickBot="1" x14ac:dyDescent="0.35">
      <c r="A102" s="132" t="s">
        <v>140</v>
      </c>
      <c r="B102" s="746">
        <v>0</v>
      </c>
      <c r="C102" s="746">
        <v>0</v>
      </c>
      <c r="D102" s="746">
        <v>0</v>
      </c>
      <c r="E102" s="746">
        <v>0</v>
      </c>
      <c r="F102" s="646">
        <f t="shared" si="24"/>
        <v>0</v>
      </c>
      <c r="G102" s="647">
        <f t="shared" si="25"/>
        <v>0</v>
      </c>
      <c r="H102" s="646">
        <f t="shared" si="26"/>
        <v>0</v>
      </c>
      <c r="I102" s="647">
        <f t="shared" si="27"/>
        <v>0</v>
      </c>
    </row>
    <row r="103" spans="1:9" ht="17.149999999999999" customHeight="1" thickBot="1" x14ac:dyDescent="0.35">
      <c r="A103" s="134" t="s">
        <v>123</v>
      </c>
      <c r="B103" s="81">
        <f>B97+B101+B102</f>
        <v>0</v>
      </c>
      <c r="C103" s="81">
        <f>C97+C101+C102</f>
        <v>0</v>
      </c>
      <c r="D103" s="81">
        <f>D97+D101+D102</f>
        <v>0</v>
      </c>
      <c r="E103" s="82">
        <f>E97+E101+E102</f>
        <v>0</v>
      </c>
      <c r="F103" s="91">
        <f t="shared" si="24"/>
        <v>0</v>
      </c>
      <c r="G103" s="92">
        <f t="shared" si="25"/>
        <v>0</v>
      </c>
      <c r="H103" s="91">
        <f t="shared" si="26"/>
        <v>0</v>
      </c>
      <c r="I103" s="92">
        <f t="shared" si="27"/>
        <v>0</v>
      </c>
    </row>
    <row r="104" spans="1:9" ht="17.149999999999999" customHeight="1" x14ac:dyDescent="0.3">
      <c r="A104" s="142"/>
      <c r="B104" s="107"/>
      <c r="C104" s="108"/>
      <c r="D104" s="109"/>
      <c r="E104" s="108"/>
      <c r="F104" s="110"/>
      <c r="G104" s="111"/>
      <c r="H104" s="112"/>
      <c r="I104" s="113"/>
    </row>
    <row r="105" spans="1:9" ht="17.149999999999999" customHeight="1" thickBot="1" x14ac:dyDescent="0.35">
      <c r="A105" s="143" t="s">
        <v>124</v>
      </c>
      <c r="B105" s="114"/>
      <c r="C105" s="115"/>
      <c r="D105" s="115"/>
      <c r="E105" s="115"/>
      <c r="F105" s="116"/>
      <c r="G105" s="117"/>
      <c r="H105" s="116"/>
      <c r="I105" s="118"/>
    </row>
    <row r="106" spans="1:9" ht="17.149999999999999" customHeight="1" thickBot="1" x14ac:dyDescent="0.35">
      <c r="A106" s="132" t="s">
        <v>125</v>
      </c>
      <c r="B106" s="104">
        <f>SUM(B107:B110)</f>
        <v>8.359</v>
      </c>
      <c r="C106" s="104">
        <f>SUM(C107:C110)</f>
        <v>7626.9679999999998</v>
      </c>
      <c r="D106" s="104">
        <f>SUM(D107:D110)</f>
        <v>221</v>
      </c>
      <c r="E106" s="104">
        <f>SUM(E107:E110)</f>
        <v>188</v>
      </c>
      <c r="F106" s="91">
        <f t="shared" ref="F106:F111" si="28">B106-C106</f>
        <v>-7618.6089999999995</v>
      </c>
      <c r="G106" s="92">
        <f t="shared" ref="G106:G111" si="29">IF(C106&lt;&gt;0,(B106-C106)/C106)*100</f>
        <v>-99.890402057541081</v>
      </c>
      <c r="H106" s="91">
        <f t="shared" ref="H106:H111" si="30">D106-E106</f>
        <v>33</v>
      </c>
      <c r="I106" s="92">
        <f t="shared" ref="I106:I111" si="31">IF(E106&lt;&gt;0,(D106-E106)/E106)*100</f>
        <v>17.553191489361701</v>
      </c>
    </row>
    <row r="107" spans="1:9" ht="17.149999999999999" customHeight="1" x14ac:dyDescent="0.3">
      <c r="A107" s="119" t="s">
        <v>126</v>
      </c>
      <c r="B107" s="746">
        <v>5.6909999999999998</v>
      </c>
      <c r="C107" s="746">
        <v>5508.8919999999998</v>
      </c>
      <c r="D107" s="746">
        <v>149</v>
      </c>
      <c r="E107" s="746">
        <v>143</v>
      </c>
      <c r="F107" s="646">
        <f t="shared" si="28"/>
        <v>-5503.201</v>
      </c>
      <c r="G107" s="647">
        <f t="shared" si="29"/>
        <v>-99.896694289886241</v>
      </c>
      <c r="H107" s="646">
        <f t="shared" si="30"/>
        <v>6</v>
      </c>
      <c r="I107" s="647">
        <f t="shared" si="31"/>
        <v>4.1958041958041958</v>
      </c>
    </row>
    <row r="108" spans="1:9" ht="17.149999999999999" customHeight="1" x14ac:dyDescent="0.3">
      <c r="A108" s="119" t="s">
        <v>144</v>
      </c>
      <c r="B108" s="746">
        <v>0.52500000000000002</v>
      </c>
      <c r="C108" s="746">
        <v>525.46600000000001</v>
      </c>
      <c r="D108" s="746">
        <v>17</v>
      </c>
      <c r="E108" s="746">
        <v>6</v>
      </c>
      <c r="F108" s="646">
        <f t="shared" si="28"/>
        <v>-524.94100000000003</v>
      </c>
      <c r="G108" s="647">
        <f t="shared" si="29"/>
        <v>-99.900088683187889</v>
      </c>
      <c r="H108" s="646">
        <f t="shared" si="30"/>
        <v>11</v>
      </c>
      <c r="I108" s="647">
        <f t="shared" si="31"/>
        <v>183.33333333333331</v>
      </c>
    </row>
    <row r="109" spans="1:9" ht="17.149999999999999" customHeight="1" x14ac:dyDescent="0.3">
      <c r="A109" s="120" t="s">
        <v>141</v>
      </c>
      <c r="B109" s="746">
        <v>2.1429999999999998</v>
      </c>
      <c r="C109" s="746">
        <v>1592.61</v>
      </c>
      <c r="D109" s="746">
        <v>55</v>
      </c>
      <c r="E109" s="746">
        <v>39</v>
      </c>
      <c r="F109" s="646">
        <f t="shared" si="28"/>
        <v>-1590.4669999999999</v>
      </c>
      <c r="G109" s="647">
        <f t="shared" si="29"/>
        <v>-99.865441005644811</v>
      </c>
      <c r="H109" s="646">
        <f t="shared" si="30"/>
        <v>16</v>
      </c>
      <c r="I109" s="647">
        <f t="shared" si="31"/>
        <v>41.025641025641022</v>
      </c>
    </row>
    <row r="110" spans="1:9" ht="17.149999999999999" customHeight="1" x14ac:dyDescent="0.3">
      <c r="A110" s="119" t="s">
        <v>129</v>
      </c>
      <c r="B110" s="746">
        <v>0</v>
      </c>
      <c r="C110" s="746">
        <v>0</v>
      </c>
      <c r="D110" s="746">
        <v>0</v>
      </c>
      <c r="E110" s="746">
        <v>0</v>
      </c>
      <c r="F110" s="646">
        <f t="shared" si="28"/>
        <v>0</v>
      </c>
      <c r="G110" s="647">
        <f t="shared" si="29"/>
        <v>0</v>
      </c>
      <c r="H110" s="646">
        <f t="shared" si="30"/>
        <v>0</v>
      </c>
      <c r="I110" s="647">
        <f t="shared" si="31"/>
        <v>0</v>
      </c>
    </row>
    <row r="111" spans="1:9" ht="17.149999999999999" customHeight="1" x14ac:dyDescent="0.3">
      <c r="A111" s="132" t="s">
        <v>130</v>
      </c>
      <c r="B111" s="746">
        <v>0</v>
      </c>
      <c r="C111" s="746">
        <v>0</v>
      </c>
      <c r="D111" s="746">
        <v>0</v>
      </c>
      <c r="E111" s="746">
        <v>0</v>
      </c>
      <c r="F111" s="646">
        <f t="shared" si="28"/>
        <v>0</v>
      </c>
      <c r="G111" s="647">
        <f t="shared" si="29"/>
        <v>0</v>
      </c>
      <c r="H111" s="646">
        <f t="shared" si="30"/>
        <v>0</v>
      </c>
      <c r="I111" s="647">
        <f t="shared" si="31"/>
        <v>0</v>
      </c>
    </row>
    <row r="112" spans="1:9" ht="17.149999999999999" customHeight="1" x14ac:dyDescent="0.3">
      <c r="A112" s="132"/>
      <c r="B112" s="645">
        <v>0</v>
      </c>
      <c r="C112" s="645">
        <v>0</v>
      </c>
      <c r="D112" s="645"/>
      <c r="E112" s="645"/>
      <c r="F112" s="747"/>
      <c r="G112" s="748"/>
      <c r="H112" s="747"/>
      <c r="I112" s="748"/>
    </row>
    <row r="113" spans="1:10" ht="17.149999999999999" customHeight="1" x14ac:dyDescent="0.3">
      <c r="A113" s="132"/>
      <c r="B113" s="645">
        <v>0</v>
      </c>
      <c r="C113" s="645">
        <v>0</v>
      </c>
      <c r="D113" s="645"/>
      <c r="E113" s="645"/>
      <c r="F113" s="747"/>
      <c r="G113" s="748"/>
      <c r="H113" s="747"/>
      <c r="I113" s="748"/>
    </row>
    <row r="114" spans="1:10" ht="17.149999999999999" customHeight="1" thickBot="1" x14ac:dyDescent="0.35">
      <c r="A114" s="132"/>
      <c r="B114" s="668"/>
      <c r="C114" s="668"/>
      <c r="D114" s="669"/>
      <c r="E114" s="669"/>
      <c r="F114" s="670"/>
      <c r="G114" s="671"/>
      <c r="H114" s="672"/>
      <c r="I114" s="673"/>
    </row>
    <row r="115" spans="1:10" ht="17.149999999999999" customHeight="1" thickBot="1" x14ac:dyDescent="0.35">
      <c r="A115" s="134" t="s">
        <v>131</v>
      </c>
      <c r="B115" s="104">
        <f>B106+B111</f>
        <v>8.359</v>
      </c>
      <c r="C115" s="104">
        <f>C106+C111</f>
        <v>7626.9679999999998</v>
      </c>
      <c r="D115" s="104">
        <f>D106+D111</f>
        <v>221</v>
      </c>
      <c r="E115" s="104">
        <f>E106+E111</f>
        <v>188</v>
      </c>
      <c r="F115" s="657">
        <f>B115-C115</f>
        <v>-7618.6089999999995</v>
      </c>
      <c r="G115" s="625">
        <f>IF(C115&lt;&gt;0,(B115-C115)/C115)*100</f>
        <v>-99.890402057541081</v>
      </c>
      <c r="H115" s="657">
        <f>D115-E115</f>
        <v>33</v>
      </c>
      <c r="I115" s="625">
        <f>IF(E115&lt;&gt;0,(D115-E115)/E115)*100</f>
        <v>17.553191489361701</v>
      </c>
    </row>
    <row r="116" spans="1:10" ht="17.149999999999999" customHeight="1" thickBot="1" x14ac:dyDescent="0.35">
      <c r="A116" s="132"/>
      <c r="B116" s="121"/>
      <c r="C116" s="122"/>
      <c r="D116" s="122"/>
      <c r="E116" s="122"/>
      <c r="F116" s="123"/>
      <c r="G116" s="124"/>
      <c r="H116" s="123"/>
      <c r="I116" s="125"/>
    </row>
    <row r="117" spans="1:10" ht="17.149999999999999" customHeight="1" thickBot="1" x14ac:dyDescent="0.35">
      <c r="A117" s="134" t="s">
        <v>132</v>
      </c>
      <c r="B117" s="104">
        <f>B103+B115</f>
        <v>8.359</v>
      </c>
      <c r="C117" s="104">
        <f>C103+C115</f>
        <v>7626.9679999999998</v>
      </c>
      <c r="D117" s="104">
        <f>D103+D115</f>
        <v>221</v>
      </c>
      <c r="E117" s="104">
        <f>E103+E115</f>
        <v>188</v>
      </c>
      <c r="F117" s="104">
        <f>B117-C117</f>
        <v>-7618.6089999999995</v>
      </c>
      <c r="G117" s="105">
        <f>IF(C117&lt;&gt;0,(B117-C117)/C117)*100</f>
        <v>-99.890402057541081</v>
      </c>
      <c r="H117" s="104">
        <f>D117-E117</f>
        <v>33</v>
      </c>
      <c r="I117" s="105">
        <f>IF(E117&lt;&gt;0,(D117-E117)/E117)*100</f>
        <v>17.553191489361701</v>
      </c>
    </row>
    <row r="118" spans="1:10" x14ac:dyDescent="0.3">
      <c r="J118"/>
    </row>
    <row r="119" spans="1:10" x14ac:dyDescent="0.3">
      <c r="J119"/>
    </row>
    <row r="120" spans="1:10" ht="15.5" x14ac:dyDescent="0.35">
      <c r="B120" s="217">
        <f t="shared" ref="B120:E122" si="32">B41-B69+B97</f>
        <v>0</v>
      </c>
      <c r="C120" s="217">
        <f t="shared" si="32"/>
        <v>0</v>
      </c>
      <c r="D120" s="217">
        <f t="shared" si="32"/>
        <v>0</v>
      </c>
      <c r="E120" s="217">
        <f t="shared" si="32"/>
        <v>0</v>
      </c>
      <c r="J120"/>
    </row>
    <row r="121" spans="1:10" ht="15.5" x14ac:dyDescent="0.35">
      <c r="B121" s="217">
        <f t="shared" si="32"/>
        <v>0</v>
      </c>
      <c r="C121" s="217">
        <f t="shared" si="32"/>
        <v>0</v>
      </c>
      <c r="D121" s="217">
        <f t="shared" si="32"/>
        <v>0</v>
      </c>
      <c r="E121" s="217">
        <f t="shared" si="32"/>
        <v>0</v>
      </c>
      <c r="J121"/>
    </row>
    <row r="122" spans="1:10" ht="15.5" x14ac:dyDescent="0.35">
      <c r="B122" s="217">
        <f t="shared" si="32"/>
        <v>0</v>
      </c>
      <c r="C122" s="217">
        <f t="shared" si="32"/>
        <v>0</v>
      </c>
      <c r="D122" s="217">
        <f t="shared" si="32"/>
        <v>0</v>
      </c>
      <c r="E122" s="217">
        <f t="shared" si="32"/>
        <v>0</v>
      </c>
      <c r="J122"/>
    </row>
    <row r="123" spans="1:10" ht="15.5" x14ac:dyDescent="0.35">
      <c r="B123" s="217">
        <f t="shared" ref="B123:E127" si="33">B45-B72+B100</f>
        <v>0</v>
      </c>
      <c r="C123" s="217">
        <f t="shared" si="33"/>
        <v>0</v>
      </c>
      <c r="D123" s="217">
        <f t="shared" si="33"/>
        <v>0</v>
      </c>
      <c r="E123" s="217">
        <f t="shared" si="33"/>
        <v>0</v>
      </c>
      <c r="J123"/>
    </row>
    <row r="124" spans="1:10" ht="15.5" x14ac:dyDescent="0.35">
      <c r="B124" s="217">
        <f t="shared" si="33"/>
        <v>0</v>
      </c>
      <c r="C124" s="217">
        <f t="shared" si="33"/>
        <v>0</v>
      </c>
      <c r="D124" s="217">
        <f t="shared" si="33"/>
        <v>0</v>
      </c>
      <c r="E124" s="217">
        <f t="shared" si="33"/>
        <v>0</v>
      </c>
      <c r="J124"/>
    </row>
    <row r="125" spans="1:10" ht="15.5" x14ac:dyDescent="0.35">
      <c r="B125" s="217">
        <f t="shared" si="33"/>
        <v>0</v>
      </c>
      <c r="C125" s="217">
        <f t="shared" si="33"/>
        <v>0</v>
      </c>
      <c r="D125" s="217">
        <f t="shared" si="33"/>
        <v>0</v>
      </c>
      <c r="E125" s="217">
        <f t="shared" si="33"/>
        <v>0</v>
      </c>
      <c r="J125"/>
    </row>
    <row r="126" spans="1:10" ht="15.5" x14ac:dyDescent="0.35">
      <c r="B126" s="217">
        <f t="shared" si="33"/>
        <v>0</v>
      </c>
      <c r="C126" s="217">
        <f t="shared" si="33"/>
        <v>0</v>
      </c>
      <c r="D126" s="217">
        <f t="shared" si="33"/>
        <v>0</v>
      </c>
      <c r="E126" s="217">
        <f t="shared" si="33"/>
        <v>0</v>
      </c>
      <c r="J126"/>
    </row>
    <row r="127" spans="1:10" ht="15.5" x14ac:dyDescent="0.35">
      <c r="B127" s="217">
        <f t="shared" si="33"/>
        <v>0</v>
      </c>
      <c r="C127" s="217">
        <f t="shared" si="33"/>
        <v>0</v>
      </c>
      <c r="D127" s="217">
        <f t="shared" si="33"/>
        <v>0</v>
      </c>
      <c r="E127" s="217">
        <f t="shared" si="33"/>
        <v>0</v>
      </c>
      <c r="J127"/>
    </row>
    <row r="128" spans="1:10" ht="15.5" x14ac:dyDescent="0.35">
      <c r="B128" s="217">
        <f t="shared" ref="B128:E140" si="34">B49-B77+B105</f>
        <v>0</v>
      </c>
      <c r="C128" s="217">
        <f t="shared" si="34"/>
        <v>0</v>
      </c>
      <c r="D128" s="217">
        <f t="shared" si="34"/>
        <v>0</v>
      </c>
      <c r="E128" s="217">
        <f t="shared" si="34"/>
        <v>0</v>
      </c>
      <c r="J128"/>
    </row>
    <row r="129" spans="1:5" customFormat="1" ht="15.5" x14ac:dyDescent="0.35">
      <c r="A129" s="347"/>
      <c r="B129" s="217">
        <f t="shared" si="34"/>
        <v>0</v>
      </c>
      <c r="C129" s="217">
        <f t="shared" si="34"/>
        <v>0</v>
      </c>
      <c r="D129" s="217">
        <f t="shared" si="34"/>
        <v>0</v>
      </c>
      <c r="E129" s="217">
        <f t="shared" si="34"/>
        <v>0</v>
      </c>
    </row>
    <row r="130" spans="1:5" customFormat="1" ht="15.5" x14ac:dyDescent="0.35">
      <c r="A130" s="347"/>
      <c r="B130" s="217">
        <f t="shared" si="34"/>
        <v>0</v>
      </c>
      <c r="C130" s="217">
        <f t="shared" si="34"/>
        <v>-7.2759576141834259E-12</v>
      </c>
      <c r="D130" s="217">
        <f t="shared" si="34"/>
        <v>0</v>
      </c>
      <c r="E130" s="217">
        <f t="shared" si="34"/>
        <v>0</v>
      </c>
    </row>
    <row r="131" spans="1:5" customFormat="1" ht="15.5" x14ac:dyDescent="0.35">
      <c r="A131" s="347"/>
      <c r="B131" s="217">
        <f t="shared" si="34"/>
        <v>0</v>
      </c>
      <c r="C131" s="217">
        <f t="shared" si="34"/>
        <v>0</v>
      </c>
      <c r="D131" s="217">
        <f t="shared" si="34"/>
        <v>0</v>
      </c>
      <c r="E131" s="217">
        <f t="shared" si="34"/>
        <v>0</v>
      </c>
    </row>
    <row r="132" spans="1:5" customFormat="1" ht="15.5" x14ac:dyDescent="0.35">
      <c r="A132" s="347"/>
      <c r="B132" s="217">
        <f t="shared" si="34"/>
        <v>0</v>
      </c>
      <c r="C132" s="217">
        <f t="shared" si="34"/>
        <v>0</v>
      </c>
      <c r="D132" s="217">
        <f t="shared" si="34"/>
        <v>0</v>
      </c>
      <c r="E132" s="217">
        <f t="shared" si="34"/>
        <v>0</v>
      </c>
    </row>
    <row r="133" spans="1:5" customFormat="1" ht="15.5" x14ac:dyDescent="0.35">
      <c r="A133" s="347"/>
      <c r="B133" s="217">
        <f t="shared" si="34"/>
        <v>0</v>
      </c>
      <c r="C133" s="217">
        <f t="shared" si="34"/>
        <v>0</v>
      </c>
      <c r="D133" s="217">
        <f t="shared" si="34"/>
        <v>0</v>
      </c>
      <c r="E133" s="217">
        <f t="shared" si="34"/>
        <v>0</v>
      </c>
    </row>
    <row r="134" spans="1:5" customFormat="1" ht="15.5" x14ac:dyDescent="0.35">
      <c r="A134" s="347"/>
      <c r="B134" s="217">
        <f t="shared" si="34"/>
        <v>0</v>
      </c>
      <c r="C134" s="217">
        <f t="shared" si="34"/>
        <v>0</v>
      </c>
      <c r="D134" s="217">
        <f t="shared" si="34"/>
        <v>0</v>
      </c>
      <c r="E134" s="217">
        <f t="shared" si="34"/>
        <v>0</v>
      </c>
    </row>
    <row r="135" spans="1:5" customFormat="1" ht="15.5" x14ac:dyDescent="0.35">
      <c r="A135" s="347"/>
      <c r="B135" s="217">
        <f t="shared" si="34"/>
        <v>0</v>
      </c>
      <c r="C135" s="217">
        <f t="shared" si="34"/>
        <v>0</v>
      </c>
      <c r="D135" s="217">
        <f t="shared" si="34"/>
        <v>0</v>
      </c>
      <c r="E135" s="217">
        <f t="shared" si="34"/>
        <v>0</v>
      </c>
    </row>
    <row r="136" spans="1:5" customFormat="1" ht="15.5" x14ac:dyDescent="0.35">
      <c r="A136" s="347"/>
      <c r="B136" s="217">
        <f t="shared" si="34"/>
        <v>0</v>
      </c>
      <c r="C136" s="217">
        <f t="shared" si="34"/>
        <v>0</v>
      </c>
      <c r="D136" s="217">
        <f t="shared" si="34"/>
        <v>0</v>
      </c>
      <c r="E136" s="217">
        <f t="shared" si="34"/>
        <v>0</v>
      </c>
    </row>
    <row r="137" spans="1:5" customFormat="1" ht="15.5" x14ac:dyDescent="0.35">
      <c r="A137" s="347"/>
      <c r="B137" s="217">
        <f t="shared" si="34"/>
        <v>0</v>
      </c>
      <c r="C137" s="217">
        <f t="shared" si="34"/>
        <v>0</v>
      </c>
      <c r="D137" s="217">
        <f t="shared" si="34"/>
        <v>0</v>
      </c>
      <c r="E137" s="217">
        <f t="shared" si="34"/>
        <v>0</v>
      </c>
    </row>
    <row r="138" spans="1:5" customFormat="1" ht="15.5" x14ac:dyDescent="0.35">
      <c r="A138" s="347"/>
      <c r="B138" s="217">
        <f t="shared" si="34"/>
        <v>0</v>
      </c>
      <c r="C138" s="217">
        <f t="shared" si="34"/>
        <v>0</v>
      </c>
      <c r="D138" s="217">
        <f t="shared" si="34"/>
        <v>0</v>
      </c>
      <c r="E138" s="217">
        <f t="shared" si="34"/>
        <v>0</v>
      </c>
    </row>
    <row r="139" spans="1:5" customFormat="1" ht="15.5" x14ac:dyDescent="0.35">
      <c r="A139" s="347"/>
      <c r="B139" s="217">
        <f t="shared" si="34"/>
        <v>0</v>
      </c>
      <c r="C139" s="217">
        <f t="shared" si="34"/>
        <v>0</v>
      </c>
      <c r="D139" s="217">
        <f t="shared" si="34"/>
        <v>0</v>
      </c>
      <c r="E139" s="217">
        <f t="shared" si="34"/>
        <v>0</v>
      </c>
    </row>
    <row r="140" spans="1:5" customFormat="1" ht="15.5" x14ac:dyDescent="0.35">
      <c r="A140" s="347"/>
      <c r="B140" s="217">
        <f t="shared" si="34"/>
        <v>0</v>
      </c>
      <c r="C140" s="217">
        <f t="shared" si="34"/>
        <v>0</v>
      </c>
      <c r="D140" s="217">
        <f t="shared" si="34"/>
        <v>0</v>
      </c>
      <c r="E140" s="217">
        <f t="shared" si="34"/>
        <v>0</v>
      </c>
    </row>
  </sheetData>
  <mergeCells count="49">
    <mergeCell ref="B64:C64"/>
    <mergeCell ref="A65:A66"/>
    <mergeCell ref="B92:C92"/>
    <mergeCell ref="A3:E3"/>
    <mergeCell ref="B5:C5"/>
    <mergeCell ref="A8:A9"/>
    <mergeCell ref="B8:E9"/>
    <mergeCell ref="A37:A38"/>
    <mergeCell ref="F6:I6"/>
    <mergeCell ref="F7:G7"/>
    <mergeCell ref="H7:I7"/>
    <mergeCell ref="B6:C6"/>
    <mergeCell ref="D6:E6"/>
    <mergeCell ref="F8:F9"/>
    <mergeCell ref="G8:G9"/>
    <mergeCell ref="H8:H9"/>
    <mergeCell ref="I8:I9"/>
    <mergeCell ref="B36:C36"/>
    <mergeCell ref="F37:I37"/>
    <mergeCell ref="F38:G38"/>
    <mergeCell ref="H38:I38"/>
    <mergeCell ref="B39:E40"/>
    <mergeCell ref="F39:F40"/>
    <mergeCell ref="G39:G40"/>
    <mergeCell ref="H39:H40"/>
    <mergeCell ref="I39:I40"/>
    <mergeCell ref="B37:C37"/>
    <mergeCell ref="D37:E37"/>
    <mergeCell ref="F65:I65"/>
    <mergeCell ref="F66:G66"/>
    <mergeCell ref="H66:I66"/>
    <mergeCell ref="B67:E68"/>
    <mergeCell ref="F67:F68"/>
    <mergeCell ref="G67:G68"/>
    <mergeCell ref="H67:H68"/>
    <mergeCell ref="I67:I68"/>
    <mergeCell ref="B65:C65"/>
    <mergeCell ref="D65:E65"/>
    <mergeCell ref="A93:A94"/>
    <mergeCell ref="F93:I93"/>
    <mergeCell ref="F94:G94"/>
    <mergeCell ref="H94:I94"/>
    <mergeCell ref="B95:E96"/>
    <mergeCell ref="F95:F96"/>
    <mergeCell ref="G95:G96"/>
    <mergeCell ref="H95:H96"/>
    <mergeCell ref="I95:I96"/>
    <mergeCell ref="B93:C93"/>
    <mergeCell ref="D93:E93"/>
  </mergeCells>
  <dataValidations disablePrompts="1" count="1">
    <dataValidation type="list" allowBlank="1" showInputMessage="1" showErrorMessage="1" sqref="WBR983045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UOH983045 IX786437 ST786437 VRV983045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IX983045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ST983045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ACP983045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AML983045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AWH983045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GD983045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PZ983045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ZV983045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CJR983045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CTN983045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DDJ983045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DNF983045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DXB983045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EGX983045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UYD983045 IX851973 EQT983045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FAP983045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FKL983045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FUH983045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GED983045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GNZ983045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GXV983045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HHR983045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HRN983045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IBJ983045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ILF983045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IVB983045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JEX983045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JOT983045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JYP983045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VHZ983045 KIL983045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KSH983045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LCD983045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LLZ983045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LVV983045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MFR983045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MPN983045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MZJ983045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NJF983045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NTB983045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OCX983045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OMT983045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OWP983045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PGL983045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PQH983045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QAD983045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QJZ983045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QTV983045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RDR983045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RNN983045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RXJ98304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SHF983045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SRB983045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TAX983045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TKT983045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TUP98304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UEL983045 IX720901 ST720901 ACP720901 B65572 B131108 B196644 B262180 B327716 B393252 B458788 B524324 B589860 B655396 B720932 B786468 B852004 B917540 B983076 B65600 B131136 B196672 B262208 B327744 B393280 B458816 B524352 B589888 B655424 B720960 B786496 B852032 B917568 B983104 B65628 B131164 B196700 B262236 B327772 B393308 B458844 B524380 B589916 B655452 B720988 B786524 B852060 B917596 B983132 B65541 B131077 B196613 B262149 B327685 B393221 B458757 B524293 B589829 B655365 B720901 B786437 B851973 B917509 B983045 WBR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LN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VJ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B36 B64 B92" xr:uid="{00000000-0002-0000-1700-000000000000}">
      <formula1>#REF!</formula1>
    </dataValidation>
  </dataValidations>
  <pageMargins left="0.7" right="0.7" top="0.75" bottom="0.75" header="0.3" footer="0.3"/>
  <pageSetup paperSize="9" scale="42"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5">
    <tabColor rgb="FFFF0000"/>
  </sheetPr>
  <dimension ref="A1:K140"/>
  <sheetViews>
    <sheetView showGridLines="0" view="pageBreakPreview" zoomScale="70" zoomScaleNormal="80" zoomScaleSheetLayoutView="90" workbookViewId="0">
      <selection activeCell="D11" sqref="D11"/>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1" ht="17.149999999999999" customHeight="1" x14ac:dyDescent="0.3">
      <c r="A1" s="364" t="s">
        <v>101</v>
      </c>
      <c r="B1" s="66"/>
      <c r="C1" s="66"/>
      <c r="D1" s="66"/>
      <c r="E1" s="66"/>
      <c r="F1" s="66"/>
      <c r="G1" s="66"/>
      <c r="H1" s="66"/>
      <c r="I1" s="66"/>
      <c r="J1"/>
    </row>
    <row r="2" spans="1:11" ht="17.149999999999999" customHeight="1" x14ac:dyDescent="0.25">
      <c r="A2" s="365"/>
      <c r="B2" s="66"/>
      <c r="C2" s="66"/>
      <c r="D2" s="66"/>
      <c r="E2" s="66"/>
      <c r="F2" s="66"/>
      <c r="G2" s="66"/>
      <c r="H2" s="66"/>
      <c r="I2" s="66"/>
      <c r="J2"/>
    </row>
    <row r="3" spans="1:11" ht="17.149999999999999" customHeight="1" x14ac:dyDescent="0.25">
      <c r="A3" s="800" t="s">
        <v>146</v>
      </c>
      <c r="B3" s="800"/>
      <c r="C3" s="800"/>
      <c r="D3" s="800"/>
      <c r="E3" s="800"/>
      <c r="F3" s="66"/>
      <c r="G3" s="66"/>
      <c r="H3" s="66"/>
      <c r="I3" s="66"/>
      <c r="J3"/>
    </row>
    <row r="4" spans="1:11" ht="17.149999999999999" customHeight="1" x14ac:dyDescent="0.25">
      <c r="A4" s="365"/>
      <c r="B4" s="66"/>
      <c r="C4" s="66"/>
      <c r="D4" s="66"/>
      <c r="E4" s="66"/>
      <c r="F4" s="66"/>
      <c r="G4" s="66"/>
      <c r="H4" s="66"/>
      <c r="I4" s="66"/>
      <c r="J4"/>
    </row>
    <row r="5" spans="1:11" ht="17.149999999999999" customHeight="1" thickBot="1" x14ac:dyDescent="0.35">
      <c r="A5" s="404" t="s">
        <v>103</v>
      </c>
      <c r="B5" s="836"/>
      <c r="C5" s="836"/>
      <c r="D5" s="68"/>
      <c r="E5" s="68"/>
      <c r="F5" s="66"/>
      <c r="G5" s="66"/>
      <c r="H5" s="66"/>
      <c r="I5" s="66"/>
    </row>
    <row r="6" spans="1:11" ht="17.149999999999999" customHeight="1" thickBot="1" x14ac:dyDescent="0.35">
      <c r="A6" s="69" t="s">
        <v>104</v>
      </c>
      <c r="B6" s="818" t="s">
        <v>105</v>
      </c>
      <c r="C6" s="819"/>
      <c r="D6" s="837" t="s">
        <v>106</v>
      </c>
      <c r="E6" s="838"/>
      <c r="F6" s="818" t="s">
        <v>107</v>
      </c>
      <c r="G6" s="832"/>
      <c r="H6" s="832"/>
      <c r="I6" s="819"/>
    </row>
    <row r="7" spans="1:11" ht="17.149999999999999" customHeight="1" thickBot="1" x14ac:dyDescent="0.35">
      <c r="A7" s="70" t="s">
        <v>108</v>
      </c>
      <c r="B7" s="324" t="s">
        <v>147</v>
      </c>
      <c r="C7" s="324" t="s">
        <v>148</v>
      </c>
      <c r="D7" s="324" t="s">
        <v>147</v>
      </c>
      <c r="E7" s="324" t="s">
        <v>148</v>
      </c>
      <c r="F7" s="818" t="s">
        <v>105</v>
      </c>
      <c r="G7" s="819"/>
      <c r="H7" s="818" t="s">
        <v>106</v>
      </c>
      <c r="I7" s="819"/>
    </row>
    <row r="8" spans="1:11" ht="17.149999999999999" customHeight="1" x14ac:dyDescent="0.3">
      <c r="A8" s="839" t="s">
        <v>109</v>
      </c>
      <c r="B8" s="826"/>
      <c r="C8" s="827"/>
      <c r="D8" s="827"/>
      <c r="E8" s="828"/>
      <c r="F8" s="828" t="s">
        <v>110</v>
      </c>
      <c r="G8" s="822" t="s">
        <v>111</v>
      </c>
      <c r="H8" s="822" t="s">
        <v>112</v>
      </c>
      <c r="I8" s="822" t="s">
        <v>111</v>
      </c>
    </row>
    <row r="9" spans="1:11" ht="17.149999999999999" customHeight="1" thickBot="1" x14ac:dyDescent="0.35">
      <c r="A9" s="840"/>
      <c r="B9" s="841"/>
      <c r="C9" s="852"/>
      <c r="D9" s="852"/>
      <c r="E9" s="853"/>
      <c r="F9" s="833"/>
      <c r="G9" s="834"/>
      <c r="H9" s="834"/>
      <c r="I9" s="834"/>
    </row>
    <row r="10" spans="1:11" ht="17.149999999999999" customHeight="1" thickBot="1" x14ac:dyDescent="0.35">
      <c r="A10" s="72" t="s">
        <v>113</v>
      </c>
      <c r="B10" s="405"/>
      <c r="C10" s="406"/>
      <c r="D10" s="406"/>
      <c r="E10" s="536"/>
      <c r="F10" s="76"/>
      <c r="G10" s="76"/>
      <c r="H10" s="76"/>
      <c r="I10" s="77"/>
    </row>
    <row r="11" spans="1:11" ht="17.149999999999999" customHeight="1" x14ac:dyDescent="0.3">
      <c r="A11" s="678" t="s">
        <v>114</v>
      </c>
      <c r="B11" s="78">
        <f>B12+B13+B17</f>
        <v>781065.78</v>
      </c>
      <c r="C11" s="679">
        <f>1034282206/1000</f>
        <v>1034282.206</v>
      </c>
      <c r="D11" s="78">
        <f>D12+D13+D17</f>
        <v>4449</v>
      </c>
      <c r="E11" s="78">
        <f>E12+E13+E17</f>
        <v>5026</v>
      </c>
      <c r="F11" s="78">
        <f>B11-C11</f>
        <v>-253216.42599999998</v>
      </c>
      <c r="G11" s="78">
        <f>IF(C11&lt;&gt;0,(B11-C11)/C11)*100</f>
        <v>-24.482334176403686</v>
      </c>
      <c r="H11" s="78">
        <f>D11-E11</f>
        <v>-577</v>
      </c>
      <c r="I11" s="79">
        <f>IF(E11&lt;&gt;0,(D11-E11)/E11)*100</f>
        <v>-11.480302427377637</v>
      </c>
      <c r="K11">
        <v>1000</v>
      </c>
    </row>
    <row r="12" spans="1:11" ht="17.149999999999999" customHeight="1" x14ac:dyDescent="0.3">
      <c r="A12" s="678" t="s">
        <v>115</v>
      </c>
      <c r="B12" s="679">
        <f>346945911/1000</f>
        <v>346945.91100000002</v>
      </c>
      <c r="C12" s="679">
        <f>544967059/1000</f>
        <v>544967.05900000001</v>
      </c>
      <c r="D12" s="679">
        <v>1901</v>
      </c>
      <c r="E12" s="679">
        <v>2638</v>
      </c>
      <c r="F12" s="680">
        <f t="shared" ref="F12:F19" si="0">B12-C12</f>
        <v>-198021.14799999999</v>
      </c>
      <c r="G12" s="681">
        <f>IF(C12&lt;&gt;0,(B12-C12)/C12)*100</f>
        <v>-36.336351845442458</v>
      </c>
      <c r="H12" s="680">
        <f>D12-E12</f>
        <v>-737</v>
      </c>
      <c r="I12" s="681">
        <f>IF(E12&lt;&gt;0,(D12-E12)/E12)*100</f>
        <v>-27.937831690674752</v>
      </c>
    </row>
    <row r="13" spans="1:11" ht="17.149999999999999" customHeight="1" x14ac:dyDescent="0.3">
      <c r="A13" s="678" t="s">
        <v>116</v>
      </c>
      <c r="B13" s="680">
        <f>B14-B15-B16</f>
        <v>434119.86899999995</v>
      </c>
      <c r="C13" s="680">
        <f>C14-C15-C16</f>
        <v>489315.14800000004</v>
      </c>
      <c r="D13" s="682">
        <v>2548</v>
      </c>
      <c r="E13" s="682">
        <v>2388</v>
      </c>
      <c r="F13" s="680">
        <f t="shared" si="0"/>
        <v>-55195.279000000097</v>
      </c>
      <c r="G13" s="681">
        <f>IF(C13&lt;&gt;0,(B13-C13)/C13)*100</f>
        <v>-11.280108377106709</v>
      </c>
      <c r="H13" s="680">
        <f>D13-E13</f>
        <v>160</v>
      </c>
      <c r="I13" s="681">
        <f>IF(E13&lt;&gt;0,(D13-E13)/E13)*100</f>
        <v>6.7001675041876041</v>
      </c>
    </row>
    <row r="14" spans="1:11" ht="17.149999999999999" customHeight="1" x14ac:dyDescent="0.3">
      <c r="A14" s="683" t="s">
        <v>117</v>
      </c>
      <c r="B14" s="609">
        <f>506058403/1000</f>
        <v>506058.40299999999</v>
      </c>
      <c r="C14" s="684">
        <f>562275650/1000</f>
        <v>562275.65</v>
      </c>
      <c r="D14" s="679"/>
      <c r="E14" s="684"/>
      <c r="F14" s="680"/>
      <c r="G14" s="685"/>
      <c r="H14" s="680"/>
      <c r="I14" s="685"/>
    </row>
    <row r="15" spans="1:11" ht="17.149999999999999" customHeight="1" x14ac:dyDescent="0.3">
      <c r="A15" s="686" t="s">
        <v>118</v>
      </c>
      <c r="B15" s="613">
        <f>68079792/1000</f>
        <v>68079.792000000001</v>
      </c>
      <c r="C15" s="687">
        <f>52098994/1000</f>
        <v>52098.993999999999</v>
      </c>
      <c r="D15" s="679"/>
      <c r="E15" s="684"/>
      <c r="F15" s="680"/>
      <c r="G15" s="685"/>
      <c r="H15" s="680"/>
      <c r="I15" s="685"/>
    </row>
    <row r="16" spans="1:11" ht="17.149999999999999" customHeight="1" x14ac:dyDescent="0.3">
      <c r="A16" s="686" t="s">
        <v>119</v>
      </c>
      <c r="B16" s="615">
        <f>3858742/1000</f>
        <v>3858.7420000000002</v>
      </c>
      <c r="C16" s="537">
        <f>20861508/1000</f>
        <v>20861.508000000002</v>
      </c>
      <c r="D16" s="688"/>
      <c r="E16" s="684"/>
      <c r="F16" s="680"/>
      <c r="G16" s="685"/>
      <c r="H16" s="680"/>
      <c r="I16" s="685"/>
    </row>
    <row r="17" spans="1:9" ht="17.149999999999999" customHeight="1" x14ac:dyDescent="0.3">
      <c r="A17" s="617" t="s">
        <v>120</v>
      </c>
      <c r="B17" s="618">
        <v>0</v>
      </c>
      <c r="C17" s="749">
        <v>0</v>
      </c>
      <c r="D17" s="679">
        <v>0</v>
      </c>
      <c r="E17" s="679">
        <v>0</v>
      </c>
      <c r="F17" s="680">
        <f t="shared" si="0"/>
        <v>0</v>
      </c>
      <c r="G17" s="681">
        <f>IF(C17&lt;&gt;0,(B17-C17)/C17)*100</f>
        <v>0</v>
      </c>
      <c r="H17" s="680">
        <f>D17-E17</f>
        <v>0</v>
      </c>
      <c r="I17" s="681">
        <f>IF(E17&lt;&gt;0,(D17-E17)/E17)*100</f>
        <v>0</v>
      </c>
    </row>
    <row r="18" spans="1:9" ht="17.149999999999999" customHeight="1" x14ac:dyDescent="0.3">
      <c r="A18" s="678" t="s">
        <v>121</v>
      </c>
      <c r="B18" s="750">
        <v>0</v>
      </c>
      <c r="C18" s="684">
        <v>0</v>
      </c>
      <c r="D18" s="679">
        <v>0</v>
      </c>
      <c r="E18" s="682">
        <v>0</v>
      </c>
      <c r="F18" s="680">
        <f t="shared" si="0"/>
        <v>0</v>
      </c>
      <c r="G18" s="681">
        <f>IF(C18&lt;&gt;0,(B18-C18)/C18)*100</f>
        <v>0</v>
      </c>
      <c r="H18" s="680">
        <f>D18-E18</f>
        <v>0</v>
      </c>
      <c r="I18" s="681">
        <f>IF(E18&lt;&gt;0,(D18-E18)/E18)*100</f>
        <v>0</v>
      </c>
    </row>
    <row r="19" spans="1:9" ht="17.149999999999999" customHeight="1" thickBot="1" x14ac:dyDescent="0.35">
      <c r="A19" s="619" t="s">
        <v>122</v>
      </c>
      <c r="B19" s="620">
        <v>0</v>
      </c>
      <c r="C19" s="621">
        <v>0</v>
      </c>
      <c r="D19" s="620">
        <v>0</v>
      </c>
      <c r="E19" s="621">
        <v>0</v>
      </c>
      <c r="F19" s="680">
        <f t="shared" si="0"/>
        <v>0</v>
      </c>
      <c r="G19" s="622">
        <f>IF(C19&lt;&gt;0,(B19-C19)/C19)*100</f>
        <v>0</v>
      </c>
      <c r="H19" s="680">
        <f>D19-E19</f>
        <v>0</v>
      </c>
      <c r="I19" s="622">
        <f>IF(E19&lt;&gt;0,(D19-E19)/E19)*100</f>
        <v>0</v>
      </c>
    </row>
    <row r="20" spans="1:9" ht="17.149999999999999" customHeight="1" thickBot="1" x14ac:dyDescent="0.35">
      <c r="A20" s="80" t="s">
        <v>123</v>
      </c>
      <c r="B20" s="81">
        <f>B11+B18+B19</f>
        <v>781065.78</v>
      </c>
      <c r="C20" s="82">
        <f>C11+C18+C19</f>
        <v>1034282.206</v>
      </c>
      <c r="D20" s="81">
        <f>D11+D18+D19</f>
        <v>4449</v>
      </c>
      <c r="E20" s="82">
        <f>E11+E18+E19</f>
        <v>5026</v>
      </c>
      <c r="F20" s="81">
        <f>F11+F18+F19</f>
        <v>-253216.42599999998</v>
      </c>
      <c r="G20" s="83">
        <f>IF(C20&lt;&gt;0,(B20-C20)/C20)*100</f>
        <v>-24.482334176403686</v>
      </c>
      <c r="H20" s="81">
        <f>H11+H18+H19</f>
        <v>-577</v>
      </c>
      <c r="I20" s="83">
        <f>IF(E20&lt;&gt;0,(D20-E20)/E20)*100</f>
        <v>-11.480302427377637</v>
      </c>
    </row>
    <row r="21" spans="1:9" ht="17.149999999999999" customHeight="1" thickBot="1" x14ac:dyDescent="0.35">
      <c r="A21" s="84" t="s">
        <v>109</v>
      </c>
      <c r="B21" s="85"/>
      <c r="C21" s="85"/>
      <c r="D21" s="85"/>
      <c r="E21" s="85"/>
      <c r="F21" s="86"/>
      <c r="G21" s="86"/>
      <c r="H21" s="86"/>
      <c r="I21" s="87"/>
    </row>
    <row r="22" spans="1:9" ht="17.149999999999999" customHeight="1" x14ac:dyDescent="0.3">
      <c r="A22" s="751" t="s">
        <v>124</v>
      </c>
      <c r="B22" s="740"/>
      <c r="C22" s="741"/>
      <c r="D22" s="740"/>
      <c r="E22" s="741"/>
      <c r="F22" s="742"/>
      <c r="G22" s="743"/>
      <c r="H22" s="743"/>
      <c r="I22" s="744"/>
    </row>
    <row r="23" spans="1:9" ht="17.149999999999999" customHeight="1" x14ac:dyDescent="0.3">
      <c r="A23" s="678" t="s">
        <v>125</v>
      </c>
      <c r="B23" s="657">
        <f>SUM(B24:B27)</f>
        <v>212657.49100000004</v>
      </c>
      <c r="C23" s="624">
        <f>SUM(C24:C27)</f>
        <v>324761.02799999999</v>
      </c>
      <c r="D23" s="657">
        <f>SUM(D24:D27)</f>
        <v>5849</v>
      </c>
      <c r="E23" s="624">
        <f>SUM(E24:E27)</f>
        <v>8309</v>
      </c>
      <c r="F23" s="657">
        <f t="shared" ref="F23:F28" si="1">B23-C23</f>
        <v>-112103.53699999995</v>
      </c>
      <c r="G23" s="625">
        <f t="shared" ref="G23:G28" si="2">IF(C23&lt;&gt;0,(B23-C23)/C23)*100</f>
        <v>-34.51877760406645</v>
      </c>
      <c r="H23" s="657">
        <f t="shared" ref="H23:H28" si="3">D23-E23</f>
        <v>-2460</v>
      </c>
      <c r="I23" s="625">
        <f t="shared" ref="I23:I28" si="4">IF(E23&lt;&gt;0,(D23-E23)/E23)*100</f>
        <v>-29.606450836442409</v>
      </c>
    </row>
    <row r="24" spans="1:9" ht="17.149999999999999" customHeight="1" x14ac:dyDescent="0.3">
      <c r="A24" s="678" t="s">
        <v>126</v>
      </c>
      <c r="B24" s="679">
        <f>143947888/1000</f>
        <v>143947.88800000001</v>
      </c>
      <c r="C24" s="679">
        <f>254226123/1000</f>
        <v>254226.12299999999</v>
      </c>
      <c r="D24" s="679">
        <v>4269</v>
      </c>
      <c r="E24" s="679">
        <v>6551</v>
      </c>
      <c r="F24" s="680">
        <f t="shared" si="1"/>
        <v>-110278.23499999999</v>
      </c>
      <c r="G24" s="681">
        <f t="shared" si="2"/>
        <v>-43.378010764062978</v>
      </c>
      <c r="H24" s="680">
        <f t="shared" si="3"/>
        <v>-2282</v>
      </c>
      <c r="I24" s="681">
        <f t="shared" si="4"/>
        <v>-34.834376431079221</v>
      </c>
    </row>
    <row r="25" spans="1:9" ht="17.149999999999999" customHeight="1" x14ac:dyDescent="0.3">
      <c r="A25" s="678" t="s">
        <v>127</v>
      </c>
      <c r="B25" s="679">
        <f>19747401/1000</f>
        <v>19747.401000000002</v>
      </c>
      <c r="C25" s="679">
        <f>30875489/1000</f>
        <v>30875.489000000001</v>
      </c>
      <c r="D25" s="679">
        <v>805</v>
      </c>
      <c r="E25" s="679">
        <v>1167</v>
      </c>
      <c r="F25" s="680">
        <f t="shared" si="1"/>
        <v>-11128.088</v>
      </c>
      <c r="G25" s="681">
        <f t="shared" si="2"/>
        <v>-36.041819451021482</v>
      </c>
      <c r="H25" s="680">
        <f t="shared" si="3"/>
        <v>-362</v>
      </c>
      <c r="I25" s="681">
        <f t="shared" si="4"/>
        <v>-31.01970865467009</v>
      </c>
    </row>
    <row r="26" spans="1:9" ht="17.149999999999999" customHeight="1" x14ac:dyDescent="0.3">
      <c r="A26" s="626" t="s">
        <v>128</v>
      </c>
      <c r="B26" s="679">
        <f>5430184/1000</f>
        <v>5430.1840000000002</v>
      </c>
      <c r="C26" s="679">
        <f>7455521/1000</f>
        <v>7455.5209999999997</v>
      </c>
      <c r="D26" s="679">
        <v>118</v>
      </c>
      <c r="E26" s="679">
        <v>151</v>
      </c>
      <c r="F26" s="680">
        <f t="shared" si="1"/>
        <v>-2025.3369999999995</v>
      </c>
      <c r="G26" s="681">
        <f t="shared" si="2"/>
        <v>-27.165599828637056</v>
      </c>
      <c r="H26" s="680">
        <f t="shared" si="3"/>
        <v>-33</v>
      </c>
      <c r="I26" s="681">
        <f t="shared" si="4"/>
        <v>-21.85430463576159</v>
      </c>
    </row>
    <row r="27" spans="1:9" ht="17.149999999999999" customHeight="1" x14ac:dyDescent="0.3">
      <c r="A27" s="678" t="s">
        <v>129</v>
      </c>
      <c r="B27" s="679">
        <f>43532018/1000</f>
        <v>43532.017999999996</v>
      </c>
      <c r="C27" s="679">
        <f>32203895/1000</f>
        <v>32203.895</v>
      </c>
      <c r="D27" s="679">
        <v>657</v>
      </c>
      <c r="E27" s="679">
        <v>440</v>
      </c>
      <c r="F27" s="680">
        <f t="shared" si="1"/>
        <v>11328.122999999996</v>
      </c>
      <c r="G27" s="681">
        <f t="shared" si="2"/>
        <v>35.176251195701624</v>
      </c>
      <c r="H27" s="680">
        <f t="shared" si="3"/>
        <v>217</v>
      </c>
      <c r="I27" s="681">
        <f t="shared" si="4"/>
        <v>49.318181818181813</v>
      </c>
    </row>
    <row r="28" spans="1:9" ht="17.149999999999999" customHeight="1" x14ac:dyDescent="0.3">
      <c r="A28" s="678" t="s">
        <v>130</v>
      </c>
      <c r="B28" s="679">
        <v>0</v>
      </c>
      <c r="C28" s="679">
        <v>0</v>
      </c>
      <c r="D28" s="679">
        <v>0</v>
      </c>
      <c r="E28" s="679">
        <v>0</v>
      </c>
      <c r="F28" s="680">
        <f t="shared" si="1"/>
        <v>0</v>
      </c>
      <c r="G28" s="681">
        <f t="shared" si="2"/>
        <v>0</v>
      </c>
      <c r="H28" s="680">
        <f t="shared" si="3"/>
        <v>0</v>
      </c>
      <c r="I28" s="681">
        <f t="shared" si="4"/>
        <v>0</v>
      </c>
    </row>
    <row r="29" spans="1:9" ht="17.149999999999999" customHeight="1" x14ac:dyDescent="0.3">
      <c r="A29" s="678"/>
      <c r="B29" s="627"/>
      <c r="C29" s="628"/>
      <c r="D29" s="627"/>
      <c r="E29" s="628"/>
      <c r="F29" s="657"/>
      <c r="G29" s="625"/>
      <c r="H29" s="624"/>
      <c r="I29" s="629"/>
    </row>
    <row r="30" spans="1:9" ht="17.149999999999999" customHeight="1" x14ac:dyDescent="0.3">
      <c r="A30" s="678"/>
      <c r="B30" s="627"/>
      <c r="C30" s="628"/>
      <c r="D30" s="627"/>
      <c r="E30" s="628"/>
      <c r="F30" s="657"/>
      <c r="G30" s="625"/>
      <c r="H30" s="624"/>
      <c r="I30" s="629"/>
    </row>
    <row r="31" spans="1:9" ht="17.149999999999999" customHeight="1" thickBot="1" x14ac:dyDescent="0.35">
      <c r="A31" s="88" t="s">
        <v>109</v>
      </c>
      <c r="B31" s="630"/>
      <c r="C31" s="631"/>
      <c r="D31" s="630"/>
      <c r="E31" s="631"/>
      <c r="F31" s="632"/>
      <c r="G31" s="633"/>
      <c r="H31" s="634"/>
      <c r="I31" s="635"/>
    </row>
    <row r="32" spans="1:9" ht="17.149999999999999" customHeight="1" thickBot="1" x14ac:dyDescent="0.35">
      <c r="A32" s="89" t="s">
        <v>131</v>
      </c>
      <c r="B32" s="90">
        <f>B23+B28</f>
        <v>212657.49100000004</v>
      </c>
      <c r="C32" s="91">
        <f>C23+C28</f>
        <v>324761.02799999999</v>
      </c>
      <c r="D32" s="90">
        <f>D23+D28</f>
        <v>5849</v>
      </c>
      <c r="E32" s="91">
        <f>E23+E28</f>
        <v>8309</v>
      </c>
      <c r="F32" s="91">
        <f>B32-C32</f>
        <v>-112103.53699999995</v>
      </c>
      <c r="G32" s="92">
        <f>IF(C32&lt;&gt;0,(B32-C32)/C32)*100</f>
        <v>-34.51877760406645</v>
      </c>
      <c r="H32" s="91">
        <f>D32-E32</f>
        <v>-2460</v>
      </c>
      <c r="I32" s="92">
        <f>IF(E32&lt;&gt;0,(D32-E32)/E32)*100</f>
        <v>-29.606450836442409</v>
      </c>
    </row>
    <row r="33" spans="1:9" ht="17.149999999999999" customHeight="1" thickBot="1" x14ac:dyDescent="0.35">
      <c r="A33" s="93" t="s">
        <v>132</v>
      </c>
      <c r="B33" s="90">
        <f>B20+B32</f>
        <v>993723.27100000007</v>
      </c>
      <c r="C33" s="91">
        <f>C20+C32</f>
        <v>1359043.2339999999</v>
      </c>
      <c r="D33" s="90">
        <f>D20+D32</f>
        <v>10298</v>
      </c>
      <c r="E33" s="91">
        <f>E20+E32</f>
        <v>13335</v>
      </c>
      <c r="F33" s="91">
        <f>B33-C33</f>
        <v>-365319.96299999987</v>
      </c>
      <c r="G33" s="92">
        <f>IF(C33&lt;&gt;0,(B33-C33)/C33)*100</f>
        <v>-26.880672657099581</v>
      </c>
      <c r="H33" s="91">
        <f>D33-E33</f>
        <v>-3037</v>
      </c>
      <c r="I33" s="92">
        <f>IF(E33&lt;&gt;0,(D33-E33)/E33)*100</f>
        <v>-22.774653168353957</v>
      </c>
    </row>
    <row r="34" spans="1:9" ht="17.149999999999999" customHeight="1" x14ac:dyDescent="0.3">
      <c r="A34" s="94"/>
      <c r="B34" s="94"/>
      <c r="C34" s="94"/>
      <c r="D34" s="94"/>
      <c r="E34" s="94"/>
      <c r="F34" s="95"/>
      <c r="G34" s="95"/>
      <c r="H34" s="95"/>
      <c r="I34" s="95"/>
    </row>
    <row r="35" spans="1:9" ht="17.149999999999999" customHeight="1" x14ac:dyDescent="0.3">
      <c r="A35" s="68"/>
      <c r="B35" s="96"/>
      <c r="C35" s="97"/>
      <c r="D35" s="97"/>
      <c r="E35" s="97"/>
      <c r="F35" s="538"/>
      <c r="G35" s="538"/>
      <c r="H35" s="538"/>
      <c r="I35" s="538"/>
    </row>
    <row r="36" spans="1:9" ht="17.149999999999999" customHeight="1" thickBot="1" x14ac:dyDescent="0.35">
      <c r="A36" s="404" t="s">
        <v>133</v>
      </c>
      <c r="B36" s="813"/>
      <c r="C36" s="813"/>
      <c r="D36" s="99"/>
      <c r="E36" s="99"/>
      <c r="F36" s="538"/>
      <c r="G36" s="538"/>
      <c r="H36" s="538"/>
      <c r="I36" s="538"/>
    </row>
    <row r="37" spans="1:9" ht="17.149999999999999" customHeight="1" thickBot="1" x14ac:dyDescent="0.35">
      <c r="A37" s="822" t="s">
        <v>134</v>
      </c>
      <c r="B37" s="818" t="s">
        <v>105</v>
      </c>
      <c r="C37" s="819"/>
      <c r="D37" s="818" t="s">
        <v>106</v>
      </c>
      <c r="E37" s="819"/>
      <c r="F37" s="804" t="s">
        <v>107</v>
      </c>
      <c r="G37" s="805"/>
      <c r="H37" s="805"/>
      <c r="I37" s="806"/>
    </row>
    <row r="38" spans="1:9" ht="17.149999999999999" customHeight="1" thickBot="1" x14ac:dyDescent="0.35">
      <c r="A38" s="823"/>
      <c r="B38" s="324" t="s">
        <v>147</v>
      </c>
      <c r="C38" s="324" t="s">
        <v>148</v>
      </c>
      <c r="D38" s="324" t="s">
        <v>147</v>
      </c>
      <c r="E38" s="324" t="s">
        <v>148</v>
      </c>
      <c r="F38" s="804" t="s">
        <v>105</v>
      </c>
      <c r="G38" s="806"/>
      <c r="H38" s="804" t="s">
        <v>106</v>
      </c>
      <c r="I38" s="806"/>
    </row>
    <row r="39" spans="1:9" ht="17.149999999999999" customHeight="1" x14ac:dyDescent="0.3">
      <c r="A39" s="100"/>
      <c r="B39" s="826"/>
      <c r="C39" s="827"/>
      <c r="D39" s="827"/>
      <c r="E39" s="828"/>
      <c r="F39" s="814" t="s">
        <v>110</v>
      </c>
      <c r="G39" s="816" t="s">
        <v>111</v>
      </c>
      <c r="H39" s="816" t="s">
        <v>112</v>
      </c>
      <c r="I39" s="816" t="s">
        <v>111</v>
      </c>
    </row>
    <row r="40" spans="1:9" ht="17.149999999999999" customHeight="1" thickBot="1" x14ac:dyDescent="0.35">
      <c r="A40" s="101" t="s">
        <v>113</v>
      </c>
      <c r="B40" s="829"/>
      <c r="C40" s="830"/>
      <c r="D40" s="830"/>
      <c r="E40" s="831"/>
      <c r="F40" s="815"/>
      <c r="G40" s="817"/>
      <c r="H40" s="817"/>
      <c r="I40" s="817"/>
    </row>
    <row r="41" spans="1:9" ht="17.149999999999999" customHeight="1" thickBot="1" x14ac:dyDescent="0.35">
      <c r="A41" s="539" t="s">
        <v>135</v>
      </c>
      <c r="B41" s="103">
        <f>B42+B43+B45</f>
        <v>10896178.267999999</v>
      </c>
      <c r="C41" s="104">
        <f>C42+C43+C45</f>
        <v>10422680.749000002</v>
      </c>
      <c r="D41" s="104">
        <f>D42+D43+D45</f>
        <v>72469</v>
      </c>
      <c r="E41" s="104">
        <f>E42+E43+E45</f>
        <v>76184</v>
      </c>
      <c r="F41" s="104">
        <f t="shared" ref="F41:F48" si="5">B41-C41</f>
        <v>473497.51899999753</v>
      </c>
      <c r="G41" s="105">
        <f t="shared" ref="G41:G48" si="6">IF(C41&lt;&gt;0,(B41-C41)/C41)*100</f>
        <v>4.5429532996626323</v>
      </c>
      <c r="H41" s="104">
        <f t="shared" ref="H41:H48" si="7">D41-E41</f>
        <v>-3715</v>
      </c>
      <c r="I41" s="105">
        <f t="shared" ref="I41:I48" si="8">IF(E41&lt;&gt;0,(D41-E41)/E41)*100</f>
        <v>-4.8763519899191428</v>
      </c>
    </row>
    <row r="42" spans="1:9" ht="17.149999999999999" customHeight="1" x14ac:dyDescent="0.3">
      <c r="A42" s="539" t="s">
        <v>136</v>
      </c>
      <c r="B42" s="749">
        <f>5328526419/1000</f>
        <v>5328526.4189999998</v>
      </c>
      <c r="C42" s="749">
        <f>5303069490/1000</f>
        <v>5303069.49</v>
      </c>
      <c r="D42" s="752">
        <v>40089</v>
      </c>
      <c r="E42" s="752">
        <v>40982</v>
      </c>
      <c r="F42" s="680">
        <f t="shared" si="5"/>
        <v>25456.928999999538</v>
      </c>
      <c r="G42" s="681">
        <f t="shared" si="6"/>
        <v>0.48004139957063879</v>
      </c>
      <c r="H42" s="680">
        <f t="shared" si="7"/>
        <v>-893</v>
      </c>
      <c r="I42" s="681">
        <f t="shared" si="8"/>
        <v>-2.179005417012347</v>
      </c>
    </row>
    <row r="43" spans="1:9" ht="17.149999999999999" customHeight="1" x14ac:dyDescent="0.3">
      <c r="A43" s="539" t="s">
        <v>116</v>
      </c>
      <c r="B43" s="749">
        <f>5567598847/1000</f>
        <v>5567598.8470000001</v>
      </c>
      <c r="C43" s="749">
        <f>5119556687/1000</f>
        <v>5119556.6869999999</v>
      </c>
      <c r="D43" s="752">
        <v>32377</v>
      </c>
      <c r="E43" s="752">
        <v>35197</v>
      </c>
      <c r="F43" s="680">
        <f t="shared" si="5"/>
        <v>448042.16000000015</v>
      </c>
      <c r="G43" s="681">
        <f t="shared" si="6"/>
        <v>8.7515811893968429</v>
      </c>
      <c r="H43" s="680">
        <f t="shared" si="7"/>
        <v>-2820</v>
      </c>
      <c r="I43" s="681">
        <f t="shared" si="8"/>
        <v>-8.0120464812341954</v>
      </c>
    </row>
    <row r="44" spans="1:9" ht="17.149999999999999" customHeight="1" x14ac:dyDescent="0.3">
      <c r="A44" s="539" t="s">
        <v>137</v>
      </c>
      <c r="B44" s="749">
        <f>606869162/1000</f>
        <v>606869.16200000001</v>
      </c>
      <c r="C44" s="749">
        <f>851370664/1000</f>
        <v>851370.66399999999</v>
      </c>
      <c r="D44" s="752">
        <v>0</v>
      </c>
      <c r="E44" s="752">
        <v>0</v>
      </c>
      <c r="F44" s="680">
        <f t="shared" si="5"/>
        <v>-244501.50199999998</v>
      </c>
      <c r="G44" s="681">
        <f t="shared" si="6"/>
        <v>-28.718572572286799</v>
      </c>
      <c r="H44" s="680">
        <f t="shared" si="7"/>
        <v>0</v>
      </c>
      <c r="I44" s="681">
        <f t="shared" si="8"/>
        <v>0</v>
      </c>
    </row>
    <row r="45" spans="1:9" ht="17.149999999999999" customHeight="1" x14ac:dyDescent="0.3">
      <c r="A45" s="539" t="s">
        <v>143</v>
      </c>
      <c r="B45" s="749">
        <f>53002/1000</f>
        <v>53.002000000000002</v>
      </c>
      <c r="C45" s="749">
        <f>54572/1000</f>
        <v>54.572000000000003</v>
      </c>
      <c r="D45" s="752">
        <v>3</v>
      </c>
      <c r="E45" s="752">
        <v>5</v>
      </c>
      <c r="F45" s="680">
        <f t="shared" si="5"/>
        <v>-1.5700000000000003</v>
      </c>
      <c r="G45" s="681">
        <f t="shared" si="6"/>
        <v>-2.8769332258300966</v>
      </c>
      <c r="H45" s="680">
        <f t="shared" si="7"/>
        <v>-2</v>
      </c>
      <c r="I45" s="681">
        <f t="shared" si="8"/>
        <v>-40</v>
      </c>
    </row>
    <row r="46" spans="1:9" ht="17.149999999999999" customHeight="1" x14ac:dyDescent="0.3">
      <c r="A46" s="539" t="s">
        <v>139</v>
      </c>
      <c r="B46" s="749">
        <v>0</v>
      </c>
      <c r="C46" s="749">
        <v>0</v>
      </c>
      <c r="D46" s="752">
        <v>0</v>
      </c>
      <c r="E46" s="752">
        <v>0</v>
      </c>
      <c r="F46" s="680">
        <f t="shared" si="5"/>
        <v>0</v>
      </c>
      <c r="G46" s="681">
        <f t="shared" si="6"/>
        <v>0</v>
      </c>
      <c r="H46" s="680">
        <f t="shared" si="7"/>
        <v>0</v>
      </c>
      <c r="I46" s="681">
        <f t="shared" si="8"/>
        <v>0</v>
      </c>
    </row>
    <row r="47" spans="1:9" ht="17.149999999999999" customHeight="1" thickBot="1" x14ac:dyDescent="0.35">
      <c r="A47" s="539" t="s">
        <v>140</v>
      </c>
      <c r="B47" s="749">
        <v>0</v>
      </c>
      <c r="C47" s="749">
        <v>0</v>
      </c>
      <c r="D47" s="752">
        <v>0</v>
      </c>
      <c r="E47" s="752">
        <v>0</v>
      </c>
      <c r="F47" s="680">
        <f t="shared" si="5"/>
        <v>0</v>
      </c>
      <c r="G47" s="681">
        <f t="shared" si="6"/>
        <v>0</v>
      </c>
      <c r="H47" s="680">
        <f t="shared" si="7"/>
        <v>0</v>
      </c>
      <c r="I47" s="681">
        <f t="shared" si="8"/>
        <v>0</v>
      </c>
    </row>
    <row r="48" spans="1:9" ht="17.149999999999999" customHeight="1" thickBot="1" x14ac:dyDescent="0.35">
      <c r="A48" s="106" t="s">
        <v>123</v>
      </c>
      <c r="B48" s="91">
        <f>B41+B46+B47</f>
        <v>10896178.267999999</v>
      </c>
      <c r="C48" s="91">
        <f>C41+C46+C47</f>
        <v>10422680.749000002</v>
      </c>
      <c r="D48" s="91">
        <f>D41+D46+D47</f>
        <v>72469</v>
      </c>
      <c r="E48" s="91">
        <f>E41+E46+E47</f>
        <v>76184</v>
      </c>
      <c r="F48" s="91">
        <f t="shared" si="5"/>
        <v>473497.51899999753</v>
      </c>
      <c r="G48" s="92">
        <f t="shared" si="6"/>
        <v>4.5429532996626323</v>
      </c>
      <c r="H48" s="91">
        <f t="shared" si="7"/>
        <v>-3715</v>
      </c>
      <c r="I48" s="92">
        <f t="shared" si="8"/>
        <v>-4.8763519899191428</v>
      </c>
    </row>
    <row r="49" spans="1:9" ht="17.149999999999999" customHeight="1" thickBot="1" x14ac:dyDescent="0.35">
      <c r="A49" s="101" t="s">
        <v>124</v>
      </c>
      <c r="B49" s="114"/>
      <c r="C49" s="115"/>
      <c r="D49" s="115"/>
      <c r="E49" s="115"/>
      <c r="F49" s="116"/>
      <c r="G49" s="117"/>
      <c r="H49" s="116"/>
      <c r="I49" s="124"/>
    </row>
    <row r="50" spans="1:9" ht="17.149999999999999" customHeight="1" thickBot="1" x14ac:dyDescent="0.35">
      <c r="A50" s="539" t="s">
        <v>125</v>
      </c>
      <c r="B50" s="103">
        <f>SUM(B51:B54)</f>
        <v>5436494.0010000002</v>
      </c>
      <c r="C50" s="104">
        <f>SUM(C51:C54)</f>
        <v>5352240.1489999993</v>
      </c>
      <c r="D50" s="104">
        <f>SUM(D51:D54)</f>
        <v>69502</v>
      </c>
      <c r="E50" s="104">
        <f>SUM(E51:E54)</f>
        <v>67545</v>
      </c>
      <c r="F50" s="104">
        <f t="shared" ref="F50:F55" si="9">B50-C50</f>
        <v>84253.852000000887</v>
      </c>
      <c r="G50" s="105">
        <f t="shared" ref="G50:G55" si="10">IF(C50&lt;&gt;0,(B50-C50)/C50)*100</f>
        <v>1.5741792157017223</v>
      </c>
      <c r="H50" s="104">
        <f t="shared" ref="H50:H55" si="11">D50-E50</f>
        <v>1957</v>
      </c>
      <c r="I50" s="105">
        <f t="shared" ref="I50:I55" si="12">IF(E50&lt;&gt;0,(D50-E50)/E50)*100</f>
        <v>2.89732770745429</v>
      </c>
    </row>
    <row r="51" spans="1:9" ht="17.149999999999999" customHeight="1" x14ac:dyDescent="0.3">
      <c r="A51" s="119" t="s">
        <v>126</v>
      </c>
      <c r="B51" s="749">
        <f>4365936756/1000</f>
        <v>4365936.7560000001</v>
      </c>
      <c r="C51" s="749">
        <f>4337943694/1000</f>
        <v>4337943.6940000001</v>
      </c>
      <c r="D51" s="749">
        <v>51128</v>
      </c>
      <c r="E51" s="749">
        <v>49407</v>
      </c>
      <c r="F51" s="680">
        <f t="shared" si="9"/>
        <v>27993.061999999918</v>
      </c>
      <c r="G51" s="681">
        <f t="shared" si="10"/>
        <v>0.64530717719361708</v>
      </c>
      <c r="H51" s="680">
        <f t="shared" si="11"/>
        <v>1721</v>
      </c>
      <c r="I51" s="681">
        <f t="shared" si="12"/>
        <v>3.4833120812840281</v>
      </c>
    </row>
    <row r="52" spans="1:9" ht="17.149999999999999" customHeight="1" x14ac:dyDescent="0.3">
      <c r="A52" s="119" t="s">
        <v>127</v>
      </c>
      <c r="B52" s="749">
        <f>491278581/1000</f>
        <v>491278.58100000001</v>
      </c>
      <c r="C52" s="749">
        <f>510086270/1000</f>
        <v>510086.27</v>
      </c>
      <c r="D52" s="749">
        <v>9222</v>
      </c>
      <c r="E52" s="749">
        <v>9343</v>
      </c>
      <c r="F52" s="680">
        <f t="shared" si="9"/>
        <v>-18807.689000000013</v>
      </c>
      <c r="G52" s="681">
        <f t="shared" si="10"/>
        <v>-3.6871584487071201</v>
      </c>
      <c r="H52" s="680">
        <f t="shared" si="11"/>
        <v>-121</v>
      </c>
      <c r="I52" s="681">
        <f t="shared" si="12"/>
        <v>-1.2950872310820936</v>
      </c>
    </row>
    <row r="53" spans="1:9" ht="17.149999999999999" customHeight="1" x14ac:dyDescent="0.3">
      <c r="A53" s="120" t="s">
        <v>141</v>
      </c>
      <c r="B53" s="749">
        <f>87393868/1000</f>
        <v>87393.868000000002</v>
      </c>
      <c r="C53" s="749">
        <f>76280287/1000</f>
        <v>76280.286999999997</v>
      </c>
      <c r="D53" s="749">
        <v>1548</v>
      </c>
      <c r="E53" s="749">
        <v>1507</v>
      </c>
      <c r="F53" s="680">
        <f t="shared" si="9"/>
        <v>11113.581000000006</v>
      </c>
      <c r="G53" s="681">
        <f t="shared" si="10"/>
        <v>14.56940113505342</v>
      </c>
      <c r="H53" s="680">
        <f t="shared" si="11"/>
        <v>41</v>
      </c>
      <c r="I53" s="681">
        <f t="shared" si="12"/>
        <v>2.72063702720637</v>
      </c>
    </row>
    <row r="54" spans="1:9" ht="17.149999999999999" customHeight="1" x14ac:dyDescent="0.3">
      <c r="A54" s="119" t="s">
        <v>129</v>
      </c>
      <c r="B54" s="749">
        <f>491884796/1000</f>
        <v>491884.79599999997</v>
      </c>
      <c r="C54" s="749">
        <f>427929898/1000</f>
        <v>427929.89799999999</v>
      </c>
      <c r="D54" s="749">
        <v>7604</v>
      </c>
      <c r="E54" s="749">
        <v>7288</v>
      </c>
      <c r="F54" s="680">
        <f t="shared" si="9"/>
        <v>63954.897999999986</v>
      </c>
      <c r="G54" s="681">
        <f t="shared" si="10"/>
        <v>14.945181044583144</v>
      </c>
      <c r="H54" s="680">
        <f t="shared" si="11"/>
        <v>316</v>
      </c>
      <c r="I54" s="681">
        <f t="shared" si="12"/>
        <v>4.3358946212952798</v>
      </c>
    </row>
    <row r="55" spans="1:9" ht="17.149999999999999" customHeight="1" x14ac:dyDescent="0.3">
      <c r="A55" s="539" t="s">
        <v>130</v>
      </c>
      <c r="B55" s="749">
        <v>0</v>
      </c>
      <c r="C55" s="749">
        <v>0</v>
      </c>
      <c r="D55" s="749">
        <v>0</v>
      </c>
      <c r="E55" s="749">
        <v>0</v>
      </c>
      <c r="F55" s="680">
        <f t="shared" si="9"/>
        <v>0</v>
      </c>
      <c r="G55" s="681">
        <f t="shared" si="10"/>
        <v>0</v>
      </c>
      <c r="H55" s="680">
        <f t="shared" si="11"/>
        <v>0</v>
      </c>
      <c r="I55" s="681">
        <f t="shared" si="12"/>
        <v>0</v>
      </c>
    </row>
    <row r="56" spans="1:9" ht="17.149999999999999" customHeight="1" x14ac:dyDescent="0.3">
      <c r="A56" s="539"/>
      <c r="B56" s="684"/>
      <c r="C56" s="684"/>
      <c r="D56" s="684"/>
      <c r="E56" s="684"/>
      <c r="F56" s="753"/>
      <c r="G56" s="754"/>
      <c r="H56" s="753"/>
      <c r="I56" s="754"/>
    </row>
    <row r="57" spans="1:9" ht="17.149999999999999" customHeight="1" x14ac:dyDescent="0.3">
      <c r="A57" s="539"/>
      <c r="B57" s="684"/>
      <c r="C57" s="684"/>
      <c r="D57" s="684"/>
      <c r="E57" s="684"/>
      <c r="F57" s="753"/>
      <c r="G57" s="754"/>
      <c r="H57" s="753"/>
      <c r="I57" s="754"/>
    </row>
    <row r="58" spans="1:9" ht="17.149999999999999" customHeight="1" thickBot="1" x14ac:dyDescent="0.35">
      <c r="A58" s="539"/>
      <c r="B58" s="636"/>
      <c r="C58" s="636"/>
      <c r="D58" s="637"/>
      <c r="E58" s="637"/>
      <c r="F58" s="638"/>
      <c r="G58" s="639"/>
      <c r="H58" s="640"/>
      <c r="I58" s="641"/>
    </row>
    <row r="59" spans="1:9" ht="17.149999999999999" customHeight="1" thickBot="1" x14ac:dyDescent="0.35">
      <c r="A59" s="106" t="s">
        <v>131</v>
      </c>
      <c r="B59" s="103">
        <f>B50+B55</f>
        <v>5436494.0010000002</v>
      </c>
      <c r="C59" s="104">
        <f>C50+C55</f>
        <v>5352240.1489999993</v>
      </c>
      <c r="D59" s="104">
        <f>D50+D55</f>
        <v>69502</v>
      </c>
      <c r="E59" s="104">
        <f>E50+E55</f>
        <v>67545</v>
      </c>
      <c r="F59" s="657">
        <f>B59-C59</f>
        <v>84253.852000000887</v>
      </c>
      <c r="G59" s="625">
        <f>IF(C59&lt;&gt;0,(B59-C59)/C59)*100</f>
        <v>1.5741792157017223</v>
      </c>
      <c r="H59" s="657">
        <f>D59-E59</f>
        <v>1957</v>
      </c>
      <c r="I59" s="625">
        <f>IF(E59&lt;&gt;0,(D59-E59)/E59)*100</f>
        <v>2.89732770745429</v>
      </c>
    </row>
    <row r="60" spans="1:9" ht="17.149999999999999" customHeight="1" thickBot="1" x14ac:dyDescent="0.35">
      <c r="A60" s="539"/>
      <c r="B60" s="121"/>
      <c r="C60" s="122"/>
      <c r="D60" s="122"/>
      <c r="E60" s="122"/>
      <c r="F60" s="123"/>
      <c r="G60" s="124"/>
      <c r="H60" s="123"/>
      <c r="I60" s="125"/>
    </row>
    <row r="61" spans="1:9" ht="17.149999999999999" customHeight="1" thickBot="1" x14ac:dyDescent="0.35">
      <c r="A61" s="106" t="s">
        <v>132</v>
      </c>
      <c r="B61" s="103">
        <f>B48+B59</f>
        <v>16332672.268999999</v>
      </c>
      <c r="C61" s="104">
        <f>C48+C59</f>
        <v>15774920.898000002</v>
      </c>
      <c r="D61" s="104">
        <f>D48+D59</f>
        <v>141971</v>
      </c>
      <c r="E61" s="104">
        <f>E48+E59</f>
        <v>143729</v>
      </c>
      <c r="F61" s="104">
        <f>B61-C61</f>
        <v>557751.37099999748</v>
      </c>
      <c r="G61" s="105">
        <f>IF(C61&lt;&gt;0,(B61-C61)/C61)*100</f>
        <v>3.5356841064775866</v>
      </c>
      <c r="H61" s="104">
        <f>D61-E61</f>
        <v>-1758</v>
      </c>
      <c r="I61" s="105">
        <f>IF(E61&lt;&gt;0,(D61-E61)/E61)*100</f>
        <v>-1.2231352058387661</v>
      </c>
    </row>
    <row r="62" spans="1:9" ht="17.149999999999999" customHeight="1" x14ac:dyDescent="0.3">
      <c r="A62" s="94"/>
      <c r="B62" s="94"/>
      <c r="C62" s="94"/>
      <c r="D62" s="94"/>
      <c r="E62" s="94"/>
      <c r="F62" s="95"/>
      <c r="G62" s="95"/>
      <c r="H62" s="95"/>
      <c r="I62" s="95"/>
    </row>
    <row r="63" spans="1:9" ht="17.149999999999999" customHeight="1" x14ac:dyDescent="0.3">
      <c r="A63" s="126"/>
      <c r="B63" s="127"/>
      <c r="C63" s="126"/>
      <c r="D63" s="126"/>
      <c r="E63" s="126"/>
      <c r="F63" s="538"/>
      <c r="G63" s="538"/>
      <c r="H63" s="538"/>
      <c r="I63" s="538"/>
    </row>
    <row r="64" spans="1:9" ht="17.149999999999999" customHeight="1" thickBot="1" x14ac:dyDescent="0.35">
      <c r="A64" s="404" t="s">
        <v>142</v>
      </c>
      <c r="B64" s="813"/>
      <c r="C64" s="813"/>
      <c r="D64" s="129"/>
      <c r="E64" s="129"/>
      <c r="F64" s="538"/>
      <c r="G64" s="538"/>
      <c r="H64" s="538"/>
      <c r="I64" s="538"/>
    </row>
    <row r="65" spans="1:9" ht="17.149999999999999" customHeight="1" thickBot="1" x14ac:dyDescent="0.35">
      <c r="A65" s="824" t="s">
        <v>134</v>
      </c>
      <c r="B65" s="820" t="s">
        <v>105</v>
      </c>
      <c r="C65" s="821"/>
      <c r="D65" s="820" t="s">
        <v>106</v>
      </c>
      <c r="E65" s="821"/>
      <c r="F65" s="804" t="s">
        <v>107</v>
      </c>
      <c r="G65" s="805"/>
      <c r="H65" s="805"/>
      <c r="I65" s="806"/>
    </row>
    <row r="66" spans="1:9" ht="17.149999999999999" customHeight="1" thickBot="1" x14ac:dyDescent="0.35">
      <c r="A66" s="825"/>
      <c r="B66" s="324" t="s">
        <v>148</v>
      </c>
      <c r="C66" s="324" t="s">
        <v>149</v>
      </c>
      <c r="D66" s="324" t="s">
        <v>148</v>
      </c>
      <c r="E66" s="324" t="s">
        <v>149</v>
      </c>
      <c r="F66" s="804" t="s">
        <v>105</v>
      </c>
      <c r="G66" s="806"/>
      <c r="H66" s="804" t="s">
        <v>106</v>
      </c>
      <c r="I66" s="806"/>
    </row>
    <row r="67" spans="1:9" ht="17.149999999999999" customHeight="1" x14ac:dyDescent="0.3">
      <c r="A67" s="130"/>
      <c r="B67" s="807"/>
      <c r="C67" s="808"/>
      <c r="D67" s="808"/>
      <c r="E67" s="809"/>
      <c r="F67" s="814" t="s">
        <v>110</v>
      </c>
      <c r="G67" s="816" t="s">
        <v>111</v>
      </c>
      <c r="H67" s="816" t="s">
        <v>112</v>
      </c>
      <c r="I67" s="816" t="s">
        <v>111</v>
      </c>
    </row>
    <row r="68" spans="1:9" ht="17.149999999999999" customHeight="1" thickBot="1" x14ac:dyDescent="0.35">
      <c r="A68" s="131" t="s">
        <v>113</v>
      </c>
      <c r="B68" s="810"/>
      <c r="C68" s="811"/>
      <c r="D68" s="811"/>
      <c r="E68" s="812"/>
      <c r="F68" s="815"/>
      <c r="G68" s="817"/>
      <c r="H68" s="817"/>
      <c r="I68" s="817"/>
    </row>
    <row r="69" spans="1:9" ht="17.149999999999999" customHeight="1" thickBot="1" x14ac:dyDescent="0.35">
      <c r="A69" s="540" t="s">
        <v>135</v>
      </c>
      <c r="B69" s="133">
        <f>B70+B71+B72</f>
        <v>13406362.421</v>
      </c>
      <c r="C69" s="91">
        <f>C70+C71+C72</f>
        <v>11782289.729</v>
      </c>
      <c r="D69" s="91">
        <f>D70+D71+D72</f>
        <v>94858</v>
      </c>
      <c r="E69" s="91">
        <f>E70+E71+E72</f>
        <v>89498</v>
      </c>
      <c r="F69" s="91">
        <f t="shared" ref="F69:F75" si="13">B69-C69</f>
        <v>1624072.6919999998</v>
      </c>
      <c r="G69" s="92">
        <f t="shared" ref="G69:G75" si="14">IF(C69&lt;&gt;0,(B69-C69)/C69)*100</f>
        <v>13.784015920119796</v>
      </c>
      <c r="H69" s="91">
        <f t="shared" ref="H69:H75" si="15">D69-E69</f>
        <v>5360</v>
      </c>
      <c r="I69" s="92">
        <f t="shared" ref="I69:I75" si="16">IF(E69&lt;&gt;0,(D69-E69)/E69)*100</f>
        <v>5.9889606471652996</v>
      </c>
    </row>
    <row r="70" spans="1:9" ht="17.149999999999999" customHeight="1" x14ac:dyDescent="0.3">
      <c r="A70" s="540" t="s">
        <v>136</v>
      </c>
      <c r="B70" s="749">
        <f t="shared" ref="B70:E71" si="17">B42+B98</f>
        <v>7264896.1030000001</v>
      </c>
      <c r="C70" s="749">
        <f t="shared" si="17"/>
        <v>6405935.608</v>
      </c>
      <c r="D70" s="749">
        <f t="shared" si="17"/>
        <v>52177</v>
      </c>
      <c r="E70" s="749">
        <f t="shared" si="17"/>
        <v>48642</v>
      </c>
      <c r="F70" s="680">
        <f t="shared" si="13"/>
        <v>858960.49500000011</v>
      </c>
      <c r="G70" s="681">
        <f t="shared" si="14"/>
        <v>13.408821873377782</v>
      </c>
      <c r="H70" s="680">
        <f t="shared" si="15"/>
        <v>3535</v>
      </c>
      <c r="I70" s="681">
        <f t="shared" si="16"/>
        <v>7.2673820977755845</v>
      </c>
    </row>
    <row r="71" spans="1:9" ht="17.149999999999999" customHeight="1" x14ac:dyDescent="0.3">
      <c r="A71" s="540" t="s">
        <v>116</v>
      </c>
      <c r="B71" s="749">
        <f t="shared" si="17"/>
        <v>6141395.5120000001</v>
      </c>
      <c r="C71" s="749">
        <f t="shared" si="17"/>
        <v>5376284.5819999995</v>
      </c>
      <c r="D71" s="749">
        <f t="shared" si="17"/>
        <v>42669</v>
      </c>
      <c r="E71" s="749">
        <f t="shared" si="17"/>
        <v>40844</v>
      </c>
      <c r="F71" s="680">
        <f t="shared" si="13"/>
        <v>765110.93000000063</v>
      </c>
      <c r="G71" s="681">
        <f t="shared" si="14"/>
        <v>14.231220805565622</v>
      </c>
      <c r="H71" s="680">
        <f t="shared" si="15"/>
        <v>1825</v>
      </c>
      <c r="I71" s="681">
        <f t="shared" si="16"/>
        <v>4.4682205464694942</v>
      </c>
    </row>
    <row r="72" spans="1:9" ht="17.149999999999999" customHeight="1" x14ac:dyDescent="0.3">
      <c r="A72" s="540" t="s">
        <v>143</v>
      </c>
      <c r="B72" s="749">
        <f>B45+B100</f>
        <v>70.805999999999997</v>
      </c>
      <c r="C72" s="749">
        <f t="shared" ref="C72:E74" si="18">C45+C100</f>
        <v>69.539000000000001</v>
      </c>
      <c r="D72" s="749">
        <f t="shared" si="18"/>
        <v>12</v>
      </c>
      <c r="E72" s="749">
        <f t="shared" si="18"/>
        <v>12</v>
      </c>
      <c r="F72" s="680">
        <f t="shared" si="13"/>
        <v>1.2669999999999959</v>
      </c>
      <c r="G72" s="681">
        <f t="shared" si="14"/>
        <v>1.821999165935656</v>
      </c>
      <c r="H72" s="680">
        <f t="shared" si="15"/>
        <v>0</v>
      </c>
      <c r="I72" s="681">
        <f t="shared" si="16"/>
        <v>0</v>
      </c>
    </row>
    <row r="73" spans="1:9" ht="17.149999999999999" customHeight="1" x14ac:dyDescent="0.3">
      <c r="A73" s="540" t="s">
        <v>139</v>
      </c>
      <c r="B73" s="749">
        <f>B46+B101</f>
        <v>0</v>
      </c>
      <c r="C73" s="749">
        <f t="shared" si="18"/>
        <v>0</v>
      </c>
      <c r="D73" s="749">
        <f t="shared" si="18"/>
        <v>0</v>
      </c>
      <c r="E73" s="749">
        <f t="shared" si="18"/>
        <v>0</v>
      </c>
      <c r="F73" s="680">
        <f t="shared" si="13"/>
        <v>0</v>
      </c>
      <c r="G73" s="681">
        <f t="shared" si="14"/>
        <v>0</v>
      </c>
      <c r="H73" s="680">
        <f t="shared" si="15"/>
        <v>0</v>
      </c>
      <c r="I73" s="681">
        <f t="shared" si="16"/>
        <v>0</v>
      </c>
    </row>
    <row r="74" spans="1:9" ht="17.149999999999999" customHeight="1" thickBot="1" x14ac:dyDescent="0.35">
      <c r="A74" s="540" t="s">
        <v>140</v>
      </c>
      <c r="B74" s="749">
        <f>B47+B102</f>
        <v>0</v>
      </c>
      <c r="C74" s="749">
        <f t="shared" si="18"/>
        <v>0</v>
      </c>
      <c r="D74" s="749">
        <f t="shared" si="18"/>
        <v>0</v>
      </c>
      <c r="E74" s="749">
        <f t="shared" si="18"/>
        <v>0</v>
      </c>
      <c r="F74" s="680">
        <f t="shared" si="13"/>
        <v>0</v>
      </c>
      <c r="G74" s="681">
        <f t="shared" si="14"/>
        <v>0</v>
      </c>
      <c r="H74" s="680">
        <f t="shared" si="15"/>
        <v>0</v>
      </c>
      <c r="I74" s="681">
        <f t="shared" si="16"/>
        <v>0</v>
      </c>
    </row>
    <row r="75" spans="1:9" ht="17.149999999999999" customHeight="1" thickBot="1" x14ac:dyDescent="0.35">
      <c r="A75" s="134" t="s">
        <v>123</v>
      </c>
      <c r="B75" s="135">
        <f>B69+B73+B74</f>
        <v>13406362.421</v>
      </c>
      <c r="C75" s="90">
        <f>C69+C73+C74</f>
        <v>11782289.729</v>
      </c>
      <c r="D75" s="90">
        <f>D69+D73+D74</f>
        <v>94858</v>
      </c>
      <c r="E75" s="91">
        <f>E69+E73+E74</f>
        <v>89498</v>
      </c>
      <c r="F75" s="82">
        <f t="shared" si="13"/>
        <v>1624072.6919999998</v>
      </c>
      <c r="G75" s="83">
        <f t="shared" si="14"/>
        <v>13.784015920119796</v>
      </c>
      <c r="H75" s="82">
        <f t="shared" si="15"/>
        <v>5360</v>
      </c>
      <c r="I75" s="83">
        <f t="shared" si="16"/>
        <v>5.9889606471652996</v>
      </c>
    </row>
    <row r="76" spans="1:9" ht="17.149999999999999" customHeight="1" x14ac:dyDescent="0.3">
      <c r="A76" s="136"/>
      <c r="B76" s="107"/>
      <c r="C76" s="108"/>
      <c r="D76" s="108"/>
      <c r="E76" s="108"/>
      <c r="F76" s="110"/>
      <c r="G76" s="110"/>
      <c r="H76" s="110"/>
      <c r="I76" s="137"/>
    </row>
    <row r="77" spans="1:9" ht="17.149999999999999" customHeight="1" thickBot="1" x14ac:dyDescent="0.35">
      <c r="A77" s="131" t="s">
        <v>124</v>
      </c>
      <c r="B77" s="114"/>
      <c r="C77" s="115"/>
      <c r="D77" s="115"/>
      <c r="E77" s="115"/>
      <c r="F77" s="116"/>
      <c r="G77" s="116"/>
      <c r="H77" s="116"/>
      <c r="I77" s="138"/>
    </row>
    <row r="78" spans="1:9" ht="17.149999999999999" customHeight="1" thickBot="1" x14ac:dyDescent="0.35">
      <c r="A78" s="540" t="s">
        <v>125</v>
      </c>
      <c r="B78" s="133">
        <f>SUM(B79:B82)</f>
        <v>6069761.1150000002</v>
      </c>
      <c r="C78" s="91">
        <f>SUM(C79:C82)</f>
        <v>5799645.5970000001</v>
      </c>
      <c r="D78" s="91">
        <f>SUM(D79:D82)</f>
        <v>78246</v>
      </c>
      <c r="E78" s="91">
        <f>SUM(E79:E82)</f>
        <v>73655</v>
      </c>
      <c r="F78" s="91">
        <f t="shared" ref="F78:F83" si="19">B78-C78</f>
        <v>270115.51800000016</v>
      </c>
      <c r="G78" s="92">
        <f t="shared" ref="G78:G83" si="20">IF(C78&lt;&gt;0,(B78-C78)/C78)*100</f>
        <v>4.6574486920325553</v>
      </c>
      <c r="H78" s="91">
        <f t="shared" ref="H78:H83" si="21">D78-E78</f>
        <v>4591</v>
      </c>
      <c r="I78" s="92">
        <f t="shared" ref="I78:I83" si="22">IF(E78&lt;&gt;0,(D78-E78)/E78)*100</f>
        <v>6.2331138415586178</v>
      </c>
    </row>
    <row r="79" spans="1:9" ht="17.149999999999999" customHeight="1" x14ac:dyDescent="0.3">
      <c r="A79" s="119" t="s">
        <v>126</v>
      </c>
      <c r="B79" s="749">
        <f t="shared" ref="B79:E83" si="23">B51+B107</f>
        <v>4686770.5080000004</v>
      </c>
      <c r="C79" s="749">
        <f t="shared" si="23"/>
        <v>4554496.0269999998</v>
      </c>
      <c r="D79" s="749">
        <f t="shared" si="23"/>
        <v>55095</v>
      </c>
      <c r="E79" s="749">
        <f t="shared" si="23"/>
        <v>51870</v>
      </c>
      <c r="F79" s="680">
        <f t="shared" si="19"/>
        <v>132274.48100000061</v>
      </c>
      <c r="G79" s="681">
        <f t="shared" si="20"/>
        <v>2.9042616398356693</v>
      </c>
      <c r="H79" s="680">
        <f t="shared" si="21"/>
        <v>3225</v>
      </c>
      <c r="I79" s="681">
        <f t="shared" si="22"/>
        <v>6.2174667437825333</v>
      </c>
    </row>
    <row r="80" spans="1:9" ht="17.149999999999999" customHeight="1" x14ac:dyDescent="0.3">
      <c r="A80" s="119" t="s">
        <v>144</v>
      </c>
      <c r="B80" s="684">
        <f t="shared" si="23"/>
        <v>532688.473</v>
      </c>
      <c r="C80" s="684">
        <f t="shared" si="23"/>
        <v>529342.54800000007</v>
      </c>
      <c r="D80" s="684">
        <f t="shared" si="23"/>
        <v>10304</v>
      </c>
      <c r="E80" s="684">
        <f t="shared" si="23"/>
        <v>9995</v>
      </c>
      <c r="F80" s="680">
        <f t="shared" si="19"/>
        <v>3345.9249999999302</v>
      </c>
      <c r="G80" s="681">
        <f t="shared" si="20"/>
        <v>0.63209069677881435</v>
      </c>
      <c r="H80" s="680">
        <f t="shared" si="21"/>
        <v>309</v>
      </c>
      <c r="I80" s="681">
        <f t="shared" si="22"/>
        <v>3.0915457728864433</v>
      </c>
    </row>
    <row r="81" spans="1:9" ht="17.149999999999999" customHeight="1" x14ac:dyDescent="0.3">
      <c r="A81" s="120" t="s">
        <v>141</v>
      </c>
      <c r="B81" s="749">
        <f t="shared" si="23"/>
        <v>99919.827000000005</v>
      </c>
      <c r="C81" s="749">
        <f t="shared" si="23"/>
        <v>85966.978000000003</v>
      </c>
      <c r="D81" s="749">
        <f t="shared" si="23"/>
        <v>1827</v>
      </c>
      <c r="E81" s="749">
        <f t="shared" si="23"/>
        <v>1721</v>
      </c>
      <c r="F81" s="680">
        <f t="shared" si="19"/>
        <v>13952.849000000002</v>
      </c>
      <c r="G81" s="681">
        <f t="shared" si="20"/>
        <v>16.230475148259838</v>
      </c>
      <c r="H81" s="680">
        <f t="shared" si="21"/>
        <v>106</v>
      </c>
      <c r="I81" s="681">
        <f t="shared" si="22"/>
        <v>6.159209761766415</v>
      </c>
    </row>
    <row r="82" spans="1:9" ht="17.149999999999999" customHeight="1" x14ac:dyDescent="0.3">
      <c r="A82" s="119" t="s">
        <v>129</v>
      </c>
      <c r="B82" s="749">
        <f t="shared" si="23"/>
        <v>750382.30700000003</v>
      </c>
      <c r="C82" s="749">
        <f t="shared" si="23"/>
        <v>629840.04399999999</v>
      </c>
      <c r="D82" s="749">
        <f t="shared" si="23"/>
        <v>11020</v>
      </c>
      <c r="E82" s="749">
        <f t="shared" si="23"/>
        <v>10069</v>
      </c>
      <c r="F82" s="680">
        <f t="shared" si="19"/>
        <v>120542.26300000004</v>
      </c>
      <c r="G82" s="681">
        <f t="shared" si="20"/>
        <v>19.138551787602765</v>
      </c>
      <c r="H82" s="680">
        <f t="shared" si="21"/>
        <v>951</v>
      </c>
      <c r="I82" s="681">
        <f t="shared" si="22"/>
        <v>9.4448306683881231</v>
      </c>
    </row>
    <row r="83" spans="1:9" ht="17.149999999999999" customHeight="1" x14ac:dyDescent="0.3">
      <c r="A83" s="540" t="s">
        <v>130</v>
      </c>
      <c r="B83" s="749">
        <f t="shared" si="23"/>
        <v>0</v>
      </c>
      <c r="C83" s="749">
        <f t="shared" si="23"/>
        <v>0</v>
      </c>
      <c r="D83" s="749">
        <f t="shared" si="23"/>
        <v>0</v>
      </c>
      <c r="E83" s="749">
        <f t="shared" si="23"/>
        <v>0</v>
      </c>
      <c r="F83" s="680">
        <f t="shared" si="19"/>
        <v>0</v>
      </c>
      <c r="G83" s="681">
        <f t="shared" si="20"/>
        <v>0</v>
      </c>
      <c r="H83" s="680">
        <f t="shared" si="21"/>
        <v>0</v>
      </c>
      <c r="I83" s="681">
        <f t="shared" si="22"/>
        <v>0</v>
      </c>
    </row>
    <row r="84" spans="1:9" ht="17.149999999999999" customHeight="1" x14ac:dyDescent="0.3">
      <c r="A84" s="540"/>
      <c r="B84" s="749"/>
      <c r="C84" s="749"/>
      <c r="D84" s="749"/>
      <c r="E84" s="749"/>
      <c r="F84" s="753"/>
      <c r="G84" s="754"/>
      <c r="H84" s="753"/>
      <c r="I84" s="754"/>
    </row>
    <row r="85" spans="1:9" ht="17.149999999999999" customHeight="1" x14ac:dyDescent="0.3">
      <c r="A85" s="540"/>
      <c r="B85" s="749"/>
      <c r="C85" s="749"/>
      <c r="D85" s="749"/>
      <c r="E85" s="749"/>
      <c r="F85" s="753"/>
      <c r="G85" s="754"/>
      <c r="H85" s="753"/>
      <c r="I85" s="754"/>
    </row>
    <row r="86" spans="1:9" ht="17.149999999999999" customHeight="1" thickBot="1" x14ac:dyDescent="0.35">
      <c r="A86" s="540"/>
      <c r="B86" s="642"/>
      <c r="C86" s="636"/>
      <c r="D86" s="637"/>
      <c r="E86" s="637"/>
      <c r="F86" s="638"/>
      <c r="G86" s="639"/>
      <c r="H86" s="640"/>
      <c r="I86" s="641"/>
    </row>
    <row r="87" spans="1:9" ht="17.149999999999999" customHeight="1" thickBot="1" x14ac:dyDescent="0.35">
      <c r="A87" s="134" t="s">
        <v>131</v>
      </c>
      <c r="B87" s="103">
        <f>B78+B83</f>
        <v>6069761.1150000002</v>
      </c>
      <c r="C87" s="104">
        <f>C78+C83</f>
        <v>5799645.5970000001</v>
      </c>
      <c r="D87" s="104">
        <f>D78+D83</f>
        <v>78246</v>
      </c>
      <c r="E87" s="104">
        <f>E78+E83</f>
        <v>73655</v>
      </c>
      <c r="F87" s="657">
        <f>B87-C87</f>
        <v>270115.51800000016</v>
      </c>
      <c r="G87" s="625">
        <f>IF(C87&lt;&gt;0,(B87-C87)/C87)*100</f>
        <v>4.6574486920325553</v>
      </c>
      <c r="H87" s="657">
        <f>D87-E87</f>
        <v>4591</v>
      </c>
      <c r="I87" s="625">
        <f>IF(E87&lt;&gt;0,(D87-E87)/E87)*100</f>
        <v>6.2331138415586178</v>
      </c>
    </row>
    <row r="88" spans="1:9" ht="17.149999999999999" customHeight="1" thickBot="1" x14ac:dyDescent="0.35">
      <c r="A88" s="540"/>
      <c r="B88" s="121"/>
      <c r="C88" s="122"/>
      <c r="D88" s="122"/>
      <c r="E88" s="122"/>
      <c r="F88" s="123"/>
      <c r="G88" s="124"/>
      <c r="H88" s="123"/>
      <c r="I88" s="125"/>
    </row>
    <row r="89" spans="1:9" ht="17.149999999999999" customHeight="1" thickBot="1" x14ac:dyDescent="0.35">
      <c r="A89" s="134" t="s">
        <v>132</v>
      </c>
      <c r="B89" s="139">
        <f>B75+B87</f>
        <v>19476123.535999998</v>
      </c>
      <c r="C89" s="140">
        <f>C75+C87</f>
        <v>17581935.326000001</v>
      </c>
      <c r="D89" s="140">
        <f>D75+D87</f>
        <v>173104</v>
      </c>
      <c r="E89" s="140">
        <f>E75+E87</f>
        <v>163153</v>
      </c>
      <c r="F89" s="104">
        <f>B89-C89</f>
        <v>1894188.2099999972</v>
      </c>
      <c r="G89" s="105">
        <f>IF(C89&lt;&gt;0,(B89-C89)/C89)*100</f>
        <v>10.773490943280228</v>
      </c>
      <c r="H89" s="104">
        <f>D89-E89</f>
        <v>9951</v>
      </c>
      <c r="I89" s="105">
        <f>IF(E89&lt;&gt;0,(D89-E89)/E89)*100</f>
        <v>6.0991829754892644</v>
      </c>
    </row>
    <row r="90" spans="1:9" ht="17.149999999999999" customHeight="1" x14ac:dyDescent="0.3">
      <c r="A90" s="94"/>
      <c r="B90" s="94"/>
      <c r="C90" s="94"/>
      <c r="D90" s="94"/>
      <c r="E90" s="94"/>
      <c r="F90" s="541"/>
      <c r="G90" s="541"/>
      <c r="H90" s="541"/>
      <c r="I90" s="541"/>
    </row>
    <row r="91" spans="1:9" ht="17.149999999999999" customHeight="1" x14ac:dyDescent="0.3">
      <c r="A91" s="126"/>
      <c r="B91" s="97"/>
      <c r="C91" s="97"/>
      <c r="D91" s="97"/>
      <c r="E91" s="97"/>
      <c r="F91" s="541"/>
      <c r="G91" s="541"/>
      <c r="H91" s="541"/>
      <c r="I91" s="541"/>
    </row>
    <row r="92" spans="1:9" ht="17.149999999999999" customHeight="1" thickBot="1" x14ac:dyDescent="0.35">
      <c r="A92" s="404" t="s">
        <v>145</v>
      </c>
      <c r="B92" s="813"/>
      <c r="C92" s="813"/>
      <c r="D92" s="129"/>
      <c r="E92" s="129"/>
      <c r="F92" s="541"/>
      <c r="G92" s="541"/>
      <c r="H92" s="541"/>
      <c r="I92" s="541"/>
    </row>
    <row r="93" spans="1:9" ht="17.149999999999999" customHeight="1" thickBot="1" x14ac:dyDescent="0.35">
      <c r="A93" s="824" t="s">
        <v>134</v>
      </c>
      <c r="B93" s="820" t="s">
        <v>105</v>
      </c>
      <c r="C93" s="835"/>
      <c r="D93" s="820" t="s">
        <v>106</v>
      </c>
      <c r="E93" s="821"/>
      <c r="F93" s="804" t="s">
        <v>107</v>
      </c>
      <c r="G93" s="805"/>
      <c r="H93" s="805"/>
      <c r="I93" s="806"/>
    </row>
    <row r="94" spans="1:9" ht="17.149999999999999" customHeight="1" thickBot="1" x14ac:dyDescent="0.35">
      <c r="A94" s="825"/>
      <c r="B94" s="324" t="s">
        <v>147</v>
      </c>
      <c r="C94" s="324" t="s">
        <v>148</v>
      </c>
      <c r="D94" s="324" t="s">
        <v>147</v>
      </c>
      <c r="E94" s="324" t="s">
        <v>148</v>
      </c>
      <c r="F94" s="804" t="s">
        <v>105</v>
      </c>
      <c r="G94" s="806"/>
      <c r="H94" s="804" t="s">
        <v>106</v>
      </c>
      <c r="I94" s="806"/>
    </row>
    <row r="95" spans="1:9" ht="17.149999999999999" customHeight="1" x14ac:dyDescent="0.3">
      <c r="A95" s="130"/>
      <c r="B95" s="807"/>
      <c r="C95" s="808"/>
      <c r="D95" s="808"/>
      <c r="E95" s="809"/>
      <c r="F95" s="814" t="s">
        <v>110</v>
      </c>
      <c r="G95" s="816" t="s">
        <v>111</v>
      </c>
      <c r="H95" s="816" t="s">
        <v>112</v>
      </c>
      <c r="I95" s="816" t="s">
        <v>111</v>
      </c>
    </row>
    <row r="96" spans="1:9" ht="17.149999999999999" customHeight="1" thickBot="1" x14ac:dyDescent="0.35">
      <c r="A96" s="131" t="s">
        <v>113</v>
      </c>
      <c r="B96" s="810"/>
      <c r="C96" s="811"/>
      <c r="D96" s="811"/>
      <c r="E96" s="812"/>
      <c r="F96" s="815"/>
      <c r="G96" s="817"/>
      <c r="H96" s="817"/>
      <c r="I96" s="817"/>
    </row>
    <row r="97" spans="1:9" ht="17.149999999999999" customHeight="1" thickBot="1" x14ac:dyDescent="0.35">
      <c r="A97" s="540" t="s">
        <v>135</v>
      </c>
      <c r="B97" s="91">
        <f>B98+B99+B100</f>
        <v>2510184.1529999999</v>
      </c>
      <c r="C97" s="91">
        <f>C98+C99+C100</f>
        <v>1359608.98</v>
      </c>
      <c r="D97" s="91">
        <f>D98+D99+D100</f>
        <v>22389</v>
      </c>
      <c r="E97" s="91">
        <f>E98+E99+E100</f>
        <v>13314</v>
      </c>
      <c r="F97" s="91">
        <f t="shared" ref="F97:F103" si="24">B97-C97</f>
        <v>1150575.173</v>
      </c>
      <c r="G97" s="92">
        <f t="shared" ref="G97:G103" si="25">IF(C97&lt;&gt;0,(B97-C97)/C97)*100</f>
        <v>84.625446722189196</v>
      </c>
      <c r="H97" s="91">
        <f t="shared" ref="H97:H103" si="26">D97-E97</f>
        <v>9075</v>
      </c>
      <c r="I97" s="92">
        <f t="shared" ref="I97:I103" si="27">IF(E97&lt;&gt;0,(D97-E97)/E97)*100</f>
        <v>68.161333934204592</v>
      </c>
    </row>
    <row r="98" spans="1:9" ht="17.149999999999999" customHeight="1" x14ac:dyDescent="0.3">
      <c r="A98" s="540" t="s">
        <v>136</v>
      </c>
      <c r="B98" s="752">
        <f>1936369684/1000</f>
        <v>1936369.6839999999</v>
      </c>
      <c r="C98" s="752">
        <f>1102866118/1000</f>
        <v>1102866.118</v>
      </c>
      <c r="D98" s="752">
        <v>12088</v>
      </c>
      <c r="E98" s="752">
        <v>7660</v>
      </c>
      <c r="F98" s="680">
        <f t="shared" si="24"/>
        <v>833503.56599999988</v>
      </c>
      <c r="G98" s="681">
        <f t="shared" si="25"/>
        <v>75.57613316759813</v>
      </c>
      <c r="H98" s="680">
        <f t="shared" si="26"/>
        <v>4428</v>
      </c>
      <c r="I98" s="681">
        <f t="shared" si="27"/>
        <v>57.806788511749353</v>
      </c>
    </row>
    <row r="99" spans="1:9" ht="17.149999999999999" customHeight="1" x14ac:dyDescent="0.3">
      <c r="A99" s="540" t="s">
        <v>116</v>
      </c>
      <c r="B99" s="752">
        <f>573796665/1000</f>
        <v>573796.66500000004</v>
      </c>
      <c r="C99" s="752">
        <f>256727895/1000</f>
        <v>256727.89499999999</v>
      </c>
      <c r="D99" s="752">
        <v>10292</v>
      </c>
      <c r="E99" s="752">
        <v>5647</v>
      </c>
      <c r="F99" s="680">
        <f t="shared" si="24"/>
        <v>317068.77</v>
      </c>
      <c r="G99" s="681">
        <f t="shared" si="25"/>
        <v>123.50382493495692</v>
      </c>
      <c r="H99" s="680">
        <f t="shared" si="26"/>
        <v>4645</v>
      </c>
      <c r="I99" s="681">
        <f t="shared" si="27"/>
        <v>82.256065167345497</v>
      </c>
    </row>
    <row r="100" spans="1:9" ht="17.149999999999999" customHeight="1" x14ac:dyDescent="0.3">
      <c r="A100" s="540" t="s">
        <v>143</v>
      </c>
      <c r="B100" s="752">
        <f>17804/1000</f>
        <v>17.803999999999998</v>
      </c>
      <c r="C100" s="752">
        <f>14967/1000</f>
        <v>14.967000000000001</v>
      </c>
      <c r="D100" s="752">
        <v>9</v>
      </c>
      <c r="E100" s="752">
        <v>7</v>
      </c>
      <c r="F100" s="680">
        <f t="shared" si="24"/>
        <v>2.836999999999998</v>
      </c>
      <c r="G100" s="681">
        <f t="shared" si="25"/>
        <v>18.955034409033193</v>
      </c>
      <c r="H100" s="680">
        <f t="shared" si="26"/>
        <v>2</v>
      </c>
      <c r="I100" s="681">
        <f t="shared" si="27"/>
        <v>28.571428571428569</v>
      </c>
    </row>
    <row r="101" spans="1:9" ht="17.149999999999999" customHeight="1" x14ac:dyDescent="0.3">
      <c r="A101" s="540" t="s">
        <v>139</v>
      </c>
      <c r="B101" s="752">
        <v>0</v>
      </c>
      <c r="C101" s="752">
        <v>0</v>
      </c>
      <c r="D101" s="752">
        <v>0</v>
      </c>
      <c r="E101" s="752">
        <v>0</v>
      </c>
      <c r="F101" s="680">
        <f t="shared" si="24"/>
        <v>0</v>
      </c>
      <c r="G101" s="681">
        <f t="shared" si="25"/>
        <v>0</v>
      </c>
      <c r="H101" s="680">
        <f t="shared" si="26"/>
        <v>0</v>
      </c>
      <c r="I101" s="681">
        <f t="shared" si="27"/>
        <v>0</v>
      </c>
    </row>
    <row r="102" spans="1:9" ht="17.149999999999999" customHeight="1" thickBot="1" x14ac:dyDescent="0.35">
      <c r="A102" s="540" t="s">
        <v>140</v>
      </c>
      <c r="B102" s="752">
        <v>0</v>
      </c>
      <c r="C102" s="752">
        <v>0</v>
      </c>
      <c r="D102" s="752">
        <v>0</v>
      </c>
      <c r="E102" s="752">
        <v>0</v>
      </c>
      <c r="F102" s="680">
        <f t="shared" si="24"/>
        <v>0</v>
      </c>
      <c r="G102" s="681">
        <f t="shared" si="25"/>
        <v>0</v>
      </c>
      <c r="H102" s="680">
        <f t="shared" si="26"/>
        <v>0</v>
      </c>
      <c r="I102" s="681">
        <f t="shared" si="27"/>
        <v>0</v>
      </c>
    </row>
    <row r="103" spans="1:9" ht="17.149999999999999" customHeight="1" thickBot="1" x14ac:dyDescent="0.35">
      <c r="A103" s="134" t="s">
        <v>123</v>
      </c>
      <c r="B103" s="81">
        <f>B97+B101+B102</f>
        <v>2510184.1529999999</v>
      </c>
      <c r="C103" s="81">
        <f>C97+C101+C102</f>
        <v>1359608.98</v>
      </c>
      <c r="D103" s="81">
        <f>D97+D101+D102</f>
        <v>22389</v>
      </c>
      <c r="E103" s="82">
        <f>E97+E101+E102</f>
        <v>13314</v>
      </c>
      <c r="F103" s="91">
        <f t="shared" si="24"/>
        <v>1150575.173</v>
      </c>
      <c r="G103" s="92">
        <f t="shared" si="25"/>
        <v>84.625446722189196</v>
      </c>
      <c r="H103" s="91">
        <f t="shared" si="26"/>
        <v>9075</v>
      </c>
      <c r="I103" s="92">
        <f t="shared" si="27"/>
        <v>68.161333934204592</v>
      </c>
    </row>
    <row r="104" spans="1:9" ht="17.149999999999999" customHeight="1" x14ac:dyDescent="0.3">
      <c r="A104" s="142"/>
      <c r="B104" s="107"/>
      <c r="C104" s="108"/>
      <c r="D104" s="109"/>
      <c r="E104" s="108"/>
      <c r="F104" s="110"/>
      <c r="G104" s="111"/>
      <c r="H104" s="112"/>
      <c r="I104" s="113"/>
    </row>
    <row r="105" spans="1:9" ht="17.149999999999999" customHeight="1" thickBot="1" x14ac:dyDescent="0.35">
      <c r="A105" s="143" t="s">
        <v>124</v>
      </c>
      <c r="B105" s="114"/>
      <c r="C105" s="115"/>
      <c r="D105" s="115"/>
      <c r="E105" s="115"/>
      <c r="F105" s="116"/>
      <c r="G105" s="117"/>
      <c r="H105" s="116"/>
      <c r="I105" s="118"/>
    </row>
    <row r="106" spans="1:9" ht="17.149999999999999" customHeight="1" thickBot="1" x14ac:dyDescent="0.35">
      <c r="A106" s="540" t="s">
        <v>125</v>
      </c>
      <c r="B106" s="104">
        <f>SUM(B107:B110)</f>
        <v>633267.11399999994</v>
      </c>
      <c r="C106" s="104">
        <f>SUM(C107:C110)</f>
        <v>447405.44799999997</v>
      </c>
      <c r="D106" s="104">
        <f>SUM(D107:D110)</f>
        <v>8744</v>
      </c>
      <c r="E106" s="104">
        <f>SUM(E107:E110)</f>
        <v>6110</v>
      </c>
      <c r="F106" s="91">
        <f t="shared" ref="F106:F111" si="28">B106-C106</f>
        <v>185861.66599999997</v>
      </c>
      <c r="G106" s="92">
        <f t="shared" ref="G106:G111" si="29">IF(C106&lt;&gt;0,(B106-C106)/C106)*100</f>
        <v>41.542110591375717</v>
      </c>
      <c r="H106" s="91">
        <f t="shared" ref="H106:H111" si="30">D106-E106</f>
        <v>2634</v>
      </c>
      <c r="I106" s="92">
        <f t="shared" ref="I106:I111" si="31">IF(E106&lt;&gt;0,(D106-E106)/E106)*100</f>
        <v>43.109656301145662</v>
      </c>
    </row>
    <row r="107" spans="1:9" ht="17.149999999999999" customHeight="1" x14ac:dyDescent="0.3">
      <c r="A107" s="119" t="s">
        <v>126</v>
      </c>
      <c r="B107" s="752">
        <f>320833752/1000</f>
        <v>320833.75199999998</v>
      </c>
      <c r="C107" s="752">
        <f>216552333/1000</f>
        <v>216552.33300000001</v>
      </c>
      <c r="D107" s="752">
        <v>3967</v>
      </c>
      <c r="E107" s="752">
        <v>2463</v>
      </c>
      <c r="F107" s="680">
        <f t="shared" si="28"/>
        <v>104281.41899999997</v>
      </c>
      <c r="G107" s="681">
        <f t="shared" si="29"/>
        <v>48.155296946165876</v>
      </c>
      <c r="H107" s="680">
        <f t="shared" si="30"/>
        <v>1504</v>
      </c>
      <c r="I107" s="681">
        <f t="shared" si="31"/>
        <v>61.063743402354852</v>
      </c>
    </row>
    <row r="108" spans="1:9" ht="17.149999999999999" customHeight="1" x14ac:dyDescent="0.3">
      <c r="A108" s="119" t="s">
        <v>144</v>
      </c>
      <c r="B108" s="752">
        <f>41409892/1000</f>
        <v>41409.892</v>
      </c>
      <c r="C108" s="752">
        <f>19256278/1000</f>
        <v>19256.277999999998</v>
      </c>
      <c r="D108" s="752">
        <v>1082</v>
      </c>
      <c r="E108" s="752">
        <v>652</v>
      </c>
      <c r="F108" s="680">
        <f t="shared" si="28"/>
        <v>22153.614000000001</v>
      </c>
      <c r="G108" s="681">
        <f t="shared" si="29"/>
        <v>115.04618909220153</v>
      </c>
      <c r="H108" s="680">
        <f t="shared" si="30"/>
        <v>430</v>
      </c>
      <c r="I108" s="681">
        <f t="shared" si="31"/>
        <v>65.950920245398777</v>
      </c>
    </row>
    <row r="109" spans="1:9" ht="17.149999999999999" customHeight="1" x14ac:dyDescent="0.3">
      <c r="A109" s="120" t="s">
        <v>141</v>
      </c>
      <c r="B109" s="752">
        <f>12525959/1000</f>
        <v>12525.959000000001</v>
      </c>
      <c r="C109" s="752">
        <f>9686691/1000</f>
        <v>9686.6910000000007</v>
      </c>
      <c r="D109" s="752">
        <v>279</v>
      </c>
      <c r="E109" s="752">
        <v>214</v>
      </c>
      <c r="F109" s="680">
        <f t="shared" si="28"/>
        <v>2839.268</v>
      </c>
      <c r="G109" s="681">
        <f t="shared" si="29"/>
        <v>29.311020657105715</v>
      </c>
      <c r="H109" s="680">
        <f t="shared" si="30"/>
        <v>65</v>
      </c>
      <c r="I109" s="681">
        <f t="shared" si="31"/>
        <v>30.373831775700932</v>
      </c>
    </row>
    <row r="110" spans="1:9" ht="17.149999999999999" customHeight="1" x14ac:dyDescent="0.3">
      <c r="A110" s="119" t="s">
        <v>129</v>
      </c>
      <c r="B110" s="752">
        <f>258497511/1000</f>
        <v>258497.511</v>
      </c>
      <c r="C110" s="752">
        <f>201910146/1000</f>
        <v>201910.14600000001</v>
      </c>
      <c r="D110" s="752">
        <v>3416</v>
      </c>
      <c r="E110" s="752">
        <v>2781</v>
      </c>
      <c r="F110" s="680">
        <f t="shared" si="28"/>
        <v>56587.364999999991</v>
      </c>
      <c r="G110" s="681">
        <f t="shared" si="29"/>
        <v>28.026013611024769</v>
      </c>
      <c r="H110" s="680">
        <f t="shared" si="30"/>
        <v>635</v>
      </c>
      <c r="I110" s="681">
        <f t="shared" si="31"/>
        <v>22.833513124775262</v>
      </c>
    </row>
    <row r="111" spans="1:9" ht="17.149999999999999" customHeight="1" x14ac:dyDescent="0.3">
      <c r="A111" s="540" t="s">
        <v>130</v>
      </c>
      <c r="B111" s="752">
        <v>0</v>
      </c>
      <c r="C111" s="752">
        <v>0</v>
      </c>
      <c r="D111" s="752">
        <v>0</v>
      </c>
      <c r="E111" s="752">
        <v>0</v>
      </c>
      <c r="F111" s="680">
        <f t="shared" si="28"/>
        <v>0</v>
      </c>
      <c r="G111" s="681">
        <f t="shared" si="29"/>
        <v>0</v>
      </c>
      <c r="H111" s="680">
        <f t="shared" si="30"/>
        <v>0</v>
      </c>
      <c r="I111" s="681">
        <f t="shared" si="31"/>
        <v>0</v>
      </c>
    </row>
    <row r="112" spans="1:9" ht="17.149999999999999" customHeight="1" x14ac:dyDescent="0.3">
      <c r="A112" s="540"/>
      <c r="B112" s="684"/>
      <c r="C112" s="684"/>
      <c r="D112" s="684"/>
      <c r="E112" s="684"/>
      <c r="F112" s="753"/>
      <c r="G112" s="754"/>
      <c r="H112" s="753"/>
      <c r="I112" s="754"/>
    </row>
    <row r="113" spans="1:10" ht="17.149999999999999" customHeight="1" x14ac:dyDescent="0.3">
      <c r="A113" s="540"/>
      <c r="B113" s="684"/>
      <c r="C113" s="684"/>
      <c r="D113" s="684"/>
      <c r="E113" s="684"/>
      <c r="F113" s="753"/>
      <c r="G113" s="754"/>
      <c r="H113" s="753"/>
      <c r="I113" s="754"/>
    </row>
    <row r="114" spans="1:10" ht="17.149999999999999" customHeight="1" thickBot="1" x14ac:dyDescent="0.35">
      <c r="A114" s="540"/>
      <c r="B114" s="636"/>
      <c r="C114" s="636"/>
      <c r="D114" s="637"/>
      <c r="E114" s="637"/>
      <c r="F114" s="638"/>
      <c r="G114" s="639"/>
      <c r="H114" s="640"/>
      <c r="I114" s="641"/>
    </row>
    <row r="115" spans="1:10" ht="17.149999999999999" customHeight="1" thickBot="1" x14ac:dyDescent="0.35">
      <c r="A115" s="134" t="s">
        <v>131</v>
      </c>
      <c r="B115" s="104">
        <f>B106+B111</f>
        <v>633267.11399999994</v>
      </c>
      <c r="C115" s="104">
        <f>C106+C111</f>
        <v>447405.44799999997</v>
      </c>
      <c r="D115" s="104">
        <f>D106+D111</f>
        <v>8744</v>
      </c>
      <c r="E115" s="104">
        <f>E106+E111</f>
        <v>6110</v>
      </c>
      <c r="F115" s="657">
        <f>B115-C115</f>
        <v>185861.66599999997</v>
      </c>
      <c r="G115" s="625">
        <f>IF(C115&lt;&gt;0,(B115-C115)/C115)*100</f>
        <v>41.542110591375717</v>
      </c>
      <c r="H115" s="657">
        <f>D115-E115</f>
        <v>2634</v>
      </c>
      <c r="I115" s="625">
        <f>IF(E115&lt;&gt;0,(D115-E115)/E115)*100</f>
        <v>43.109656301145662</v>
      </c>
    </row>
    <row r="116" spans="1:10" ht="17.149999999999999" customHeight="1" thickBot="1" x14ac:dyDescent="0.35">
      <c r="A116" s="540"/>
      <c r="B116" s="121"/>
      <c r="C116" s="122"/>
      <c r="D116" s="122"/>
      <c r="E116" s="122"/>
      <c r="F116" s="123"/>
      <c r="G116" s="124"/>
      <c r="H116" s="123"/>
      <c r="I116" s="125"/>
    </row>
    <row r="117" spans="1:10" ht="17.149999999999999" customHeight="1" thickBot="1" x14ac:dyDescent="0.35">
      <c r="A117" s="134" t="s">
        <v>132</v>
      </c>
      <c r="B117" s="104">
        <f>B103+B115</f>
        <v>3143451.267</v>
      </c>
      <c r="C117" s="104">
        <f>C103+C115</f>
        <v>1807014.4279999998</v>
      </c>
      <c r="D117" s="104">
        <f>D103+D115</f>
        <v>31133</v>
      </c>
      <c r="E117" s="104">
        <f>E103+E115</f>
        <v>19424</v>
      </c>
      <c r="F117" s="104">
        <f>B117-C117</f>
        <v>1336436.8390000002</v>
      </c>
      <c r="G117" s="105">
        <f>IF(C117&lt;&gt;0,(B117-C117)/C117)*100</f>
        <v>73.958282695017871</v>
      </c>
      <c r="H117" s="104">
        <f>D117-E117</f>
        <v>11709</v>
      </c>
      <c r="I117" s="105">
        <f>IF(E117&lt;&gt;0,(D117-E117)/E117)*100</f>
        <v>60.281095551894559</v>
      </c>
    </row>
    <row r="118" spans="1:10" ht="17.149999999999999" customHeight="1" x14ac:dyDescent="0.3">
      <c r="B118" s="353"/>
      <c r="C118" s="353"/>
      <c r="J118"/>
    </row>
    <row r="119" spans="1:10" ht="17.149999999999999" customHeight="1" x14ac:dyDescent="0.3">
      <c r="J119"/>
    </row>
    <row r="120" spans="1:10" ht="17.149999999999999" customHeight="1" x14ac:dyDescent="0.35">
      <c r="B120" s="217">
        <f t="shared" ref="B120:E122" si="32">B41-B69+B97</f>
        <v>0</v>
      </c>
      <c r="C120" s="217">
        <f t="shared" si="32"/>
        <v>0</v>
      </c>
      <c r="D120" s="217">
        <f t="shared" si="32"/>
        <v>0</v>
      </c>
      <c r="E120" s="217">
        <f t="shared" si="32"/>
        <v>0</v>
      </c>
      <c r="J120"/>
    </row>
    <row r="121" spans="1:10" ht="17.149999999999999" customHeight="1" x14ac:dyDescent="0.35">
      <c r="B121" s="217">
        <f t="shared" si="32"/>
        <v>0</v>
      </c>
      <c r="C121" s="217">
        <f t="shared" si="32"/>
        <v>0</v>
      </c>
      <c r="D121" s="217">
        <f t="shared" si="32"/>
        <v>0</v>
      </c>
      <c r="E121" s="217">
        <f t="shared" si="32"/>
        <v>0</v>
      </c>
      <c r="J121"/>
    </row>
    <row r="122" spans="1:10" ht="17.149999999999999" customHeight="1" x14ac:dyDescent="0.35">
      <c r="B122" s="217">
        <f t="shared" si="32"/>
        <v>0</v>
      </c>
      <c r="C122" s="217">
        <f t="shared" si="32"/>
        <v>4.3655745685100555E-10</v>
      </c>
      <c r="D122" s="217">
        <f t="shared" si="32"/>
        <v>0</v>
      </c>
      <c r="E122" s="217">
        <f t="shared" si="32"/>
        <v>0</v>
      </c>
      <c r="J122"/>
    </row>
    <row r="123" spans="1:10" ht="17.149999999999999" customHeight="1" x14ac:dyDescent="0.35">
      <c r="B123" s="217">
        <f t="shared" ref="B123:E127" si="33">B45-B72+B100</f>
        <v>0</v>
      </c>
      <c r="C123" s="217">
        <f t="shared" si="33"/>
        <v>0</v>
      </c>
      <c r="D123" s="217">
        <f t="shared" si="33"/>
        <v>0</v>
      </c>
      <c r="E123" s="217">
        <f t="shared" si="33"/>
        <v>0</v>
      </c>
      <c r="J123"/>
    </row>
    <row r="124" spans="1:10" ht="17.149999999999999" customHeight="1" x14ac:dyDescent="0.35">
      <c r="B124" s="217">
        <f t="shared" si="33"/>
        <v>0</v>
      </c>
      <c r="C124" s="217">
        <f t="shared" si="33"/>
        <v>0</v>
      </c>
      <c r="D124" s="217">
        <f t="shared" si="33"/>
        <v>0</v>
      </c>
      <c r="E124" s="217">
        <f t="shared" si="33"/>
        <v>0</v>
      </c>
      <c r="J124"/>
    </row>
    <row r="125" spans="1:10" ht="17.149999999999999" customHeight="1" x14ac:dyDescent="0.35">
      <c r="B125" s="217">
        <f t="shared" si="33"/>
        <v>0</v>
      </c>
      <c r="C125" s="217">
        <f t="shared" si="33"/>
        <v>0</v>
      </c>
      <c r="D125" s="217">
        <f t="shared" si="33"/>
        <v>0</v>
      </c>
      <c r="E125" s="217">
        <f t="shared" si="33"/>
        <v>0</v>
      </c>
      <c r="J125"/>
    </row>
    <row r="126" spans="1:10" ht="17.149999999999999" customHeight="1" x14ac:dyDescent="0.35">
      <c r="B126" s="217">
        <f t="shared" si="33"/>
        <v>0</v>
      </c>
      <c r="C126" s="217">
        <f t="shared" si="33"/>
        <v>0</v>
      </c>
      <c r="D126" s="217">
        <f t="shared" si="33"/>
        <v>0</v>
      </c>
      <c r="E126" s="217">
        <f t="shared" si="33"/>
        <v>0</v>
      </c>
      <c r="J126"/>
    </row>
    <row r="127" spans="1:10" ht="17.149999999999999" customHeight="1" x14ac:dyDescent="0.35">
      <c r="B127" s="217">
        <f t="shared" si="33"/>
        <v>0</v>
      </c>
      <c r="C127" s="217">
        <f t="shared" si="33"/>
        <v>0</v>
      </c>
      <c r="D127" s="217">
        <f t="shared" si="33"/>
        <v>0</v>
      </c>
      <c r="E127" s="217">
        <f t="shared" si="33"/>
        <v>0</v>
      </c>
      <c r="J127"/>
    </row>
    <row r="128" spans="1:10" ht="17.149999999999999" customHeight="1" x14ac:dyDescent="0.35">
      <c r="B128" s="217">
        <f t="shared" ref="B128:E135" si="34">B49-B77+B105</f>
        <v>0</v>
      </c>
      <c r="C128" s="217">
        <f t="shared" si="34"/>
        <v>0</v>
      </c>
      <c r="D128" s="217">
        <f t="shared" si="34"/>
        <v>0</v>
      </c>
      <c r="E128" s="217">
        <f t="shared" si="34"/>
        <v>0</v>
      </c>
      <c r="J128"/>
    </row>
    <row r="129" spans="1:5" customFormat="1" ht="17.149999999999999" customHeight="1" x14ac:dyDescent="0.35">
      <c r="A129" s="347"/>
      <c r="B129" s="217">
        <f t="shared" si="34"/>
        <v>0</v>
      </c>
      <c r="C129" s="217">
        <f>C50-C78+C106</f>
        <v>-8.149072527885437E-10</v>
      </c>
      <c r="D129" s="217">
        <f t="shared" si="34"/>
        <v>0</v>
      </c>
      <c r="E129" s="217">
        <f t="shared" si="34"/>
        <v>0</v>
      </c>
    </row>
    <row r="130" spans="1:5" customFormat="1" ht="17.149999999999999" customHeight="1" x14ac:dyDescent="0.35">
      <c r="A130" s="347"/>
      <c r="B130" s="217">
        <f t="shared" si="34"/>
        <v>0</v>
      </c>
      <c r="C130" s="217">
        <f t="shared" si="34"/>
        <v>3.7834979593753815E-10</v>
      </c>
      <c r="D130" s="217">
        <f t="shared" si="34"/>
        <v>0</v>
      </c>
      <c r="E130" s="217">
        <f t="shared" si="34"/>
        <v>0</v>
      </c>
    </row>
    <row r="131" spans="1:5" customFormat="1" ht="17.149999999999999" customHeight="1" x14ac:dyDescent="0.35">
      <c r="A131" s="347"/>
      <c r="B131" s="217">
        <f>B52-B80+B108</f>
        <v>0</v>
      </c>
      <c r="C131" s="217">
        <f t="shared" si="34"/>
        <v>-5.0931703299283981E-11</v>
      </c>
      <c r="D131" s="217">
        <f t="shared" si="34"/>
        <v>0</v>
      </c>
      <c r="E131" s="217">
        <f t="shared" si="34"/>
        <v>0</v>
      </c>
    </row>
    <row r="132" spans="1:5" customFormat="1" ht="17.149999999999999" customHeight="1" x14ac:dyDescent="0.35">
      <c r="A132" s="347"/>
      <c r="B132" s="217">
        <f t="shared" si="34"/>
        <v>0</v>
      </c>
      <c r="C132" s="217">
        <f t="shared" si="34"/>
        <v>0</v>
      </c>
      <c r="D132" s="217">
        <f t="shared" si="34"/>
        <v>0</v>
      </c>
      <c r="E132" s="217">
        <f t="shared" si="34"/>
        <v>0</v>
      </c>
    </row>
    <row r="133" spans="1:5" customFormat="1" ht="17.149999999999999" customHeight="1" x14ac:dyDescent="0.35">
      <c r="A133" s="347"/>
      <c r="B133" s="217">
        <f t="shared" si="34"/>
        <v>0</v>
      </c>
      <c r="C133" s="217">
        <f t="shared" si="34"/>
        <v>0</v>
      </c>
      <c r="D133" s="217">
        <f t="shared" si="34"/>
        <v>0</v>
      </c>
      <c r="E133" s="217">
        <f t="shared" si="34"/>
        <v>0</v>
      </c>
    </row>
    <row r="134" spans="1:5" customFormat="1" ht="17.149999999999999" customHeight="1" x14ac:dyDescent="0.35">
      <c r="A134" s="347"/>
      <c r="B134" s="217">
        <f t="shared" si="34"/>
        <v>0</v>
      </c>
      <c r="C134" s="217">
        <f>C55-C83+C111</f>
        <v>0</v>
      </c>
      <c r="D134" s="217">
        <f t="shared" si="34"/>
        <v>0</v>
      </c>
      <c r="E134" s="217">
        <f t="shared" si="34"/>
        <v>0</v>
      </c>
    </row>
    <row r="135" spans="1:5" customFormat="1" ht="17.149999999999999" customHeight="1" x14ac:dyDescent="0.35">
      <c r="A135" s="347"/>
      <c r="B135" s="217">
        <f t="shared" si="34"/>
        <v>0</v>
      </c>
      <c r="C135" s="217">
        <f t="shared" si="34"/>
        <v>0</v>
      </c>
      <c r="D135" s="217">
        <f t="shared" si="34"/>
        <v>0</v>
      </c>
      <c r="E135" s="217">
        <f t="shared" si="34"/>
        <v>0</v>
      </c>
    </row>
    <row r="136" spans="1:5" customFormat="1" ht="17.149999999999999" customHeight="1" x14ac:dyDescent="0.35">
      <c r="A136" s="347"/>
      <c r="B136" s="217">
        <f t="shared" ref="B136:E140" si="35">B57-B85+B113</f>
        <v>0</v>
      </c>
      <c r="C136" s="217">
        <f t="shared" si="35"/>
        <v>0</v>
      </c>
      <c r="D136" s="217">
        <f t="shared" si="35"/>
        <v>0</v>
      </c>
      <c r="E136" s="217">
        <f t="shared" si="35"/>
        <v>0</v>
      </c>
    </row>
    <row r="137" spans="1:5" customFormat="1" ht="17.149999999999999" customHeight="1" x14ac:dyDescent="0.35">
      <c r="A137" s="347"/>
      <c r="B137" s="217">
        <f t="shared" si="35"/>
        <v>0</v>
      </c>
      <c r="C137" s="217">
        <f t="shared" si="35"/>
        <v>0</v>
      </c>
      <c r="D137" s="217">
        <f t="shared" si="35"/>
        <v>0</v>
      </c>
      <c r="E137" s="217">
        <f t="shared" si="35"/>
        <v>0</v>
      </c>
    </row>
    <row r="138" spans="1:5" customFormat="1" ht="17.149999999999999" customHeight="1" x14ac:dyDescent="0.35">
      <c r="A138" s="347"/>
      <c r="B138" s="217">
        <f t="shared" si="35"/>
        <v>0</v>
      </c>
      <c r="C138" s="217">
        <f t="shared" si="35"/>
        <v>-8.149072527885437E-10</v>
      </c>
      <c r="D138" s="217">
        <f t="shared" si="35"/>
        <v>0</v>
      </c>
      <c r="E138" s="217">
        <f t="shared" si="35"/>
        <v>0</v>
      </c>
    </row>
    <row r="139" spans="1:5" customFormat="1" ht="17.149999999999999" customHeight="1" x14ac:dyDescent="0.35">
      <c r="A139" s="347"/>
      <c r="B139" s="217">
        <f t="shared" si="35"/>
        <v>0</v>
      </c>
      <c r="C139" s="217">
        <f t="shared" si="35"/>
        <v>0</v>
      </c>
      <c r="D139" s="217">
        <f t="shared" si="35"/>
        <v>0</v>
      </c>
      <c r="E139" s="217">
        <f t="shared" si="35"/>
        <v>0</v>
      </c>
    </row>
    <row r="140" spans="1:5" customFormat="1" ht="17.149999999999999" customHeight="1" x14ac:dyDescent="0.35">
      <c r="A140" s="347"/>
      <c r="B140" s="217">
        <f>B61-B89+B117</f>
        <v>0</v>
      </c>
      <c r="C140" s="217">
        <f t="shared" si="35"/>
        <v>0</v>
      </c>
      <c r="D140" s="217">
        <f t="shared" si="35"/>
        <v>0</v>
      </c>
      <c r="E140" s="217">
        <f t="shared" si="35"/>
        <v>0</v>
      </c>
    </row>
  </sheetData>
  <mergeCells count="49">
    <mergeCell ref="B92:C92"/>
    <mergeCell ref="F6:I6"/>
    <mergeCell ref="F7:G7"/>
    <mergeCell ref="H7:I7"/>
    <mergeCell ref="A3:E3"/>
    <mergeCell ref="B5:C5"/>
    <mergeCell ref="B6:C6"/>
    <mergeCell ref="D6:E6"/>
    <mergeCell ref="I8:I9"/>
    <mergeCell ref="B36:C36"/>
    <mergeCell ref="A37:A38"/>
    <mergeCell ref="F37:I37"/>
    <mergeCell ref="F38:G38"/>
    <mergeCell ref="H38:I38"/>
    <mergeCell ref="A8:A9"/>
    <mergeCell ref="B8:E9"/>
    <mergeCell ref="F8:F9"/>
    <mergeCell ref="G8:G9"/>
    <mergeCell ref="H8:H9"/>
    <mergeCell ref="B37:C37"/>
    <mergeCell ref="D37:E37"/>
    <mergeCell ref="F39:F40"/>
    <mergeCell ref="G39:G40"/>
    <mergeCell ref="H39:H40"/>
    <mergeCell ref="I39:I40"/>
    <mergeCell ref="B64:C64"/>
    <mergeCell ref="B39:E40"/>
    <mergeCell ref="A65:A66"/>
    <mergeCell ref="F65:I65"/>
    <mergeCell ref="F66:G66"/>
    <mergeCell ref="H66:I66"/>
    <mergeCell ref="B67:E68"/>
    <mergeCell ref="F67:F68"/>
    <mergeCell ref="G67:G68"/>
    <mergeCell ref="H67:H68"/>
    <mergeCell ref="I67:I68"/>
    <mergeCell ref="B65:C65"/>
    <mergeCell ref="D65:E65"/>
    <mergeCell ref="A93:A94"/>
    <mergeCell ref="F93:I93"/>
    <mergeCell ref="F94:G94"/>
    <mergeCell ref="H94:I94"/>
    <mergeCell ref="B95:E96"/>
    <mergeCell ref="F95:F96"/>
    <mergeCell ref="G95:G96"/>
    <mergeCell ref="H95:H96"/>
    <mergeCell ref="I95:I96"/>
    <mergeCell ref="B93:C93"/>
    <mergeCell ref="D93:E93"/>
  </mergeCells>
  <dataValidations disablePrompts="1" count="1">
    <dataValidation type="list" allowBlank="1" showInputMessage="1" showErrorMessage="1" sqref="WBR983045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B65600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B131136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B196672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B262208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B327744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B393280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B458816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B524352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B589888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B655424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B720960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B786496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B852032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B917568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B983104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B65628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B131164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B196700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B262236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B327772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B393308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B458844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B524380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B589916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B655452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B720988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B786524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B852060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B917596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B983132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VRV983045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VRV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BR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LN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WVJ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B5 B36 B64 B92" xr:uid="{00000000-0002-0000-1800-000000000000}">
      <formula1>#REF!</formula1>
    </dataValidation>
  </dataValidations>
  <pageMargins left="0.7" right="0.7" top="0.75" bottom="0.75" header="0.3" footer="0.3"/>
  <pageSetup paperSize="9" scale="37"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6">
    <tabColor rgb="FFFF0000"/>
  </sheetPr>
  <dimension ref="A1:J140"/>
  <sheetViews>
    <sheetView showGridLines="0" view="pageBreakPreview" topLeftCell="A36" zoomScale="85" zoomScaleNormal="80" zoomScaleSheetLayoutView="85" workbookViewId="0">
      <selection activeCell="B41" sqref="B41"/>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0" ht="14" x14ac:dyDescent="0.3">
      <c r="A1" s="364" t="s">
        <v>101</v>
      </c>
      <c r="B1" s="66"/>
      <c r="C1" s="66"/>
      <c r="D1" s="66"/>
      <c r="E1" s="66"/>
      <c r="F1" s="66"/>
      <c r="G1" s="66"/>
      <c r="H1" s="66"/>
      <c r="I1" s="66"/>
      <c r="J1"/>
    </row>
    <row r="2" spans="1:10" ht="12.5" x14ac:dyDescent="0.25">
      <c r="A2" s="365"/>
      <c r="B2" s="66"/>
      <c r="C2" s="66"/>
      <c r="D2" s="66"/>
      <c r="E2" s="66"/>
      <c r="F2" s="66"/>
      <c r="G2" s="66"/>
      <c r="H2" s="66"/>
      <c r="I2" s="66"/>
      <c r="J2"/>
    </row>
    <row r="3" spans="1:10" ht="12.5" x14ac:dyDescent="0.25">
      <c r="A3" s="800" t="s">
        <v>146</v>
      </c>
      <c r="B3" s="800"/>
      <c r="C3" s="800"/>
      <c r="D3" s="800"/>
      <c r="E3" s="800"/>
      <c r="F3" s="66"/>
      <c r="G3" s="66"/>
      <c r="H3" s="66"/>
      <c r="I3" s="66"/>
      <c r="J3"/>
    </row>
    <row r="4" spans="1:10" ht="12.5" x14ac:dyDescent="0.25">
      <c r="A4" s="365"/>
      <c r="B4" s="66"/>
      <c r="C4" s="66"/>
      <c r="D4" s="66"/>
      <c r="E4" s="66"/>
      <c r="F4" s="66"/>
      <c r="G4" s="66"/>
      <c r="H4" s="66"/>
      <c r="I4" s="66"/>
      <c r="J4"/>
    </row>
    <row r="5" spans="1:10" ht="17.149999999999999" customHeight="1" thickBot="1" x14ac:dyDescent="0.35">
      <c r="A5" s="404" t="s">
        <v>103</v>
      </c>
      <c r="B5" s="836"/>
      <c r="C5" s="836"/>
      <c r="D5" s="68"/>
      <c r="E5" s="68"/>
      <c r="F5" s="66"/>
      <c r="G5" s="66"/>
      <c r="H5" s="66"/>
      <c r="I5" s="66"/>
    </row>
    <row r="6" spans="1:10" ht="17.149999999999999" customHeight="1" thickBot="1" x14ac:dyDescent="0.35">
      <c r="A6" s="69" t="s">
        <v>104</v>
      </c>
      <c r="B6" s="818" t="s">
        <v>105</v>
      </c>
      <c r="C6" s="819"/>
      <c r="D6" s="837" t="s">
        <v>106</v>
      </c>
      <c r="E6" s="838"/>
      <c r="F6" s="818" t="s">
        <v>107</v>
      </c>
      <c r="G6" s="832"/>
      <c r="H6" s="832"/>
      <c r="I6" s="819"/>
    </row>
    <row r="7" spans="1:10" ht="17.149999999999999" customHeight="1" thickBot="1" x14ac:dyDescent="0.35">
      <c r="A7" s="70" t="s">
        <v>108</v>
      </c>
      <c r="B7" s="324" t="s">
        <v>147</v>
      </c>
      <c r="C7" s="324" t="s">
        <v>148</v>
      </c>
      <c r="D7" s="324" t="s">
        <v>147</v>
      </c>
      <c r="E7" s="324" t="s">
        <v>148</v>
      </c>
      <c r="F7" s="818" t="s">
        <v>105</v>
      </c>
      <c r="G7" s="819"/>
      <c r="H7" s="818" t="s">
        <v>106</v>
      </c>
      <c r="I7" s="819"/>
    </row>
    <row r="8" spans="1:10" ht="17.149999999999999" customHeight="1" x14ac:dyDescent="0.3">
      <c r="A8" s="839" t="s">
        <v>109</v>
      </c>
      <c r="B8" s="826"/>
      <c r="C8" s="827"/>
      <c r="D8" s="827"/>
      <c r="E8" s="828"/>
      <c r="F8" s="828" t="s">
        <v>110</v>
      </c>
      <c r="G8" s="822" t="s">
        <v>111</v>
      </c>
      <c r="H8" s="822" t="s">
        <v>112</v>
      </c>
      <c r="I8" s="822" t="s">
        <v>111</v>
      </c>
    </row>
    <row r="9" spans="1:10" ht="17.149999999999999" customHeight="1" thickBot="1" x14ac:dyDescent="0.35">
      <c r="A9" s="840"/>
      <c r="B9" s="841"/>
      <c r="C9" s="852"/>
      <c r="D9" s="852"/>
      <c r="E9" s="853"/>
      <c r="F9" s="833"/>
      <c r="G9" s="834"/>
      <c r="H9" s="834"/>
      <c r="I9" s="834"/>
      <c r="J9" s="141">
        <v>1000</v>
      </c>
    </row>
    <row r="10" spans="1:10" ht="17.149999999999999" customHeight="1" thickBot="1" x14ac:dyDescent="0.35">
      <c r="A10" s="72" t="s">
        <v>113</v>
      </c>
      <c r="B10" s="405"/>
      <c r="C10" s="406"/>
      <c r="D10" s="406"/>
      <c r="E10" s="536"/>
      <c r="F10" s="76"/>
      <c r="G10" s="76"/>
      <c r="H10" s="76"/>
      <c r="I10" s="77"/>
    </row>
    <row r="11" spans="1:10" ht="17.149999999999999" customHeight="1" x14ac:dyDescent="0.3">
      <c r="A11" s="678" t="s">
        <v>114</v>
      </c>
      <c r="B11" s="78">
        <f>B12+B13+B17</f>
        <v>1410372.655</v>
      </c>
      <c r="C11" s="679">
        <f>1394520511/1000</f>
        <v>1394520.5109999999</v>
      </c>
      <c r="D11" s="78">
        <f>D12+D13+D17</f>
        <v>7879</v>
      </c>
      <c r="E11" s="78">
        <f>E12+E13+E17</f>
        <v>7491</v>
      </c>
      <c r="F11" s="78">
        <f>B11-C11</f>
        <v>15852.144000000088</v>
      </c>
      <c r="G11" s="78">
        <f>IF(C11&lt;&gt;0,(B11-C11)/C11)*100</f>
        <v>1.1367451303123994</v>
      </c>
      <c r="H11" s="78">
        <f>D11-E11</f>
        <v>388</v>
      </c>
      <c r="I11" s="79">
        <f>IF(E11&lt;&gt;0,(D11-E11)/E11)*100</f>
        <v>5.1795487918835939</v>
      </c>
    </row>
    <row r="12" spans="1:10" ht="17.149999999999999" customHeight="1" x14ac:dyDescent="0.3">
      <c r="A12" s="678" t="s">
        <v>115</v>
      </c>
      <c r="B12" s="679">
        <f>459172334/1000</f>
        <v>459172.33399999997</v>
      </c>
      <c r="C12" s="679">
        <f>467803115/1000</f>
        <v>467803.11499999999</v>
      </c>
      <c r="D12" s="679">
        <v>2679</v>
      </c>
      <c r="E12" s="679">
        <v>2639</v>
      </c>
      <c r="F12" s="680">
        <f t="shared" ref="F12:F19" si="0">B12-C12</f>
        <v>-8630.7810000000172</v>
      </c>
      <c r="G12" s="681">
        <f>IF(C12&lt;&gt;0,(B12-C12)/C12)*100</f>
        <v>-1.8449601388396093</v>
      </c>
      <c r="H12" s="680">
        <f>D12-E12</f>
        <v>40</v>
      </c>
      <c r="I12" s="681">
        <f>IF(E12&lt;&gt;0,(D12-E12)/E12)*100</f>
        <v>1.5157256536566881</v>
      </c>
    </row>
    <row r="13" spans="1:10" ht="17.149999999999999" customHeight="1" x14ac:dyDescent="0.3">
      <c r="A13" s="678" t="s">
        <v>116</v>
      </c>
      <c r="B13" s="680">
        <f>B14-B15-B16</f>
        <v>951200.32100000011</v>
      </c>
      <c r="C13" s="680">
        <f>C14-C15-C16</f>
        <v>926717.39599999995</v>
      </c>
      <c r="D13" s="682">
        <v>5200</v>
      </c>
      <c r="E13" s="682">
        <v>4852</v>
      </c>
      <c r="F13" s="680">
        <f t="shared" si="0"/>
        <v>24482.925000000163</v>
      </c>
      <c r="G13" s="681">
        <f>IF(C13&lt;&gt;0,(B13-C13)/C13)*100</f>
        <v>2.6418976384468524</v>
      </c>
      <c r="H13" s="680">
        <f>D13-E13</f>
        <v>348</v>
      </c>
      <c r="I13" s="681">
        <f>IF(E13&lt;&gt;0,(D13-E13)/E13)*100</f>
        <v>7.1723000824402305</v>
      </c>
    </row>
    <row r="14" spans="1:10" ht="17.149999999999999" customHeight="1" x14ac:dyDescent="0.3">
      <c r="A14" s="683" t="s">
        <v>117</v>
      </c>
      <c r="B14" s="609">
        <f>1652221196/1000</f>
        <v>1652221.196</v>
      </c>
      <c r="C14" s="684">
        <f>1607267869/1000</f>
        <v>1607267.8689999999</v>
      </c>
      <c r="D14" s="679"/>
      <c r="E14" s="684"/>
      <c r="F14" s="680"/>
      <c r="G14" s="685"/>
      <c r="H14" s="680"/>
      <c r="I14" s="685"/>
    </row>
    <row r="15" spans="1:10" ht="17.149999999999999" customHeight="1" x14ac:dyDescent="0.3">
      <c r="A15" s="686" t="s">
        <v>118</v>
      </c>
      <c r="B15" s="613">
        <f>64947032/1000</f>
        <v>64947.031999999999</v>
      </c>
      <c r="C15" s="687">
        <f>56166781/1000</f>
        <v>56166.781000000003</v>
      </c>
      <c r="D15" s="679"/>
      <c r="E15" s="684"/>
      <c r="F15" s="680"/>
      <c r="G15" s="685"/>
      <c r="H15" s="680"/>
      <c r="I15" s="685"/>
    </row>
    <row r="16" spans="1:10" ht="17.149999999999999" customHeight="1" x14ac:dyDescent="0.3">
      <c r="A16" s="686" t="s">
        <v>119</v>
      </c>
      <c r="B16" s="615">
        <f>636073843/1000</f>
        <v>636073.84299999999</v>
      </c>
      <c r="C16" s="537">
        <f>624383692/1000</f>
        <v>624383.69200000004</v>
      </c>
      <c r="D16" s="688"/>
      <c r="E16" s="684"/>
      <c r="F16" s="680"/>
      <c r="G16" s="685"/>
      <c r="H16" s="680"/>
      <c r="I16" s="685"/>
    </row>
    <row r="17" spans="1:9" ht="17.149999999999999" customHeight="1" x14ac:dyDescent="0.3">
      <c r="A17" s="617" t="s">
        <v>120</v>
      </c>
      <c r="B17" s="618">
        <v>0</v>
      </c>
      <c r="C17" s="749">
        <v>0</v>
      </c>
      <c r="D17" s="679">
        <v>0</v>
      </c>
      <c r="E17" s="679">
        <v>0</v>
      </c>
      <c r="F17" s="680">
        <f t="shared" si="0"/>
        <v>0</v>
      </c>
      <c r="G17" s="681">
        <f>IF(C17&lt;&gt;0,(B17-C17)/C17)*100</f>
        <v>0</v>
      </c>
      <c r="H17" s="680">
        <f>D17-E17</f>
        <v>0</v>
      </c>
      <c r="I17" s="681">
        <f>IF(E17&lt;&gt;0,(D17-E17)/E17)*100</f>
        <v>0</v>
      </c>
    </row>
    <row r="18" spans="1:9" ht="17.149999999999999" customHeight="1" x14ac:dyDescent="0.3">
      <c r="A18" s="678" t="s">
        <v>121</v>
      </c>
      <c r="B18" s="750">
        <f>259295339/1000</f>
        <v>259295.33900000001</v>
      </c>
      <c r="C18" s="684">
        <f>162726734/1000</f>
        <v>162726.734</v>
      </c>
      <c r="D18" s="679">
        <v>27117</v>
      </c>
      <c r="E18" s="682">
        <v>18156</v>
      </c>
      <c r="F18" s="680">
        <f t="shared" si="0"/>
        <v>96568.60500000001</v>
      </c>
      <c r="G18" s="681">
        <f>IF(C18&lt;&gt;0,(B18-C18)/C18)*100</f>
        <v>59.344031940074458</v>
      </c>
      <c r="H18" s="680">
        <f>D18-E18</f>
        <v>8961</v>
      </c>
      <c r="I18" s="681">
        <f>IF(E18&lt;&gt;0,(D18-E18)/E18)*100</f>
        <v>49.355584930601452</v>
      </c>
    </row>
    <row r="19" spans="1:9" ht="17.149999999999999" customHeight="1" thickBot="1" x14ac:dyDescent="0.35">
      <c r="A19" s="619" t="s">
        <v>122</v>
      </c>
      <c r="B19" s="620">
        <v>0</v>
      </c>
      <c r="C19" s="621">
        <v>0</v>
      </c>
      <c r="D19" s="620">
        <v>0</v>
      </c>
      <c r="E19" s="621">
        <v>0</v>
      </c>
      <c r="F19" s="680">
        <f t="shared" si="0"/>
        <v>0</v>
      </c>
      <c r="G19" s="622">
        <f>IF(C19&lt;&gt;0,(B19-C19)/C19)*100</f>
        <v>0</v>
      </c>
      <c r="H19" s="680">
        <f>D19-E19</f>
        <v>0</v>
      </c>
      <c r="I19" s="622">
        <f>IF(E19&lt;&gt;0,(D19-E19)/E19)*100</f>
        <v>0</v>
      </c>
    </row>
    <row r="20" spans="1:9" ht="17.149999999999999" customHeight="1" thickBot="1" x14ac:dyDescent="0.35">
      <c r="A20" s="80" t="s">
        <v>123</v>
      </c>
      <c r="B20" s="81">
        <f>B11+B18+B19</f>
        <v>1669667.9939999999</v>
      </c>
      <c r="C20" s="82">
        <f>C11+C18+C19</f>
        <v>1557247.2449999999</v>
      </c>
      <c r="D20" s="81">
        <f>D11+D18+D19</f>
        <v>34996</v>
      </c>
      <c r="E20" s="82">
        <f>E11+E18+E19</f>
        <v>25647</v>
      </c>
      <c r="F20" s="81">
        <f>F11+F18+F19</f>
        <v>112420.7490000001</v>
      </c>
      <c r="G20" s="83">
        <f>IF(C20&lt;&gt;0,(B20-C20)/C20)*100</f>
        <v>7.2191971673708171</v>
      </c>
      <c r="H20" s="81">
        <f>H11+H18+H19</f>
        <v>9349</v>
      </c>
      <c r="I20" s="83">
        <f>IF(E20&lt;&gt;0,(D20-E20)/E20)*100</f>
        <v>36.452606542675561</v>
      </c>
    </row>
    <row r="21" spans="1:9" ht="17.149999999999999" customHeight="1" thickBot="1" x14ac:dyDescent="0.35">
      <c r="A21" s="84" t="s">
        <v>109</v>
      </c>
      <c r="B21" s="85"/>
      <c r="C21" s="85"/>
      <c r="D21" s="85"/>
      <c r="E21" s="85"/>
      <c r="F21" s="86"/>
      <c r="G21" s="86"/>
      <c r="H21" s="86"/>
      <c r="I21" s="87"/>
    </row>
    <row r="22" spans="1:9" ht="17.149999999999999" customHeight="1" x14ac:dyDescent="0.3">
      <c r="A22" s="751" t="s">
        <v>124</v>
      </c>
      <c r="B22" s="740"/>
      <c r="C22" s="741"/>
      <c r="D22" s="740"/>
      <c r="E22" s="741"/>
      <c r="F22" s="742"/>
      <c r="G22" s="743"/>
      <c r="H22" s="743"/>
      <c r="I22" s="744"/>
    </row>
    <row r="23" spans="1:9" ht="17.149999999999999" customHeight="1" x14ac:dyDescent="0.3">
      <c r="A23" s="678" t="s">
        <v>125</v>
      </c>
      <c r="B23" s="657">
        <f>SUM(B24:B27)</f>
        <v>662385.77300000004</v>
      </c>
      <c r="C23" s="624">
        <f>SUM(C24:C27)</f>
        <v>716594.402</v>
      </c>
      <c r="D23" s="657">
        <f>SUM(D24:D27)</f>
        <v>12058</v>
      </c>
      <c r="E23" s="624">
        <f>SUM(E24:E27)</f>
        <v>14202</v>
      </c>
      <c r="F23" s="657">
        <f t="shared" ref="F23:F28" si="1">B23-C23</f>
        <v>-54208.628999999957</v>
      </c>
      <c r="G23" s="625">
        <f t="shared" ref="G23:G28" si="2">IF(C23&lt;&gt;0,(B23-C23)/C23)*100</f>
        <v>-7.5647575321136769</v>
      </c>
      <c r="H23" s="657">
        <f t="shared" ref="H23:H28" si="3">D23-E23</f>
        <v>-2144</v>
      </c>
      <c r="I23" s="625">
        <f t="shared" ref="I23:I28" si="4">IF(E23&lt;&gt;0,(D23-E23)/E23)*100</f>
        <v>-15.096465286579356</v>
      </c>
    </row>
    <row r="24" spans="1:9" ht="17.149999999999999" customHeight="1" x14ac:dyDescent="0.3">
      <c r="A24" s="678" t="s">
        <v>126</v>
      </c>
      <c r="B24" s="679">
        <f>270125243/1000</f>
        <v>270125.24300000002</v>
      </c>
      <c r="C24" s="679">
        <f>365425545/1000</f>
        <v>365425.54499999998</v>
      </c>
      <c r="D24" s="679">
        <v>4777</v>
      </c>
      <c r="E24" s="679">
        <v>6532</v>
      </c>
      <c r="F24" s="680">
        <f t="shared" si="1"/>
        <v>-95300.301999999967</v>
      </c>
      <c r="G24" s="681">
        <f t="shared" si="2"/>
        <v>-26.079266571251875</v>
      </c>
      <c r="H24" s="680">
        <f t="shared" si="3"/>
        <v>-1755</v>
      </c>
      <c r="I24" s="681">
        <f t="shared" si="4"/>
        <v>-26.867728107777094</v>
      </c>
    </row>
    <row r="25" spans="1:9" ht="17.149999999999999" customHeight="1" x14ac:dyDescent="0.3">
      <c r="A25" s="678" t="s">
        <v>127</v>
      </c>
      <c r="B25" s="679">
        <f>62934633/1000</f>
        <v>62934.633000000002</v>
      </c>
      <c r="C25" s="679">
        <f>69721446/1000</f>
        <v>69721.445999999996</v>
      </c>
      <c r="D25" s="679">
        <v>2146</v>
      </c>
      <c r="E25" s="679">
        <v>2467</v>
      </c>
      <c r="F25" s="680">
        <f t="shared" si="1"/>
        <v>-6786.8129999999946</v>
      </c>
      <c r="G25" s="681">
        <f t="shared" si="2"/>
        <v>-9.7341827936270793</v>
      </c>
      <c r="H25" s="680">
        <f t="shared" si="3"/>
        <v>-321</v>
      </c>
      <c r="I25" s="681">
        <f t="shared" si="4"/>
        <v>-13.01175516822051</v>
      </c>
    </row>
    <row r="26" spans="1:9" ht="17.149999999999999" customHeight="1" x14ac:dyDescent="0.3">
      <c r="A26" s="626" t="s">
        <v>128</v>
      </c>
      <c r="B26" s="679">
        <f>22798366/1000</f>
        <v>22798.366000000002</v>
      </c>
      <c r="C26" s="679">
        <f>27255566/1000</f>
        <v>27255.565999999999</v>
      </c>
      <c r="D26" s="679">
        <v>730</v>
      </c>
      <c r="E26" s="679">
        <v>1002</v>
      </c>
      <c r="F26" s="680">
        <f t="shared" si="1"/>
        <v>-4457.1999999999971</v>
      </c>
      <c r="G26" s="681">
        <f t="shared" si="2"/>
        <v>-16.35335696202382</v>
      </c>
      <c r="H26" s="680">
        <f t="shared" si="3"/>
        <v>-272</v>
      </c>
      <c r="I26" s="681">
        <f t="shared" si="4"/>
        <v>-27.145708582834331</v>
      </c>
    </row>
    <row r="27" spans="1:9" ht="17.149999999999999" customHeight="1" x14ac:dyDescent="0.3">
      <c r="A27" s="678" t="s">
        <v>129</v>
      </c>
      <c r="B27" s="679">
        <f>306527531/1000</f>
        <v>306527.53100000002</v>
      </c>
      <c r="C27" s="679">
        <f>254191845/1000</f>
        <v>254191.845</v>
      </c>
      <c r="D27" s="679">
        <v>4405</v>
      </c>
      <c r="E27" s="679">
        <v>4201</v>
      </c>
      <c r="F27" s="680">
        <f t="shared" si="1"/>
        <v>52335.686000000016</v>
      </c>
      <c r="G27" s="681">
        <f t="shared" si="2"/>
        <v>20.589049975226395</v>
      </c>
      <c r="H27" s="680">
        <f t="shared" si="3"/>
        <v>204</v>
      </c>
      <c r="I27" s="681">
        <f t="shared" si="4"/>
        <v>4.8559866698405143</v>
      </c>
    </row>
    <row r="28" spans="1:9" ht="17.149999999999999" customHeight="1" x14ac:dyDescent="0.3">
      <c r="A28" s="678" t="s">
        <v>130</v>
      </c>
      <c r="B28" s="679">
        <f>4779046/1000</f>
        <v>4779.0460000000003</v>
      </c>
      <c r="C28" s="679">
        <f>5315210/1000</f>
        <v>5315.21</v>
      </c>
      <c r="D28" s="679">
        <v>88</v>
      </c>
      <c r="E28" s="679">
        <v>44</v>
      </c>
      <c r="F28" s="680">
        <f t="shared" si="1"/>
        <v>-536.16399999999976</v>
      </c>
      <c r="G28" s="681">
        <f t="shared" si="2"/>
        <v>-10.087353086707765</v>
      </c>
      <c r="H28" s="680">
        <f t="shared" si="3"/>
        <v>44</v>
      </c>
      <c r="I28" s="681">
        <f t="shared" si="4"/>
        <v>100</v>
      </c>
    </row>
    <row r="29" spans="1:9" ht="17.149999999999999" customHeight="1" x14ac:dyDescent="0.3">
      <c r="A29" s="678"/>
      <c r="B29" s="627"/>
      <c r="C29" s="628"/>
      <c r="D29" s="627"/>
      <c r="E29" s="628"/>
      <c r="F29" s="657"/>
      <c r="G29" s="625"/>
      <c r="H29" s="624"/>
      <c r="I29" s="629"/>
    </row>
    <row r="30" spans="1:9" ht="17.149999999999999" customHeight="1" x14ac:dyDescent="0.3">
      <c r="A30" s="678"/>
      <c r="B30" s="627"/>
      <c r="C30" s="628"/>
      <c r="D30" s="627"/>
      <c r="E30" s="628"/>
      <c r="F30" s="657"/>
      <c r="G30" s="625"/>
      <c r="H30" s="624"/>
      <c r="I30" s="629"/>
    </row>
    <row r="31" spans="1:9" ht="17.149999999999999" customHeight="1" thickBot="1" x14ac:dyDescent="0.35">
      <c r="A31" s="88" t="s">
        <v>109</v>
      </c>
      <c r="B31" s="630"/>
      <c r="C31" s="631"/>
      <c r="D31" s="630"/>
      <c r="E31" s="631"/>
      <c r="F31" s="632"/>
      <c r="G31" s="633"/>
      <c r="H31" s="634"/>
      <c r="I31" s="635"/>
    </row>
    <row r="32" spans="1:9" ht="17.149999999999999" customHeight="1" thickBot="1" x14ac:dyDescent="0.35">
      <c r="A32" s="89" t="s">
        <v>131</v>
      </c>
      <c r="B32" s="90">
        <f>B23+B28</f>
        <v>667164.81900000002</v>
      </c>
      <c r="C32" s="91">
        <f>C23+C28</f>
        <v>721909.61199999996</v>
      </c>
      <c r="D32" s="90">
        <f>D23+D28</f>
        <v>12146</v>
      </c>
      <c r="E32" s="91">
        <f>E23+E28</f>
        <v>14246</v>
      </c>
      <c r="F32" s="91">
        <f>B32-C32</f>
        <v>-54744.792999999947</v>
      </c>
      <c r="G32" s="92">
        <f>IF(C32&lt;&gt;0,(B32-C32)/C32)*100</f>
        <v>-7.5833306677179895</v>
      </c>
      <c r="H32" s="91">
        <f>D32-E32</f>
        <v>-2100</v>
      </c>
      <c r="I32" s="92">
        <f>IF(E32&lt;&gt;0,(D32-E32)/E32)*100</f>
        <v>-14.740979924189245</v>
      </c>
    </row>
    <row r="33" spans="1:9" ht="17.149999999999999" customHeight="1" thickBot="1" x14ac:dyDescent="0.35">
      <c r="A33" s="93" t="s">
        <v>132</v>
      </c>
      <c r="B33" s="90">
        <f>B20+B32</f>
        <v>2336832.8130000001</v>
      </c>
      <c r="C33" s="91">
        <f>C20+C32</f>
        <v>2279156.8569999998</v>
      </c>
      <c r="D33" s="90">
        <f>D20+D32</f>
        <v>47142</v>
      </c>
      <c r="E33" s="91">
        <f>E20+E32</f>
        <v>39893</v>
      </c>
      <c r="F33" s="91">
        <f>B33-C33</f>
        <v>57675.956000000238</v>
      </c>
      <c r="G33" s="92">
        <f>IF(C33&lt;&gt;0,(B33-C33)/C33)*100</f>
        <v>2.5305830014665043</v>
      </c>
      <c r="H33" s="91">
        <f>D33-E33</f>
        <v>7249</v>
      </c>
      <c r="I33" s="92">
        <f>IF(E33&lt;&gt;0,(D33-E33)/E33)*100</f>
        <v>18.171107713132631</v>
      </c>
    </row>
    <row r="34" spans="1:9" ht="17.149999999999999" customHeight="1" x14ac:dyDescent="0.3">
      <c r="A34" s="94"/>
      <c r="B34" s="94"/>
      <c r="C34" s="94"/>
      <c r="D34" s="94"/>
      <c r="E34" s="94"/>
      <c r="F34" s="95"/>
      <c r="G34" s="95"/>
      <c r="H34" s="95"/>
      <c r="I34" s="95"/>
    </row>
    <row r="35" spans="1:9" ht="17.149999999999999" customHeight="1" x14ac:dyDescent="0.3">
      <c r="A35" s="68"/>
      <c r="B35" s="96"/>
      <c r="C35" s="97"/>
      <c r="D35" s="97"/>
      <c r="E35" s="97"/>
      <c r="F35" s="538"/>
      <c r="G35" s="538"/>
      <c r="H35" s="538"/>
      <c r="I35" s="538"/>
    </row>
    <row r="36" spans="1:9" ht="17.149999999999999" customHeight="1" thickBot="1" x14ac:dyDescent="0.35">
      <c r="A36" s="404" t="s">
        <v>133</v>
      </c>
      <c r="B36" s="813"/>
      <c r="C36" s="813"/>
      <c r="D36" s="99"/>
      <c r="E36" s="99"/>
      <c r="F36" s="538"/>
      <c r="G36" s="538"/>
      <c r="H36" s="538"/>
      <c r="I36" s="538"/>
    </row>
    <row r="37" spans="1:9" ht="17.149999999999999" customHeight="1" thickBot="1" x14ac:dyDescent="0.35">
      <c r="A37" s="822" t="s">
        <v>134</v>
      </c>
      <c r="B37" s="818" t="s">
        <v>105</v>
      </c>
      <c r="C37" s="819"/>
      <c r="D37" s="818" t="s">
        <v>106</v>
      </c>
      <c r="E37" s="819"/>
      <c r="F37" s="804" t="s">
        <v>107</v>
      </c>
      <c r="G37" s="805"/>
      <c r="H37" s="805"/>
      <c r="I37" s="806"/>
    </row>
    <row r="38" spans="1:9" ht="17.149999999999999" customHeight="1" thickBot="1" x14ac:dyDescent="0.35">
      <c r="A38" s="823"/>
      <c r="B38" s="324" t="s">
        <v>147</v>
      </c>
      <c r="C38" s="324" t="s">
        <v>148</v>
      </c>
      <c r="D38" s="324" t="s">
        <v>147</v>
      </c>
      <c r="E38" s="324" t="s">
        <v>148</v>
      </c>
      <c r="F38" s="804" t="s">
        <v>105</v>
      </c>
      <c r="G38" s="806"/>
      <c r="H38" s="804" t="s">
        <v>106</v>
      </c>
      <c r="I38" s="806"/>
    </row>
    <row r="39" spans="1:9" ht="17.149999999999999" customHeight="1" x14ac:dyDescent="0.3">
      <c r="A39" s="100"/>
      <c r="B39" s="826"/>
      <c r="C39" s="827"/>
      <c r="D39" s="827"/>
      <c r="E39" s="828"/>
      <c r="F39" s="814" t="s">
        <v>110</v>
      </c>
      <c r="G39" s="816" t="s">
        <v>111</v>
      </c>
      <c r="H39" s="816" t="s">
        <v>112</v>
      </c>
      <c r="I39" s="816" t="s">
        <v>111</v>
      </c>
    </row>
    <row r="40" spans="1:9" ht="17.149999999999999" customHeight="1" thickBot="1" x14ac:dyDescent="0.35">
      <c r="A40" s="101" t="s">
        <v>113</v>
      </c>
      <c r="B40" s="829"/>
      <c r="C40" s="830"/>
      <c r="D40" s="830"/>
      <c r="E40" s="831"/>
      <c r="F40" s="815"/>
      <c r="G40" s="817"/>
      <c r="H40" s="817"/>
      <c r="I40" s="817"/>
    </row>
    <row r="41" spans="1:9" ht="17.149999999999999" customHeight="1" thickBot="1" x14ac:dyDescent="0.35">
      <c r="A41" s="539" t="s">
        <v>135</v>
      </c>
      <c r="B41" s="103">
        <f>B42+B43+B45</f>
        <v>15684751.532000002</v>
      </c>
      <c r="C41" s="104">
        <f>C42+C43+C45</f>
        <v>12117907.942000002</v>
      </c>
      <c r="D41" s="104">
        <f>D42+D43+D45</f>
        <v>88417</v>
      </c>
      <c r="E41" s="104">
        <f>E42+E43+E45</f>
        <v>74159</v>
      </c>
      <c r="F41" s="104">
        <f t="shared" ref="F41:F48" si="5">B41-C41</f>
        <v>3566843.59</v>
      </c>
      <c r="G41" s="105">
        <f t="shared" ref="G41:G48" si="6">IF(C41&lt;&gt;0,(B41-C41)/C41)*100</f>
        <v>29.434483304147875</v>
      </c>
      <c r="H41" s="104">
        <f t="shared" ref="H41:H48" si="7">D41-E41</f>
        <v>14258</v>
      </c>
      <c r="I41" s="105">
        <f t="shared" ref="I41:I48" si="8">IF(E41&lt;&gt;0,(D41-E41)/E41)*100</f>
        <v>19.226257096239159</v>
      </c>
    </row>
    <row r="42" spans="1:9" ht="17.149999999999999" customHeight="1" x14ac:dyDescent="0.3">
      <c r="A42" s="539" t="s">
        <v>136</v>
      </c>
      <c r="B42" s="749">
        <f>3152663006/1000</f>
        <v>3152663.0060000001</v>
      </c>
      <c r="C42" s="749">
        <f>2436504141/1000</f>
        <v>2436504.1409999998</v>
      </c>
      <c r="D42" s="752">
        <v>26237</v>
      </c>
      <c r="E42" s="752">
        <v>21466</v>
      </c>
      <c r="F42" s="680">
        <f t="shared" si="5"/>
        <v>716158.86500000022</v>
      </c>
      <c r="G42" s="681">
        <f t="shared" si="6"/>
        <v>29.392885197645157</v>
      </c>
      <c r="H42" s="680">
        <f t="shared" si="7"/>
        <v>4771</v>
      </c>
      <c r="I42" s="681">
        <f t="shared" si="8"/>
        <v>22.225845523152891</v>
      </c>
    </row>
    <row r="43" spans="1:9" ht="17.149999999999999" customHeight="1" x14ac:dyDescent="0.3">
      <c r="A43" s="539" t="s">
        <v>116</v>
      </c>
      <c r="B43" s="749">
        <f>12532088526/1000</f>
        <v>12532088.526000001</v>
      </c>
      <c r="C43" s="749">
        <f>9681403801/1000</f>
        <v>9681403.8010000009</v>
      </c>
      <c r="D43" s="752">
        <v>62180</v>
      </c>
      <c r="E43" s="752">
        <v>52693</v>
      </c>
      <c r="F43" s="680">
        <f t="shared" si="5"/>
        <v>2850684.7249999996</v>
      </c>
      <c r="G43" s="681">
        <f t="shared" si="6"/>
        <v>29.444952236219606</v>
      </c>
      <c r="H43" s="680">
        <f t="shared" si="7"/>
        <v>9487</v>
      </c>
      <c r="I43" s="681">
        <f t="shared" si="8"/>
        <v>18.004288994743135</v>
      </c>
    </row>
    <row r="44" spans="1:9" ht="17.149999999999999" customHeight="1" x14ac:dyDescent="0.3">
      <c r="A44" s="539" t="s">
        <v>137</v>
      </c>
      <c r="B44" s="749">
        <f>6104832312/1000</f>
        <v>6104832.3119999999</v>
      </c>
      <c r="C44" s="749">
        <f>4713483703/1000</f>
        <v>4713483.7029999997</v>
      </c>
      <c r="D44" s="752">
        <v>0</v>
      </c>
      <c r="E44" s="752">
        <v>0</v>
      </c>
      <c r="F44" s="680">
        <f t="shared" si="5"/>
        <v>1391348.6090000002</v>
      </c>
      <c r="G44" s="681">
        <f t="shared" si="6"/>
        <v>29.518477132199394</v>
      </c>
      <c r="H44" s="680">
        <f t="shared" si="7"/>
        <v>0</v>
      </c>
      <c r="I44" s="681">
        <f t="shared" si="8"/>
        <v>0</v>
      </c>
    </row>
    <row r="45" spans="1:9" ht="17.149999999999999" customHeight="1" x14ac:dyDescent="0.3">
      <c r="A45" s="539" t="s">
        <v>143</v>
      </c>
      <c r="B45" s="749">
        <v>0</v>
      </c>
      <c r="C45" s="749">
        <v>0</v>
      </c>
      <c r="D45" s="752">
        <v>0</v>
      </c>
      <c r="E45" s="752">
        <v>0</v>
      </c>
      <c r="F45" s="680">
        <f t="shared" si="5"/>
        <v>0</v>
      </c>
      <c r="G45" s="681">
        <f t="shared" si="6"/>
        <v>0</v>
      </c>
      <c r="H45" s="680">
        <f t="shared" si="7"/>
        <v>0</v>
      </c>
      <c r="I45" s="681">
        <f t="shared" si="8"/>
        <v>0</v>
      </c>
    </row>
    <row r="46" spans="1:9" ht="17.149999999999999" customHeight="1" x14ac:dyDescent="0.3">
      <c r="A46" s="539" t="s">
        <v>139</v>
      </c>
      <c r="B46" s="749">
        <f>605147411/1000</f>
        <v>605147.41099999996</v>
      </c>
      <c r="C46" s="749">
        <f>440975917/1000</f>
        <v>440975.91700000002</v>
      </c>
      <c r="D46" s="752">
        <v>15954</v>
      </c>
      <c r="E46" s="752">
        <v>76097</v>
      </c>
      <c r="F46" s="680">
        <f t="shared" si="5"/>
        <v>164171.49399999995</v>
      </c>
      <c r="G46" s="681">
        <f t="shared" si="6"/>
        <v>37.229129227027592</v>
      </c>
      <c r="H46" s="680">
        <f t="shared" si="7"/>
        <v>-60143</v>
      </c>
      <c r="I46" s="681">
        <f t="shared" si="8"/>
        <v>-79.034653140071214</v>
      </c>
    </row>
    <row r="47" spans="1:9" ht="17.149999999999999" customHeight="1" thickBot="1" x14ac:dyDescent="0.35">
      <c r="A47" s="539" t="s">
        <v>140</v>
      </c>
      <c r="B47" s="749">
        <v>0</v>
      </c>
      <c r="C47" s="749">
        <v>0</v>
      </c>
      <c r="D47" s="752">
        <v>0</v>
      </c>
      <c r="E47" s="752">
        <v>0</v>
      </c>
      <c r="F47" s="680">
        <f t="shared" si="5"/>
        <v>0</v>
      </c>
      <c r="G47" s="681">
        <f t="shared" si="6"/>
        <v>0</v>
      </c>
      <c r="H47" s="680">
        <f t="shared" si="7"/>
        <v>0</v>
      </c>
      <c r="I47" s="681">
        <f t="shared" si="8"/>
        <v>0</v>
      </c>
    </row>
    <row r="48" spans="1:9" ht="17.149999999999999" customHeight="1" thickBot="1" x14ac:dyDescent="0.35">
      <c r="A48" s="106" t="s">
        <v>123</v>
      </c>
      <c r="B48" s="91">
        <f>B41+B46+B47</f>
        <v>16289898.943000002</v>
      </c>
      <c r="C48" s="91">
        <f>C41+C46+C47</f>
        <v>12558883.859000001</v>
      </c>
      <c r="D48" s="91">
        <f>D41+D46+D47</f>
        <v>104371</v>
      </c>
      <c r="E48" s="91">
        <f>E41+E46+E47</f>
        <v>150256</v>
      </c>
      <c r="F48" s="91">
        <f t="shared" si="5"/>
        <v>3731015.0840000007</v>
      </c>
      <c r="G48" s="92">
        <f t="shared" si="6"/>
        <v>29.708174117131154</v>
      </c>
      <c r="H48" s="91">
        <f t="shared" si="7"/>
        <v>-45885</v>
      </c>
      <c r="I48" s="92">
        <f t="shared" si="8"/>
        <v>-30.537882014694922</v>
      </c>
    </row>
    <row r="49" spans="1:9" ht="17.149999999999999" customHeight="1" thickBot="1" x14ac:dyDescent="0.35">
      <c r="A49" s="101" t="s">
        <v>124</v>
      </c>
      <c r="B49" s="114"/>
      <c r="C49" s="115"/>
      <c r="D49" s="115"/>
      <c r="E49" s="115"/>
      <c r="F49" s="116"/>
      <c r="G49" s="117"/>
      <c r="H49" s="116"/>
      <c r="I49" s="124"/>
    </row>
    <row r="50" spans="1:9" ht="17.149999999999999" customHeight="1" thickBot="1" x14ac:dyDescent="0.35">
      <c r="A50" s="539" t="s">
        <v>125</v>
      </c>
      <c r="B50" s="103">
        <f>SUM(B51:B54)</f>
        <v>8793278.6119999997</v>
      </c>
      <c r="C50" s="104">
        <f>SUM(C51:C54)</f>
        <v>8297764.0510000009</v>
      </c>
      <c r="D50" s="104">
        <f>SUM(D51:D54)</f>
        <v>133187</v>
      </c>
      <c r="E50" s="104">
        <f>SUM(E51:E54)</f>
        <v>131138</v>
      </c>
      <c r="F50" s="104">
        <f t="shared" ref="F50:F55" si="9">B50-C50</f>
        <v>495514.56099999882</v>
      </c>
      <c r="G50" s="105">
        <f t="shared" ref="G50:G55" si="10">IF(C50&lt;&gt;0,(B50-C50)/C50)*100</f>
        <v>5.9716636669161751</v>
      </c>
      <c r="H50" s="104">
        <f t="shared" ref="H50:H55" si="11">D50-E50</f>
        <v>2049</v>
      </c>
      <c r="I50" s="105">
        <f t="shared" ref="I50:I55" si="12">IF(E50&lt;&gt;0,(D50-E50)/E50)*100</f>
        <v>1.5624761701413779</v>
      </c>
    </row>
    <row r="51" spans="1:9" ht="17.149999999999999" customHeight="1" x14ac:dyDescent="0.3">
      <c r="A51" s="119" t="s">
        <v>126</v>
      </c>
      <c r="B51" s="749">
        <f>4249913749/1000</f>
        <v>4249913.7489999998</v>
      </c>
      <c r="C51" s="749">
        <f>3938029790/1000</f>
        <v>3938029.79</v>
      </c>
      <c r="D51" s="749">
        <v>44084</v>
      </c>
      <c r="E51" s="749">
        <v>41001</v>
      </c>
      <c r="F51" s="680">
        <f t="shared" si="9"/>
        <v>311883.9589999998</v>
      </c>
      <c r="G51" s="681">
        <f t="shared" si="10"/>
        <v>7.9197968433854795</v>
      </c>
      <c r="H51" s="680">
        <f t="shared" si="11"/>
        <v>3083</v>
      </c>
      <c r="I51" s="681">
        <f t="shared" si="12"/>
        <v>7.5193287968586127</v>
      </c>
    </row>
    <row r="52" spans="1:9" ht="17.149999999999999" customHeight="1" x14ac:dyDescent="0.3">
      <c r="A52" s="119" t="s">
        <v>127</v>
      </c>
      <c r="B52" s="749">
        <f>1001115205/1000</f>
        <v>1001115.205</v>
      </c>
      <c r="C52" s="749">
        <f>1037012383/1000</f>
        <v>1037012.383</v>
      </c>
      <c r="D52" s="749">
        <v>22754</v>
      </c>
      <c r="E52" s="749">
        <v>23358</v>
      </c>
      <c r="F52" s="680">
        <f t="shared" si="9"/>
        <v>-35897.178000000073</v>
      </c>
      <c r="G52" s="681">
        <f t="shared" si="10"/>
        <v>-3.4615958872306036</v>
      </c>
      <c r="H52" s="680">
        <f t="shared" si="11"/>
        <v>-604</v>
      </c>
      <c r="I52" s="681">
        <f t="shared" si="12"/>
        <v>-2.5858378285812145</v>
      </c>
    </row>
    <row r="53" spans="1:9" ht="17.149999999999999" customHeight="1" x14ac:dyDescent="0.3">
      <c r="A53" s="120" t="s">
        <v>141</v>
      </c>
      <c r="B53" s="749">
        <f>378918563/1000</f>
        <v>378918.56300000002</v>
      </c>
      <c r="C53" s="749">
        <f>405507813/1000</f>
        <v>405507.81300000002</v>
      </c>
      <c r="D53" s="749">
        <v>11217</v>
      </c>
      <c r="E53" s="749">
        <v>12236</v>
      </c>
      <c r="F53" s="680">
        <f t="shared" si="9"/>
        <v>-26589.25</v>
      </c>
      <c r="G53" s="681">
        <f t="shared" si="10"/>
        <v>-6.5570253266612148</v>
      </c>
      <c r="H53" s="680">
        <f t="shared" si="11"/>
        <v>-1019</v>
      </c>
      <c r="I53" s="681">
        <f t="shared" si="12"/>
        <v>-8.3278849297155926</v>
      </c>
    </row>
    <row r="54" spans="1:9" ht="17.149999999999999" customHeight="1" x14ac:dyDescent="0.3">
      <c r="A54" s="119" t="s">
        <v>129</v>
      </c>
      <c r="B54" s="749">
        <f>3163331095/1000</f>
        <v>3163331.0950000002</v>
      </c>
      <c r="C54" s="749">
        <f>2917214065/1000</f>
        <v>2917214.0649999999</v>
      </c>
      <c r="D54" s="749">
        <v>55132</v>
      </c>
      <c r="E54" s="749">
        <v>54543</v>
      </c>
      <c r="F54" s="680">
        <f t="shared" si="9"/>
        <v>246117.03000000026</v>
      </c>
      <c r="G54" s="681">
        <f t="shared" si="10"/>
        <v>8.4367147736208477</v>
      </c>
      <c r="H54" s="680">
        <f t="shared" si="11"/>
        <v>589</v>
      </c>
      <c r="I54" s="681">
        <f t="shared" si="12"/>
        <v>1.0798819280200942</v>
      </c>
    </row>
    <row r="55" spans="1:9" ht="17.149999999999999" customHeight="1" x14ac:dyDescent="0.3">
      <c r="A55" s="539" t="s">
        <v>130</v>
      </c>
      <c r="B55" s="749">
        <f>74028192/1000</f>
        <v>74028.191999999995</v>
      </c>
      <c r="C55" s="749">
        <f>80133373/1000</f>
        <v>80133.373000000007</v>
      </c>
      <c r="D55" s="749">
        <v>12281</v>
      </c>
      <c r="E55" s="749">
        <v>12797</v>
      </c>
      <c r="F55" s="680">
        <f t="shared" si="9"/>
        <v>-6105.1810000000114</v>
      </c>
      <c r="G55" s="681">
        <f t="shared" si="10"/>
        <v>-7.6187745148329284</v>
      </c>
      <c r="H55" s="680">
        <f t="shared" si="11"/>
        <v>-516</v>
      </c>
      <c r="I55" s="681">
        <f t="shared" si="12"/>
        <v>-4.0321950457138396</v>
      </c>
    </row>
    <row r="56" spans="1:9" ht="17.149999999999999" customHeight="1" x14ac:dyDescent="0.3">
      <c r="A56" s="539"/>
      <c r="B56" s="684"/>
      <c r="C56" s="684"/>
      <c r="D56" s="684"/>
      <c r="E56" s="684"/>
      <c r="F56" s="753"/>
      <c r="G56" s="754"/>
      <c r="H56" s="753"/>
      <c r="I56" s="754"/>
    </row>
    <row r="57" spans="1:9" ht="17.149999999999999" customHeight="1" x14ac:dyDescent="0.3">
      <c r="A57" s="539"/>
      <c r="B57" s="684"/>
      <c r="C57" s="684"/>
      <c r="D57" s="684"/>
      <c r="E57" s="684"/>
      <c r="F57" s="753"/>
      <c r="G57" s="754"/>
      <c r="H57" s="753"/>
      <c r="I57" s="754"/>
    </row>
    <row r="58" spans="1:9" ht="17.149999999999999" customHeight="1" thickBot="1" x14ac:dyDescent="0.35">
      <c r="A58" s="539"/>
      <c r="B58" s="636"/>
      <c r="C58" s="636"/>
      <c r="D58" s="637"/>
      <c r="E58" s="637"/>
      <c r="F58" s="638"/>
      <c r="G58" s="639"/>
      <c r="H58" s="640"/>
      <c r="I58" s="641"/>
    </row>
    <row r="59" spans="1:9" ht="17.149999999999999" customHeight="1" thickBot="1" x14ac:dyDescent="0.35">
      <c r="A59" s="106" t="s">
        <v>131</v>
      </c>
      <c r="B59" s="103">
        <f>B50+B55</f>
        <v>8867306.8039999995</v>
      </c>
      <c r="C59" s="104">
        <f>C50+C55</f>
        <v>8377897.4240000006</v>
      </c>
      <c r="D59" s="104">
        <f>D50+D55</f>
        <v>145468</v>
      </c>
      <c r="E59" s="104">
        <f>E50+E55</f>
        <v>143935</v>
      </c>
      <c r="F59" s="657">
        <f>B59-C59</f>
        <v>489409.37999999896</v>
      </c>
      <c r="G59" s="625">
        <f>IF(C59&lt;&gt;0,(B59-C59)/C59)*100</f>
        <v>5.8416730980496059</v>
      </c>
      <c r="H59" s="657">
        <f>D59-E59</f>
        <v>1533</v>
      </c>
      <c r="I59" s="625">
        <f>IF(E59&lt;&gt;0,(D59-E59)/E59)*100</f>
        <v>1.0650640914301595</v>
      </c>
    </row>
    <row r="60" spans="1:9" ht="17.149999999999999" customHeight="1" thickBot="1" x14ac:dyDescent="0.35">
      <c r="A60" s="539"/>
      <c r="B60" s="121"/>
      <c r="C60" s="122"/>
      <c r="D60" s="122"/>
      <c r="E60" s="122"/>
      <c r="F60" s="123"/>
      <c r="G60" s="124"/>
      <c r="H60" s="123"/>
      <c r="I60" s="125"/>
    </row>
    <row r="61" spans="1:9" ht="17.149999999999999" customHeight="1" thickBot="1" x14ac:dyDescent="0.35">
      <c r="A61" s="106" t="s">
        <v>132</v>
      </c>
      <c r="B61" s="103">
        <f>B48+B59</f>
        <v>25157205.747000001</v>
      </c>
      <c r="C61" s="104">
        <f>C48+C59</f>
        <v>20936781.283</v>
      </c>
      <c r="D61" s="104">
        <f>D48+D59</f>
        <v>249839</v>
      </c>
      <c r="E61" s="104">
        <f>E48+E59</f>
        <v>294191</v>
      </c>
      <c r="F61" s="104">
        <f>B61-C61</f>
        <v>4220424.4640000015</v>
      </c>
      <c r="G61" s="105">
        <f>IF(C61&lt;&gt;0,(B61-C61)/C61)*100</f>
        <v>20.157943128664442</v>
      </c>
      <c r="H61" s="104">
        <f>D61-E61</f>
        <v>-44352</v>
      </c>
      <c r="I61" s="105">
        <f>IF(E61&lt;&gt;0,(D61-E61)/E61)*100</f>
        <v>-15.075920065535655</v>
      </c>
    </row>
    <row r="62" spans="1:9" ht="17.149999999999999" customHeight="1" x14ac:dyDescent="0.3">
      <c r="A62" s="94"/>
      <c r="B62" s="94"/>
      <c r="C62" s="94"/>
      <c r="D62" s="94"/>
      <c r="E62" s="94"/>
      <c r="F62" s="95"/>
      <c r="G62" s="95"/>
      <c r="H62" s="95"/>
      <c r="I62" s="95"/>
    </row>
    <row r="63" spans="1:9" ht="17.149999999999999" customHeight="1" x14ac:dyDescent="0.3">
      <c r="A63" s="126"/>
      <c r="B63" s="127"/>
      <c r="C63" s="126"/>
      <c r="D63" s="126"/>
      <c r="E63" s="126"/>
      <c r="F63" s="538"/>
      <c r="G63" s="538"/>
      <c r="H63" s="538"/>
      <c r="I63" s="538"/>
    </row>
    <row r="64" spans="1:9" ht="17.149999999999999" customHeight="1" thickBot="1" x14ac:dyDescent="0.35">
      <c r="A64" s="404" t="s">
        <v>142</v>
      </c>
      <c r="B64" s="813"/>
      <c r="C64" s="813"/>
      <c r="D64" s="129"/>
      <c r="E64" s="129"/>
      <c r="F64" s="538"/>
      <c r="G64" s="538"/>
      <c r="H64" s="538"/>
      <c r="I64" s="538"/>
    </row>
    <row r="65" spans="1:9" ht="17.149999999999999" customHeight="1" thickBot="1" x14ac:dyDescent="0.35">
      <c r="A65" s="824" t="s">
        <v>134</v>
      </c>
      <c r="B65" s="820" t="s">
        <v>105</v>
      </c>
      <c r="C65" s="821"/>
      <c r="D65" s="820" t="s">
        <v>106</v>
      </c>
      <c r="E65" s="821"/>
      <c r="F65" s="804" t="s">
        <v>107</v>
      </c>
      <c r="G65" s="805"/>
      <c r="H65" s="805"/>
      <c r="I65" s="806"/>
    </row>
    <row r="66" spans="1:9" ht="17.149999999999999" customHeight="1" thickBot="1" x14ac:dyDescent="0.35">
      <c r="A66" s="825"/>
      <c r="B66" s="324" t="s">
        <v>147</v>
      </c>
      <c r="C66" s="324" t="s">
        <v>148</v>
      </c>
      <c r="D66" s="324" t="s">
        <v>147</v>
      </c>
      <c r="E66" s="324" t="s">
        <v>148</v>
      </c>
      <c r="F66" s="804" t="s">
        <v>105</v>
      </c>
      <c r="G66" s="806"/>
      <c r="H66" s="804" t="s">
        <v>106</v>
      </c>
      <c r="I66" s="806"/>
    </row>
    <row r="67" spans="1:9" ht="17.149999999999999" customHeight="1" x14ac:dyDescent="0.3">
      <c r="A67" s="130"/>
      <c r="B67" s="807"/>
      <c r="C67" s="808"/>
      <c r="D67" s="808"/>
      <c r="E67" s="809"/>
      <c r="F67" s="814" t="s">
        <v>110</v>
      </c>
      <c r="G67" s="816" t="s">
        <v>111</v>
      </c>
      <c r="H67" s="816" t="s">
        <v>112</v>
      </c>
      <c r="I67" s="816" t="s">
        <v>111</v>
      </c>
    </row>
    <row r="68" spans="1:9" ht="17.149999999999999" customHeight="1" thickBot="1" x14ac:dyDescent="0.35">
      <c r="A68" s="131" t="s">
        <v>113</v>
      </c>
      <c r="B68" s="810"/>
      <c r="C68" s="811"/>
      <c r="D68" s="811"/>
      <c r="E68" s="812"/>
      <c r="F68" s="815"/>
      <c r="G68" s="817"/>
      <c r="H68" s="817"/>
      <c r="I68" s="817"/>
    </row>
    <row r="69" spans="1:9" ht="17.149999999999999" customHeight="1" thickBot="1" x14ac:dyDescent="0.35">
      <c r="A69" s="540" t="s">
        <v>135</v>
      </c>
      <c r="B69" s="133">
        <f>B70+B71+B72</f>
        <v>17040672.953000002</v>
      </c>
      <c r="C69" s="91">
        <f>C70+C71+C72</f>
        <v>13181017.615</v>
      </c>
      <c r="D69" s="91">
        <f>D70+D71+D72</f>
        <v>108803</v>
      </c>
      <c r="E69" s="91">
        <f>E70+E71+E72</f>
        <v>91810</v>
      </c>
      <c r="F69" s="91">
        <f t="shared" ref="F69:F75" si="13">B69-C69</f>
        <v>3859655.3380000014</v>
      </c>
      <c r="G69" s="92">
        <f t="shared" ref="G69:G75" si="14">IF(C69&lt;&gt;0,(B69-C69)/C69)*100</f>
        <v>29.281922312338864</v>
      </c>
      <c r="H69" s="91">
        <f t="shared" ref="H69:H75" si="15">D69-E69</f>
        <v>16993</v>
      </c>
      <c r="I69" s="92">
        <f t="shared" ref="I69:I75" si="16">IF(E69&lt;&gt;0,(D69-E69)/E69)*100</f>
        <v>18.508877028646118</v>
      </c>
    </row>
    <row r="70" spans="1:9" ht="17.149999999999999" customHeight="1" x14ac:dyDescent="0.3">
      <c r="A70" s="540" t="s">
        <v>136</v>
      </c>
      <c r="B70" s="749">
        <f t="shared" ref="B70:E71" si="17">B42+B98</f>
        <v>4222715.3360000001</v>
      </c>
      <c r="C70" s="749">
        <f t="shared" si="17"/>
        <v>3302411.3810000001</v>
      </c>
      <c r="D70" s="749">
        <f t="shared" si="17"/>
        <v>40554</v>
      </c>
      <c r="E70" s="749">
        <f t="shared" si="17"/>
        <v>33760</v>
      </c>
      <c r="F70" s="680">
        <f t="shared" si="13"/>
        <v>920303.95500000007</v>
      </c>
      <c r="G70" s="681">
        <f t="shared" si="14"/>
        <v>27.86763515577892</v>
      </c>
      <c r="H70" s="680">
        <f t="shared" si="15"/>
        <v>6794</v>
      </c>
      <c r="I70" s="681">
        <f t="shared" si="16"/>
        <v>20.124407582938389</v>
      </c>
    </row>
    <row r="71" spans="1:9" ht="17.149999999999999" customHeight="1" x14ac:dyDescent="0.3">
      <c r="A71" s="540" t="s">
        <v>116</v>
      </c>
      <c r="B71" s="749">
        <f t="shared" si="17"/>
        <v>12817573.503</v>
      </c>
      <c r="C71" s="749">
        <f t="shared" si="17"/>
        <v>9878123.6960000005</v>
      </c>
      <c r="D71" s="749">
        <f t="shared" si="17"/>
        <v>68243</v>
      </c>
      <c r="E71" s="749">
        <f t="shared" si="17"/>
        <v>58043</v>
      </c>
      <c r="F71" s="680">
        <f t="shared" si="13"/>
        <v>2939449.807</v>
      </c>
      <c r="G71" s="681">
        <f t="shared" si="14"/>
        <v>29.757167428367865</v>
      </c>
      <c r="H71" s="680">
        <f t="shared" si="15"/>
        <v>10200</v>
      </c>
      <c r="I71" s="681">
        <f t="shared" si="16"/>
        <v>17.573178505590683</v>
      </c>
    </row>
    <row r="72" spans="1:9" ht="17.149999999999999" customHeight="1" x14ac:dyDescent="0.3">
      <c r="A72" s="540" t="s">
        <v>143</v>
      </c>
      <c r="B72" s="749">
        <f>B45+B100</f>
        <v>384.11399999999998</v>
      </c>
      <c r="C72" s="749">
        <f t="shared" ref="C72:E74" si="18">C45+C100</f>
        <v>482.53800000000001</v>
      </c>
      <c r="D72" s="749">
        <f t="shared" si="18"/>
        <v>6</v>
      </c>
      <c r="E72" s="749">
        <f t="shared" si="18"/>
        <v>7</v>
      </c>
      <c r="F72" s="680">
        <f t="shared" si="13"/>
        <v>-98.424000000000035</v>
      </c>
      <c r="G72" s="681">
        <f t="shared" si="14"/>
        <v>-20.397150069010117</v>
      </c>
      <c r="H72" s="680">
        <f t="shared" si="15"/>
        <v>-1</v>
      </c>
      <c r="I72" s="681">
        <f t="shared" si="16"/>
        <v>-14.285714285714285</v>
      </c>
    </row>
    <row r="73" spans="1:9" ht="17.149999999999999" customHeight="1" x14ac:dyDescent="0.3">
      <c r="A73" s="540" t="s">
        <v>139</v>
      </c>
      <c r="B73" s="749">
        <f>B46+B101</f>
        <v>673567.42200000002</v>
      </c>
      <c r="C73" s="749">
        <f t="shared" si="18"/>
        <v>489667.30900000001</v>
      </c>
      <c r="D73" s="749">
        <f t="shared" si="18"/>
        <v>109160</v>
      </c>
      <c r="E73" s="749">
        <f t="shared" si="18"/>
        <v>87909</v>
      </c>
      <c r="F73" s="680">
        <f t="shared" si="13"/>
        <v>183900.11300000001</v>
      </c>
      <c r="G73" s="681">
        <f t="shared" si="14"/>
        <v>37.556134465166025</v>
      </c>
      <c r="H73" s="680">
        <f t="shared" si="15"/>
        <v>21251</v>
      </c>
      <c r="I73" s="681">
        <f t="shared" si="16"/>
        <v>24.173861606888941</v>
      </c>
    </row>
    <row r="74" spans="1:9" ht="17.149999999999999" customHeight="1" thickBot="1" x14ac:dyDescent="0.35">
      <c r="A74" s="540" t="s">
        <v>140</v>
      </c>
      <c r="B74" s="749">
        <f>B47+B102</f>
        <v>0</v>
      </c>
      <c r="C74" s="749">
        <f t="shared" si="18"/>
        <v>0</v>
      </c>
      <c r="D74" s="749">
        <f t="shared" si="18"/>
        <v>0</v>
      </c>
      <c r="E74" s="749">
        <f t="shared" si="18"/>
        <v>0</v>
      </c>
      <c r="F74" s="680">
        <f t="shared" si="13"/>
        <v>0</v>
      </c>
      <c r="G74" s="681">
        <f t="shared" si="14"/>
        <v>0</v>
      </c>
      <c r="H74" s="680">
        <f t="shared" si="15"/>
        <v>0</v>
      </c>
      <c r="I74" s="681">
        <f t="shared" si="16"/>
        <v>0</v>
      </c>
    </row>
    <row r="75" spans="1:9" ht="17.149999999999999" customHeight="1" thickBot="1" x14ac:dyDescent="0.35">
      <c r="A75" s="134" t="s">
        <v>123</v>
      </c>
      <c r="B75" s="135">
        <f>B69+B73+B74</f>
        <v>17714240.375</v>
      </c>
      <c r="C75" s="90">
        <f>C69+C73+C74</f>
        <v>13670684.924000001</v>
      </c>
      <c r="D75" s="90">
        <f>D69+D73+D74</f>
        <v>217963</v>
      </c>
      <c r="E75" s="91">
        <f>E69+E73+E74</f>
        <v>179719</v>
      </c>
      <c r="F75" s="82">
        <f t="shared" si="13"/>
        <v>4043555.4509999994</v>
      </c>
      <c r="G75" s="83">
        <f t="shared" si="14"/>
        <v>29.578294529348771</v>
      </c>
      <c r="H75" s="82">
        <f t="shared" si="15"/>
        <v>38244</v>
      </c>
      <c r="I75" s="83">
        <f t="shared" si="16"/>
        <v>21.279886934603464</v>
      </c>
    </row>
    <row r="76" spans="1:9" ht="17.149999999999999" customHeight="1" x14ac:dyDescent="0.3">
      <c r="A76" s="136"/>
      <c r="B76" s="107"/>
      <c r="C76" s="108"/>
      <c r="D76" s="108"/>
      <c r="E76" s="108"/>
      <c r="F76" s="110"/>
      <c r="G76" s="110"/>
      <c r="H76" s="110"/>
      <c r="I76" s="137"/>
    </row>
    <row r="77" spans="1:9" ht="17.149999999999999" customHeight="1" thickBot="1" x14ac:dyDescent="0.35">
      <c r="A77" s="131" t="s">
        <v>124</v>
      </c>
      <c r="B77" s="114"/>
      <c r="C77" s="115"/>
      <c r="D77" s="115"/>
      <c r="E77" s="115"/>
      <c r="F77" s="116"/>
      <c r="G77" s="116"/>
      <c r="H77" s="116"/>
      <c r="I77" s="138"/>
    </row>
    <row r="78" spans="1:9" ht="17.149999999999999" customHeight="1" thickBot="1" x14ac:dyDescent="0.35">
      <c r="A78" s="540" t="s">
        <v>125</v>
      </c>
      <c r="B78" s="133">
        <f>SUM(B79:B82)</f>
        <v>10255185.9</v>
      </c>
      <c r="C78" s="91">
        <f>SUM(C79:C82)</f>
        <v>9703213.1290000007</v>
      </c>
      <c r="D78" s="91">
        <f>SUM(D79:D82)</f>
        <v>170200</v>
      </c>
      <c r="E78" s="91">
        <f>SUM(E79:E82)</f>
        <v>167783</v>
      </c>
      <c r="F78" s="91">
        <f t="shared" ref="F78:F83" si="19">B78-C78</f>
        <v>551972.77099999972</v>
      </c>
      <c r="G78" s="92">
        <f t="shared" ref="G78:G83" si="20">IF(C78&lt;&gt;0,(B78-C78)/C78)*100</f>
        <v>5.6885566014243087</v>
      </c>
      <c r="H78" s="91">
        <f t="shared" ref="H78:H83" si="21">D78-E78</f>
        <v>2417</v>
      </c>
      <c r="I78" s="92">
        <f t="shared" ref="I78:I83" si="22">IF(E78&lt;&gt;0,(D78-E78)/E78)*100</f>
        <v>1.440551188141826</v>
      </c>
    </row>
    <row r="79" spans="1:9" ht="17.149999999999999" customHeight="1" x14ac:dyDescent="0.3">
      <c r="A79" s="119" t="s">
        <v>126</v>
      </c>
      <c r="B79" s="749">
        <f t="shared" ref="B79:E83" si="23">B51+B107</f>
        <v>4507389.16</v>
      </c>
      <c r="C79" s="749">
        <f t="shared" si="23"/>
        <v>4193424.3169999998</v>
      </c>
      <c r="D79" s="749">
        <f t="shared" si="23"/>
        <v>49344</v>
      </c>
      <c r="E79" s="749">
        <f t="shared" si="23"/>
        <v>46230</v>
      </c>
      <c r="F79" s="680">
        <f t="shared" si="19"/>
        <v>313964.84300000034</v>
      </c>
      <c r="G79" s="681">
        <f t="shared" si="20"/>
        <v>7.4870754606729761</v>
      </c>
      <c r="H79" s="680">
        <f t="shared" si="21"/>
        <v>3114</v>
      </c>
      <c r="I79" s="681">
        <f t="shared" si="22"/>
        <v>6.7358857884490586</v>
      </c>
    </row>
    <row r="80" spans="1:9" ht="17.149999999999999" customHeight="1" x14ac:dyDescent="0.3">
      <c r="A80" s="119" t="s">
        <v>144</v>
      </c>
      <c r="B80" s="684">
        <f t="shared" si="23"/>
        <v>1039319.149</v>
      </c>
      <c r="C80" s="684">
        <f t="shared" si="23"/>
        <v>1074169.358</v>
      </c>
      <c r="D80" s="684">
        <f t="shared" si="23"/>
        <v>24420</v>
      </c>
      <c r="E80" s="684">
        <f t="shared" si="23"/>
        <v>24935</v>
      </c>
      <c r="F80" s="680">
        <f t="shared" si="19"/>
        <v>-34850.209000000032</v>
      </c>
      <c r="G80" s="681">
        <f t="shared" si="20"/>
        <v>-3.2443868129777753</v>
      </c>
      <c r="H80" s="680">
        <f t="shared" si="21"/>
        <v>-515</v>
      </c>
      <c r="I80" s="681">
        <f t="shared" si="22"/>
        <v>-2.0653699619009425</v>
      </c>
    </row>
    <row r="81" spans="1:9" ht="17.149999999999999" customHeight="1" x14ac:dyDescent="0.3">
      <c r="A81" s="120" t="s">
        <v>141</v>
      </c>
      <c r="B81" s="749">
        <f t="shared" si="23"/>
        <v>538360.56599999999</v>
      </c>
      <c r="C81" s="749">
        <f t="shared" si="23"/>
        <v>556389.61800000002</v>
      </c>
      <c r="D81" s="749">
        <f t="shared" si="23"/>
        <v>16561</v>
      </c>
      <c r="E81" s="749">
        <f t="shared" si="23"/>
        <v>17565</v>
      </c>
      <c r="F81" s="680">
        <f t="shared" si="19"/>
        <v>-18029.052000000025</v>
      </c>
      <c r="G81" s="681">
        <f t="shared" si="20"/>
        <v>-3.2403645605047977</v>
      </c>
      <c r="H81" s="680">
        <f t="shared" si="21"/>
        <v>-1004</v>
      </c>
      <c r="I81" s="681">
        <f t="shared" si="22"/>
        <v>-5.7159123256475945</v>
      </c>
    </row>
    <row r="82" spans="1:9" ht="17.149999999999999" customHeight="1" x14ac:dyDescent="0.3">
      <c r="A82" s="119" t="s">
        <v>129</v>
      </c>
      <c r="B82" s="749">
        <f t="shared" si="23"/>
        <v>4170117.0250000004</v>
      </c>
      <c r="C82" s="749">
        <f t="shared" si="23"/>
        <v>3879229.8360000001</v>
      </c>
      <c r="D82" s="749">
        <f t="shared" si="23"/>
        <v>79875</v>
      </c>
      <c r="E82" s="749">
        <f t="shared" si="23"/>
        <v>79053</v>
      </c>
      <c r="F82" s="680">
        <f t="shared" si="19"/>
        <v>290887.18900000025</v>
      </c>
      <c r="G82" s="681">
        <f t="shared" si="20"/>
        <v>7.4985809373940961</v>
      </c>
      <c r="H82" s="680">
        <f t="shared" si="21"/>
        <v>822</v>
      </c>
      <c r="I82" s="681">
        <f t="shared" si="22"/>
        <v>1.0398087359113506</v>
      </c>
    </row>
    <row r="83" spans="1:9" ht="17.149999999999999" customHeight="1" x14ac:dyDescent="0.3">
      <c r="A83" s="540" t="s">
        <v>130</v>
      </c>
      <c r="B83" s="749">
        <f t="shared" si="23"/>
        <v>112413.245</v>
      </c>
      <c r="C83" s="749">
        <f t="shared" si="23"/>
        <v>131448.027</v>
      </c>
      <c r="D83" s="749">
        <f t="shared" si="23"/>
        <v>15094</v>
      </c>
      <c r="E83" s="749">
        <f t="shared" si="23"/>
        <v>16427</v>
      </c>
      <c r="F83" s="680">
        <f t="shared" si="19"/>
        <v>-19034.782000000007</v>
      </c>
      <c r="G83" s="681">
        <f t="shared" si="20"/>
        <v>-14.480842683169376</v>
      </c>
      <c r="H83" s="680">
        <f t="shared" si="21"/>
        <v>-1333</v>
      </c>
      <c r="I83" s="681">
        <f t="shared" si="22"/>
        <v>-8.1146892311438492</v>
      </c>
    </row>
    <row r="84" spans="1:9" ht="17.149999999999999" customHeight="1" x14ac:dyDescent="0.3">
      <c r="A84" s="540"/>
      <c r="B84" s="749"/>
      <c r="C84" s="749"/>
      <c r="D84" s="749"/>
      <c r="E84" s="749"/>
      <c r="F84" s="753"/>
      <c r="G84" s="754"/>
      <c r="H84" s="753"/>
      <c r="I84" s="754"/>
    </row>
    <row r="85" spans="1:9" ht="17.149999999999999" customHeight="1" x14ac:dyDescent="0.3">
      <c r="A85" s="540"/>
      <c r="B85" s="749"/>
      <c r="C85" s="749"/>
      <c r="D85" s="749"/>
      <c r="E85" s="749"/>
      <c r="F85" s="753"/>
      <c r="G85" s="754"/>
      <c r="H85" s="753"/>
      <c r="I85" s="754"/>
    </row>
    <row r="86" spans="1:9" ht="17.149999999999999" customHeight="1" thickBot="1" x14ac:dyDescent="0.35">
      <c r="A86" s="540"/>
      <c r="B86" s="642"/>
      <c r="C86" s="636"/>
      <c r="D86" s="637"/>
      <c r="E86" s="637"/>
      <c r="F86" s="638"/>
      <c r="G86" s="639"/>
      <c r="H86" s="640"/>
      <c r="I86" s="641"/>
    </row>
    <row r="87" spans="1:9" ht="17.149999999999999" customHeight="1" thickBot="1" x14ac:dyDescent="0.35">
      <c r="A87" s="134" t="s">
        <v>131</v>
      </c>
      <c r="B87" s="103">
        <f>B78+B83</f>
        <v>10367599.145</v>
      </c>
      <c r="C87" s="104">
        <f>C78+C83</f>
        <v>9834661.1560000014</v>
      </c>
      <c r="D87" s="104">
        <f>D78+D83</f>
        <v>185294</v>
      </c>
      <c r="E87" s="104">
        <f>E78+E83</f>
        <v>184210</v>
      </c>
      <c r="F87" s="657">
        <f>B87-C87</f>
        <v>532937.9889999982</v>
      </c>
      <c r="G87" s="625">
        <f>IF(C87&lt;&gt;0,(B87-C87)/C87)*100</f>
        <v>5.4189766230518224</v>
      </c>
      <c r="H87" s="657">
        <f>D87-E87</f>
        <v>1084</v>
      </c>
      <c r="I87" s="625">
        <f>IF(E87&lt;&gt;0,(D87-E87)/E87)*100</f>
        <v>0.58845882416806905</v>
      </c>
    </row>
    <row r="88" spans="1:9" ht="17.149999999999999" customHeight="1" thickBot="1" x14ac:dyDescent="0.35">
      <c r="A88" s="540"/>
      <c r="B88" s="121"/>
      <c r="C88" s="122"/>
      <c r="D88" s="122"/>
      <c r="E88" s="122"/>
      <c r="F88" s="123"/>
      <c r="G88" s="124"/>
      <c r="H88" s="123"/>
      <c r="I88" s="125"/>
    </row>
    <row r="89" spans="1:9" ht="17.149999999999999" customHeight="1" thickBot="1" x14ac:dyDescent="0.35">
      <c r="A89" s="134" t="s">
        <v>132</v>
      </c>
      <c r="B89" s="139">
        <f>B75+B87</f>
        <v>28081839.52</v>
      </c>
      <c r="C89" s="140">
        <f>C75+C87</f>
        <v>23505346.080000002</v>
      </c>
      <c r="D89" s="140">
        <f>D75+D87</f>
        <v>403257</v>
      </c>
      <c r="E89" s="140">
        <f>E75+E87</f>
        <v>363929</v>
      </c>
      <c r="F89" s="104">
        <f>B89-C89</f>
        <v>4576493.4399999976</v>
      </c>
      <c r="G89" s="105">
        <f>IF(C89&lt;&gt;0,(B89-C89)/C89)*100</f>
        <v>19.470010883583626</v>
      </c>
      <c r="H89" s="104">
        <f>D89-E89</f>
        <v>39328</v>
      </c>
      <c r="I89" s="105">
        <f>IF(E89&lt;&gt;0,(D89-E89)/E89)*100</f>
        <v>10.806503466335467</v>
      </c>
    </row>
    <row r="90" spans="1:9" ht="17.149999999999999" customHeight="1" x14ac:dyDescent="0.3">
      <c r="A90" s="94"/>
      <c r="B90" s="94"/>
      <c r="C90" s="94"/>
      <c r="D90" s="94"/>
      <c r="E90" s="94"/>
      <c r="F90" s="541"/>
      <c r="G90" s="541"/>
      <c r="H90" s="541"/>
      <c r="I90" s="541"/>
    </row>
    <row r="91" spans="1:9" ht="17.149999999999999" customHeight="1" x14ac:dyDescent="0.3">
      <c r="A91" s="126"/>
      <c r="B91" s="97"/>
      <c r="C91" s="97"/>
      <c r="D91" s="97"/>
      <c r="E91" s="97"/>
      <c r="F91" s="541"/>
      <c r="G91" s="541"/>
      <c r="H91" s="541"/>
      <c r="I91" s="541"/>
    </row>
    <row r="92" spans="1:9" ht="17.149999999999999" customHeight="1" thickBot="1" x14ac:dyDescent="0.35">
      <c r="A92" s="404" t="s">
        <v>145</v>
      </c>
      <c r="B92" s="813"/>
      <c r="C92" s="813"/>
      <c r="D92" s="129"/>
      <c r="E92" s="129"/>
      <c r="F92" s="541"/>
      <c r="G92" s="541"/>
      <c r="H92" s="541"/>
      <c r="I92" s="541"/>
    </row>
    <row r="93" spans="1:9" ht="17.149999999999999" customHeight="1" thickBot="1" x14ac:dyDescent="0.35">
      <c r="A93" s="824" t="s">
        <v>134</v>
      </c>
      <c r="B93" s="820" t="s">
        <v>105</v>
      </c>
      <c r="C93" s="835"/>
      <c r="D93" s="820" t="s">
        <v>106</v>
      </c>
      <c r="E93" s="821"/>
      <c r="F93" s="804" t="s">
        <v>107</v>
      </c>
      <c r="G93" s="805"/>
      <c r="H93" s="805"/>
      <c r="I93" s="806"/>
    </row>
    <row r="94" spans="1:9" ht="17.149999999999999" customHeight="1" thickBot="1" x14ac:dyDescent="0.35">
      <c r="A94" s="825"/>
      <c r="B94" s="324" t="s">
        <v>147</v>
      </c>
      <c r="C94" s="324" t="s">
        <v>148</v>
      </c>
      <c r="D94" s="324" t="s">
        <v>147</v>
      </c>
      <c r="E94" s="324" t="s">
        <v>148</v>
      </c>
      <c r="F94" s="804" t="s">
        <v>105</v>
      </c>
      <c r="G94" s="806"/>
      <c r="H94" s="804" t="s">
        <v>106</v>
      </c>
      <c r="I94" s="806"/>
    </row>
    <row r="95" spans="1:9" ht="17.149999999999999" customHeight="1" x14ac:dyDescent="0.3">
      <c r="A95" s="130"/>
      <c r="B95" s="807"/>
      <c r="C95" s="808"/>
      <c r="D95" s="808"/>
      <c r="E95" s="809"/>
      <c r="F95" s="814" t="s">
        <v>110</v>
      </c>
      <c r="G95" s="816" t="s">
        <v>111</v>
      </c>
      <c r="H95" s="816" t="s">
        <v>112</v>
      </c>
      <c r="I95" s="816" t="s">
        <v>111</v>
      </c>
    </row>
    <row r="96" spans="1:9" ht="17.149999999999999" customHeight="1" thickBot="1" x14ac:dyDescent="0.35">
      <c r="A96" s="131" t="s">
        <v>113</v>
      </c>
      <c r="B96" s="810"/>
      <c r="C96" s="811"/>
      <c r="D96" s="811"/>
      <c r="E96" s="812"/>
      <c r="F96" s="815"/>
      <c r="G96" s="817"/>
      <c r="H96" s="817"/>
      <c r="I96" s="817"/>
    </row>
    <row r="97" spans="1:9" ht="17.149999999999999" customHeight="1" thickBot="1" x14ac:dyDescent="0.35">
      <c r="A97" s="540" t="s">
        <v>135</v>
      </c>
      <c r="B97" s="91">
        <f>B98+B99+B100</f>
        <v>1355921.4210000001</v>
      </c>
      <c r="C97" s="91">
        <f>C98+C99+C100</f>
        <v>1063109.673</v>
      </c>
      <c r="D97" s="91">
        <f>D98+D99+D100</f>
        <v>20386</v>
      </c>
      <c r="E97" s="91">
        <f>E98+E99+E100</f>
        <v>17651</v>
      </c>
      <c r="F97" s="91">
        <f t="shared" ref="F97:F103" si="24">B97-C97</f>
        <v>292811.74800000014</v>
      </c>
      <c r="G97" s="92">
        <f t="shared" ref="G97:G103" si="25">IF(C97&lt;&gt;0,(B97-C97)/C97)*100</f>
        <v>27.542948336996286</v>
      </c>
      <c r="H97" s="91">
        <f t="shared" ref="H97:H103" si="26">D97-E97</f>
        <v>2735</v>
      </c>
      <c r="I97" s="92">
        <f t="shared" ref="I97:I103" si="27">IF(E97&lt;&gt;0,(D97-E97)/E97)*100</f>
        <v>15.494872811738711</v>
      </c>
    </row>
    <row r="98" spans="1:9" ht="17.149999999999999" customHeight="1" x14ac:dyDescent="0.3">
      <c r="A98" s="540" t="s">
        <v>136</v>
      </c>
      <c r="B98" s="752">
        <f>1070052330/1000</f>
        <v>1070052.33</v>
      </c>
      <c r="C98" s="752">
        <f>865907240/1000</f>
        <v>865907.24</v>
      </c>
      <c r="D98" s="752">
        <v>14317</v>
      </c>
      <c r="E98" s="752">
        <v>12294</v>
      </c>
      <c r="F98" s="680">
        <f t="shared" si="24"/>
        <v>204145.09000000008</v>
      </c>
      <c r="G98" s="681">
        <f t="shared" si="25"/>
        <v>23.575861312812226</v>
      </c>
      <c r="H98" s="680">
        <f t="shared" si="26"/>
        <v>2023</v>
      </c>
      <c r="I98" s="681">
        <f t="shared" si="27"/>
        <v>16.455181389295593</v>
      </c>
    </row>
    <row r="99" spans="1:9" ht="17.149999999999999" customHeight="1" x14ac:dyDescent="0.3">
      <c r="A99" s="540" t="s">
        <v>116</v>
      </c>
      <c r="B99" s="752">
        <f>285484977/1000</f>
        <v>285484.97700000001</v>
      </c>
      <c r="C99" s="752">
        <f>196719895/1000</f>
        <v>196719.89499999999</v>
      </c>
      <c r="D99" s="752">
        <v>6063</v>
      </c>
      <c r="E99" s="752">
        <v>5350</v>
      </c>
      <c r="F99" s="680">
        <f t="shared" si="24"/>
        <v>88765.082000000024</v>
      </c>
      <c r="G99" s="681">
        <f t="shared" si="25"/>
        <v>45.12257491800716</v>
      </c>
      <c r="H99" s="680">
        <f t="shared" si="26"/>
        <v>713</v>
      </c>
      <c r="I99" s="681">
        <f t="shared" si="27"/>
        <v>13.327102803738317</v>
      </c>
    </row>
    <row r="100" spans="1:9" ht="17.149999999999999" customHeight="1" x14ac:dyDescent="0.3">
      <c r="A100" s="540" t="s">
        <v>143</v>
      </c>
      <c r="B100" s="752">
        <f>384114/1000</f>
        <v>384.11399999999998</v>
      </c>
      <c r="C100" s="752">
        <f>482538/1000</f>
        <v>482.53800000000001</v>
      </c>
      <c r="D100" s="752">
        <v>6</v>
      </c>
      <c r="E100" s="752">
        <v>7</v>
      </c>
      <c r="F100" s="680">
        <f t="shared" si="24"/>
        <v>-98.424000000000035</v>
      </c>
      <c r="G100" s="681">
        <f t="shared" si="25"/>
        <v>-20.397150069010117</v>
      </c>
      <c r="H100" s="680">
        <f t="shared" si="26"/>
        <v>-1</v>
      </c>
      <c r="I100" s="681">
        <f t="shared" si="27"/>
        <v>-14.285714285714285</v>
      </c>
    </row>
    <row r="101" spans="1:9" ht="17.149999999999999" customHeight="1" x14ac:dyDescent="0.3">
      <c r="A101" s="540" t="s">
        <v>139</v>
      </c>
      <c r="B101" s="752">
        <f>68420011/1000</f>
        <v>68420.010999999999</v>
      </c>
      <c r="C101" s="752">
        <f>48691392/1000</f>
        <v>48691.392</v>
      </c>
      <c r="D101" s="752">
        <v>93206</v>
      </c>
      <c r="E101" s="752">
        <v>11812</v>
      </c>
      <c r="F101" s="680">
        <f t="shared" si="24"/>
        <v>19728.618999999999</v>
      </c>
      <c r="G101" s="681">
        <f t="shared" si="25"/>
        <v>40.517673021136872</v>
      </c>
      <c r="H101" s="680">
        <f t="shared" si="26"/>
        <v>81394</v>
      </c>
      <c r="I101" s="681">
        <f t="shared" si="27"/>
        <v>689.07890281070104</v>
      </c>
    </row>
    <row r="102" spans="1:9" ht="17.149999999999999" customHeight="1" thickBot="1" x14ac:dyDescent="0.35">
      <c r="A102" s="540" t="s">
        <v>140</v>
      </c>
      <c r="B102" s="752">
        <v>0</v>
      </c>
      <c r="C102" s="752">
        <v>0</v>
      </c>
      <c r="D102" s="752">
        <v>0</v>
      </c>
      <c r="E102" s="752">
        <v>0</v>
      </c>
      <c r="F102" s="680">
        <f t="shared" si="24"/>
        <v>0</v>
      </c>
      <c r="G102" s="681">
        <f t="shared" si="25"/>
        <v>0</v>
      </c>
      <c r="H102" s="680">
        <f t="shared" si="26"/>
        <v>0</v>
      </c>
      <c r="I102" s="681">
        <f t="shared" si="27"/>
        <v>0</v>
      </c>
    </row>
    <row r="103" spans="1:9" ht="17.149999999999999" customHeight="1" thickBot="1" x14ac:dyDescent="0.35">
      <c r="A103" s="134" t="s">
        <v>123</v>
      </c>
      <c r="B103" s="81">
        <f>B97+B101+B102</f>
        <v>1424341.432</v>
      </c>
      <c r="C103" s="81">
        <f>C97+C101+C102</f>
        <v>1111801.0649999999</v>
      </c>
      <c r="D103" s="81">
        <f>D97+D101+D102</f>
        <v>113592</v>
      </c>
      <c r="E103" s="82">
        <f>E97+E101+E102</f>
        <v>29463</v>
      </c>
      <c r="F103" s="91">
        <f t="shared" si="24"/>
        <v>312540.36700000009</v>
      </c>
      <c r="G103" s="92">
        <f t="shared" si="25"/>
        <v>28.111177155600231</v>
      </c>
      <c r="H103" s="91">
        <f t="shared" si="26"/>
        <v>84129</v>
      </c>
      <c r="I103" s="92">
        <f t="shared" si="27"/>
        <v>285.54118725180734</v>
      </c>
    </row>
    <row r="104" spans="1:9" ht="17.149999999999999" customHeight="1" x14ac:dyDescent="0.3">
      <c r="A104" s="142"/>
      <c r="B104" s="107"/>
      <c r="C104" s="108"/>
      <c r="D104" s="109"/>
      <c r="E104" s="108"/>
      <c r="F104" s="110"/>
      <c r="G104" s="111"/>
      <c r="H104" s="112"/>
      <c r="I104" s="113"/>
    </row>
    <row r="105" spans="1:9" ht="17.149999999999999" customHeight="1" thickBot="1" x14ac:dyDescent="0.35">
      <c r="A105" s="143" t="s">
        <v>124</v>
      </c>
      <c r="B105" s="114"/>
      <c r="C105" s="115"/>
      <c r="D105" s="115"/>
      <c r="E105" s="115"/>
      <c r="F105" s="116"/>
      <c r="G105" s="117"/>
      <c r="H105" s="116"/>
      <c r="I105" s="118"/>
    </row>
    <row r="106" spans="1:9" ht="17.149999999999999" customHeight="1" thickBot="1" x14ac:dyDescent="0.35">
      <c r="A106" s="540" t="s">
        <v>125</v>
      </c>
      <c r="B106" s="104">
        <f>SUM(B107:B110)</f>
        <v>1461907.2880000002</v>
      </c>
      <c r="C106" s="104">
        <f>SUM(C107:C110)</f>
        <v>1405449.078</v>
      </c>
      <c r="D106" s="104">
        <f>SUM(D107:D110)</f>
        <v>37013</v>
      </c>
      <c r="E106" s="104">
        <f>SUM(E107:E110)</f>
        <v>36645</v>
      </c>
      <c r="F106" s="91">
        <f t="shared" ref="F106:F111" si="28">B106-C106</f>
        <v>56458.210000000196</v>
      </c>
      <c r="G106" s="92">
        <f t="shared" ref="G106:G111" si="29">IF(C106&lt;&gt;0,(B106-C106)/C106)*100</f>
        <v>4.0170939583483225</v>
      </c>
      <c r="H106" s="91">
        <f t="shared" ref="H106:H111" si="30">D106-E106</f>
        <v>368</v>
      </c>
      <c r="I106" s="92">
        <f t="shared" ref="I106:I111" si="31">IF(E106&lt;&gt;0,(D106-E106)/E106)*100</f>
        <v>1.0042297721380817</v>
      </c>
    </row>
    <row r="107" spans="1:9" ht="17.149999999999999" customHeight="1" x14ac:dyDescent="0.3">
      <c r="A107" s="119" t="s">
        <v>126</v>
      </c>
      <c r="B107" s="752">
        <f>257475411/1000</f>
        <v>257475.41099999999</v>
      </c>
      <c r="C107" s="752">
        <f>255394527/1000</f>
        <v>255394.527</v>
      </c>
      <c r="D107" s="752">
        <v>5260</v>
      </c>
      <c r="E107" s="752">
        <v>5229</v>
      </c>
      <c r="F107" s="680">
        <f t="shared" si="28"/>
        <v>2080.8839999999909</v>
      </c>
      <c r="G107" s="681">
        <f t="shared" si="29"/>
        <v>0.81477235414680238</v>
      </c>
      <c r="H107" s="680">
        <f t="shared" si="30"/>
        <v>31</v>
      </c>
      <c r="I107" s="681">
        <f t="shared" si="31"/>
        <v>0.59284758079938804</v>
      </c>
    </row>
    <row r="108" spans="1:9" ht="17.149999999999999" customHeight="1" x14ac:dyDescent="0.3">
      <c r="A108" s="119" t="s">
        <v>144</v>
      </c>
      <c r="B108" s="752">
        <f>38203944/1000</f>
        <v>38203.944000000003</v>
      </c>
      <c r="C108" s="752">
        <f>37156975/1000</f>
        <v>37156.974999999999</v>
      </c>
      <c r="D108" s="752">
        <v>1666</v>
      </c>
      <c r="E108" s="752">
        <v>1577</v>
      </c>
      <c r="F108" s="680">
        <f t="shared" si="28"/>
        <v>1046.9690000000046</v>
      </c>
      <c r="G108" s="681">
        <f t="shared" si="29"/>
        <v>2.817691698530369</v>
      </c>
      <c r="H108" s="680">
        <f t="shared" si="30"/>
        <v>89</v>
      </c>
      <c r="I108" s="681">
        <f t="shared" si="31"/>
        <v>5.6436271401395048</v>
      </c>
    </row>
    <row r="109" spans="1:9" ht="17.149999999999999" customHeight="1" x14ac:dyDescent="0.3">
      <c r="A109" s="120" t="s">
        <v>141</v>
      </c>
      <c r="B109" s="752">
        <f>159442003/1000</f>
        <v>159442.003</v>
      </c>
      <c r="C109" s="752">
        <f>150881805/1000</f>
        <v>150881.80499999999</v>
      </c>
      <c r="D109" s="752">
        <v>5344</v>
      </c>
      <c r="E109" s="752">
        <v>5329</v>
      </c>
      <c r="F109" s="680">
        <f t="shared" si="28"/>
        <v>8560.198000000004</v>
      </c>
      <c r="G109" s="681">
        <f t="shared" si="29"/>
        <v>5.6734461786164374</v>
      </c>
      <c r="H109" s="680">
        <f t="shared" si="30"/>
        <v>15</v>
      </c>
      <c r="I109" s="681">
        <f t="shared" si="31"/>
        <v>0.28147870144492398</v>
      </c>
    </row>
    <row r="110" spans="1:9" ht="17.149999999999999" customHeight="1" x14ac:dyDescent="0.3">
      <c r="A110" s="119" t="s">
        <v>129</v>
      </c>
      <c r="B110" s="752">
        <f>1006785930/1000</f>
        <v>1006785.93</v>
      </c>
      <c r="C110" s="752">
        <f>962015771/1000</f>
        <v>962015.77099999995</v>
      </c>
      <c r="D110" s="752">
        <v>24743</v>
      </c>
      <c r="E110" s="752">
        <v>24510</v>
      </c>
      <c r="F110" s="680">
        <f t="shared" si="28"/>
        <v>44770.159000000102</v>
      </c>
      <c r="G110" s="681">
        <f t="shared" si="29"/>
        <v>4.6537863878741028</v>
      </c>
      <c r="H110" s="680">
        <f t="shared" si="30"/>
        <v>233</v>
      </c>
      <c r="I110" s="681">
        <f t="shared" si="31"/>
        <v>0.95063239494084051</v>
      </c>
    </row>
    <row r="111" spans="1:9" ht="17.149999999999999" customHeight="1" x14ac:dyDescent="0.3">
      <c r="A111" s="540" t="s">
        <v>130</v>
      </c>
      <c r="B111" s="752">
        <f>38385053/1000</f>
        <v>38385.053</v>
      </c>
      <c r="C111" s="752">
        <f>51314654/1000</f>
        <v>51314.654000000002</v>
      </c>
      <c r="D111" s="752">
        <v>2813</v>
      </c>
      <c r="E111" s="752">
        <v>3630</v>
      </c>
      <c r="F111" s="680">
        <f t="shared" si="28"/>
        <v>-12929.601000000002</v>
      </c>
      <c r="G111" s="681">
        <f t="shared" si="29"/>
        <v>-25.196703070432868</v>
      </c>
      <c r="H111" s="680">
        <f t="shared" si="30"/>
        <v>-817</v>
      </c>
      <c r="I111" s="681">
        <f t="shared" si="31"/>
        <v>-22.506887052341597</v>
      </c>
    </row>
    <row r="112" spans="1:9" ht="17.149999999999999" customHeight="1" x14ac:dyDescent="0.3">
      <c r="A112" s="540"/>
      <c r="B112" s="684"/>
      <c r="C112" s="684"/>
      <c r="D112" s="684"/>
      <c r="E112" s="684"/>
      <c r="F112" s="753"/>
      <c r="G112" s="754"/>
      <c r="H112" s="753"/>
      <c r="I112" s="754"/>
    </row>
    <row r="113" spans="1:10" ht="17.149999999999999" customHeight="1" x14ac:dyDescent="0.3">
      <c r="A113" s="540"/>
      <c r="B113" s="684"/>
      <c r="C113" s="684"/>
      <c r="D113" s="684"/>
      <c r="E113" s="684"/>
      <c r="F113" s="753"/>
      <c r="G113" s="754"/>
      <c r="H113" s="753"/>
      <c r="I113" s="754"/>
    </row>
    <row r="114" spans="1:10" ht="17.149999999999999" customHeight="1" thickBot="1" x14ac:dyDescent="0.35">
      <c r="A114" s="540"/>
      <c r="B114" s="636"/>
      <c r="C114" s="636"/>
      <c r="D114" s="637"/>
      <c r="E114" s="637"/>
      <c r="F114" s="638"/>
      <c r="G114" s="639"/>
      <c r="H114" s="640"/>
      <c r="I114" s="641"/>
    </row>
    <row r="115" spans="1:10" ht="17.149999999999999" customHeight="1" thickBot="1" x14ac:dyDescent="0.35">
      <c r="A115" s="134" t="s">
        <v>131</v>
      </c>
      <c r="B115" s="104">
        <f>B106+B111</f>
        <v>1500292.3410000002</v>
      </c>
      <c r="C115" s="104">
        <f>C106+C111</f>
        <v>1456763.7320000001</v>
      </c>
      <c r="D115" s="104">
        <f>D106+D111</f>
        <v>39826</v>
      </c>
      <c r="E115" s="104">
        <f>E106+E111</f>
        <v>40275</v>
      </c>
      <c r="F115" s="657">
        <f>B115-C115</f>
        <v>43528.609000000171</v>
      </c>
      <c r="G115" s="625">
        <f>IF(C115&lt;&gt;0,(B115-C115)/C115)*100</f>
        <v>2.9880349190351869</v>
      </c>
      <c r="H115" s="657">
        <f>D115-E115</f>
        <v>-449</v>
      </c>
      <c r="I115" s="625">
        <f>IF(E115&lt;&gt;0,(D115-E115)/E115)*100</f>
        <v>-1.1148355058969586</v>
      </c>
    </row>
    <row r="116" spans="1:10" ht="17.149999999999999" customHeight="1" thickBot="1" x14ac:dyDescent="0.35">
      <c r="A116" s="540"/>
      <c r="B116" s="121"/>
      <c r="C116" s="122"/>
      <c r="D116" s="122"/>
      <c r="E116" s="122"/>
      <c r="F116" s="123"/>
      <c r="G116" s="124"/>
      <c r="H116" s="123"/>
      <c r="I116" s="125"/>
    </row>
    <row r="117" spans="1:10" ht="17.149999999999999" customHeight="1" thickBot="1" x14ac:dyDescent="0.35">
      <c r="A117" s="134" t="s">
        <v>132</v>
      </c>
      <c r="B117" s="104">
        <f>B103+B115</f>
        <v>2924633.773</v>
      </c>
      <c r="C117" s="104">
        <f>C103+C115</f>
        <v>2568564.7970000003</v>
      </c>
      <c r="D117" s="104">
        <f>D103+D115</f>
        <v>153418</v>
      </c>
      <c r="E117" s="104">
        <f>E103+E115</f>
        <v>69738</v>
      </c>
      <c r="F117" s="104">
        <f>B117-C117</f>
        <v>356068.97599999979</v>
      </c>
      <c r="G117" s="105">
        <f>IF(C117&lt;&gt;0,(B117-C117)/C117)*100</f>
        <v>13.862565445725828</v>
      </c>
      <c r="H117" s="104">
        <f>D117-E117</f>
        <v>83680</v>
      </c>
      <c r="I117" s="105">
        <f>IF(E117&lt;&gt;0,(D117-E117)/E117)*100</f>
        <v>119.99196994464998</v>
      </c>
    </row>
    <row r="118" spans="1:10" ht="17.149999999999999" customHeight="1" x14ac:dyDescent="0.3">
      <c r="J118"/>
    </row>
    <row r="119" spans="1:10" ht="17.149999999999999" customHeight="1" x14ac:dyDescent="0.3">
      <c r="J119"/>
    </row>
    <row r="120" spans="1:10" ht="17.149999999999999" customHeight="1" x14ac:dyDescent="0.35">
      <c r="B120" s="217">
        <f t="shared" ref="B120:E122" si="32">B41-B69+B97</f>
        <v>0</v>
      </c>
      <c r="C120" s="217">
        <f t="shared" si="32"/>
        <v>0</v>
      </c>
      <c r="D120" s="217">
        <f t="shared" si="32"/>
        <v>0</v>
      </c>
      <c r="E120" s="217">
        <f t="shared" si="32"/>
        <v>0</v>
      </c>
      <c r="J120"/>
    </row>
    <row r="121" spans="1:10" ht="17.149999999999999" customHeight="1" x14ac:dyDescent="0.35">
      <c r="B121" s="217">
        <f t="shared" si="32"/>
        <v>0</v>
      </c>
      <c r="C121" s="217">
        <f t="shared" si="32"/>
        <v>0</v>
      </c>
      <c r="D121" s="217">
        <f t="shared" si="32"/>
        <v>0</v>
      </c>
      <c r="E121" s="217">
        <f t="shared" si="32"/>
        <v>0</v>
      </c>
      <c r="J121"/>
    </row>
    <row r="122" spans="1:10" ht="17.149999999999999" customHeight="1" x14ac:dyDescent="0.35">
      <c r="B122" s="217">
        <f t="shared" si="32"/>
        <v>0</v>
      </c>
      <c r="C122" s="217">
        <f t="shared" si="32"/>
        <v>4.3655745685100555E-10</v>
      </c>
      <c r="D122" s="217">
        <f t="shared" si="32"/>
        <v>0</v>
      </c>
      <c r="E122" s="217">
        <f t="shared" si="32"/>
        <v>0</v>
      </c>
      <c r="J122"/>
    </row>
    <row r="123" spans="1:10" ht="17.149999999999999" customHeight="1" x14ac:dyDescent="0.35">
      <c r="B123" s="217">
        <f t="shared" ref="B123:E127" si="33">B45-B72+B100</f>
        <v>0</v>
      </c>
      <c r="C123" s="217">
        <f t="shared" si="33"/>
        <v>0</v>
      </c>
      <c r="D123" s="217">
        <f t="shared" si="33"/>
        <v>0</v>
      </c>
      <c r="E123" s="217">
        <f t="shared" si="33"/>
        <v>0</v>
      </c>
      <c r="J123"/>
    </row>
    <row r="124" spans="1:10" ht="17.149999999999999" customHeight="1" x14ac:dyDescent="0.35">
      <c r="B124" s="217">
        <f t="shared" si="33"/>
        <v>0</v>
      </c>
      <c r="C124" s="217">
        <f t="shared" si="33"/>
        <v>0</v>
      </c>
      <c r="D124" s="217">
        <f t="shared" si="33"/>
        <v>0</v>
      </c>
      <c r="E124" s="217">
        <f t="shared" si="33"/>
        <v>0</v>
      </c>
      <c r="J124"/>
    </row>
    <row r="125" spans="1:10" ht="17.149999999999999" customHeight="1" x14ac:dyDescent="0.35">
      <c r="B125" s="217">
        <f t="shared" si="33"/>
        <v>0</v>
      </c>
      <c r="C125" s="217">
        <f t="shared" si="33"/>
        <v>0</v>
      </c>
      <c r="D125" s="217">
        <f t="shared" si="33"/>
        <v>0</v>
      </c>
      <c r="E125" s="217">
        <f t="shared" si="33"/>
        <v>0</v>
      </c>
      <c r="J125"/>
    </row>
    <row r="126" spans="1:10" ht="17.149999999999999" customHeight="1" x14ac:dyDescent="0.35">
      <c r="B126" s="217">
        <f t="shared" si="33"/>
        <v>1.862645149230957E-9</v>
      </c>
      <c r="C126" s="217">
        <f t="shared" si="33"/>
        <v>0</v>
      </c>
      <c r="D126" s="217">
        <f t="shared" si="33"/>
        <v>0</v>
      </c>
      <c r="E126" s="217">
        <f t="shared" si="33"/>
        <v>0</v>
      </c>
      <c r="J126"/>
    </row>
    <row r="127" spans="1:10" ht="17.149999999999999" customHeight="1" x14ac:dyDescent="0.35">
      <c r="B127" s="217">
        <f t="shared" si="33"/>
        <v>0</v>
      </c>
      <c r="C127" s="217">
        <f t="shared" si="33"/>
        <v>0</v>
      </c>
      <c r="D127" s="217">
        <f t="shared" si="33"/>
        <v>0</v>
      </c>
      <c r="E127" s="217">
        <f t="shared" si="33"/>
        <v>0</v>
      </c>
      <c r="J127"/>
    </row>
    <row r="128" spans="1:10" ht="17.149999999999999" customHeight="1" x14ac:dyDescent="0.35">
      <c r="B128" s="217">
        <f t="shared" ref="B128:E140" si="34">B49-B77+B105</f>
        <v>0</v>
      </c>
      <c r="C128" s="217">
        <f t="shared" si="34"/>
        <v>0</v>
      </c>
      <c r="D128" s="217">
        <f t="shared" si="34"/>
        <v>0</v>
      </c>
      <c r="E128" s="217">
        <f t="shared" si="34"/>
        <v>0</v>
      </c>
      <c r="J128"/>
    </row>
    <row r="129" spans="1:5" customFormat="1" ht="17.149999999999999" customHeight="1" x14ac:dyDescent="0.35">
      <c r="A129" s="347"/>
      <c r="B129" s="217">
        <f t="shared" si="34"/>
        <v>0</v>
      </c>
      <c r="C129" s="217">
        <f t="shared" si="34"/>
        <v>0</v>
      </c>
      <c r="D129" s="217">
        <f t="shared" si="34"/>
        <v>0</v>
      </c>
      <c r="E129" s="217">
        <f t="shared" si="34"/>
        <v>0</v>
      </c>
    </row>
    <row r="130" spans="1:5" customFormat="1" ht="17.149999999999999" customHeight="1" x14ac:dyDescent="0.35">
      <c r="A130" s="347"/>
      <c r="B130" s="217">
        <f t="shared" si="34"/>
        <v>-3.2014213502407074E-10</v>
      </c>
      <c r="C130" s="217">
        <f t="shared" si="34"/>
        <v>2.3283064365386963E-10</v>
      </c>
      <c r="D130" s="217">
        <f t="shared" si="34"/>
        <v>0</v>
      </c>
      <c r="E130" s="217">
        <f t="shared" si="34"/>
        <v>0</v>
      </c>
    </row>
    <row r="131" spans="1:5" customFormat="1" ht="17.149999999999999" customHeight="1" x14ac:dyDescent="0.35">
      <c r="A131" s="347"/>
      <c r="B131" s="217">
        <f t="shared" si="34"/>
        <v>0</v>
      </c>
      <c r="C131" s="217">
        <f t="shared" si="34"/>
        <v>0</v>
      </c>
      <c r="D131" s="217">
        <f t="shared" si="34"/>
        <v>0</v>
      </c>
      <c r="E131" s="217">
        <f t="shared" si="34"/>
        <v>0</v>
      </c>
    </row>
    <row r="132" spans="1:5" customFormat="1" ht="17.149999999999999" customHeight="1" x14ac:dyDescent="0.35">
      <c r="A132" s="347"/>
      <c r="B132" s="217">
        <f t="shared" si="34"/>
        <v>0</v>
      </c>
      <c r="C132" s="217">
        <f t="shared" si="34"/>
        <v>0</v>
      </c>
      <c r="D132" s="217">
        <f t="shared" si="34"/>
        <v>0</v>
      </c>
      <c r="E132" s="217">
        <f t="shared" si="34"/>
        <v>0</v>
      </c>
    </row>
    <row r="133" spans="1:5" customFormat="1" ht="17.149999999999999" customHeight="1" x14ac:dyDescent="0.35">
      <c r="A133" s="347"/>
      <c r="B133" s="217">
        <f t="shared" si="34"/>
        <v>0</v>
      </c>
      <c r="C133" s="217">
        <f t="shared" si="34"/>
        <v>0</v>
      </c>
      <c r="D133" s="217">
        <f t="shared" si="34"/>
        <v>0</v>
      </c>
      <c r="E133" s="217">
        <f t="shared" si="34"/>
        <v>0</v>
      </c>
    </row>
    <row r="134" spans="1:5" customFormat="1" ht="17.149999999999999" customHeight="1" x14ac:dyDescent="0.35">
      <c r="A134" s="347"/>
      <c r="B134" s="217">
        <f t="shared" si="34"/>
        <v>0</v>
      </c>
      <c r="C134" s="217">
        <f t="shared" si="34"/>
        <v>0</v>
      </c>
      <c r="D134" s="217">
        <f t="shared" si="34"/>
        <v>0</v>
      </c>
      <c r="E134" s="217">
        <f t="shared" si="34"/>
        <v>0</v>
      </c>
    </row>
    <row r="135" spans="1:5" customFormat="1" ht="17.149999999999999" customHeight="1" x14ac:dyDescent="0.35">
      <c r="A135" s="347"/>
      <c r="B135" s="217">
        <f t="shared" si="34"/>
        <v>0</v>
      </c>
      <c r="C135" s="217">
        <f t="shared" si="34"/>
        <v>0</v>
      </c>
      <c r="D135" s="217">
        <f t="shared" si="34"/>
        <v>0</v>
      </c>
      <c r="E135" s="217">
        <f t="shared" si="34"/>
        <v>0</v>
      </c>
    </row>
    <row r="136" spans="1:5" customFormat="1" ht="17.149999999999999" customHeight="1" x14ac:dyDescent="0.35">
      <c r="A136" s="347"/>
      <c r="B136" s="217">
        <f t="shared" si="34"/>
        <v>0</v>
      </c>
      <c r="C136" s="217">
        <f t="shared" si="34"/>
        <v>0</v>
      </c>
      <c r="D136" s="217">
        <f t="shared" si="34"/>
        <v>0</v>
      </c>
      <c r="E136" s="217">
        <f t="shared" si="34"/>
        <v>0</v>
      </c>
    </row>
    <row r="137" spans="1:5" customFormat="1" ht="17.149999999999999" customHeight="1" x14ac:dyDescent="0.35">
      <c r="A137" s="347"/>
      <c r="B137" s="217">
        <f t="shared" si="34"/>
        <v>0</v>
      </c>
      <c r="C137" s="217">
        <f t="shared" si="34"/>
        <v>0</v>
      </c>
      <c r="D137" s="217">
        <f t="shared" si="34"/>
        <v>0</v>
      </c>
      <c r="E137" s="217">
        <f t="shared" si="34"/>
        <v>0</v>
      </c>
    </row>
    <row r="138" spans="1:5" customFormat="1" ht="17.149999999999999" customHeight="1" x14ac:dyDescent="0.35">
      <c r="A138" s="347"/>
      <c r="B138" s="217">
        <f t="shared" si="34"/>
        <v>0</v>
      </c>
      <c r="C138" s="217">
        <f t="shared" si="34"/>
        <v>0</v>
      </c>
      <c r="D138" s="217">
        <f t="shared" si="34"/>
        <v>0</v>
      </c>
      <c r="E138" s="217">
        <f t="shared" si="34"/>
        <v>0</v>
      </c>
    </row>
    <row r="139" spans="1:5" customFormat="1" ht="17.149999999999999" customHeight="1" x14ac:dyDescent="0.35">
      <c r="A139" s="347"/>
      <c r="B139" s="217">
        <f t="shared" si="34"/>
        <v>0</v>
      </c>
      <c r="C139" s="217">
        <f t="shared" si="34"/>
        <v>0</v>
      </c>
      <c r="D139" s="217">
        <f t="shared" si="34"/>
        <v>0</v>
      </c>
      <c r="E139" s="217">
        <f t="shared" si="34"/>
        <v>0</v>
      </c>
    </row>
    <row r="140" spans="1:5" customFormat="1" ht="17.149999999999999" customHeight="1" x14ac:dyDescent="0.35">
      <c r="A140" s="347"/>
      <c r="B140" s="217">
        <f t="shared" si="34"/>
        <v>0</v>
      </c>
      <c r="C140" s="217">
        <f t="shared" si="34"/>
        <v>0</v>
      </c>
      <c r="D140" s="217">
        <f t="shared" si="34"/>
        <v>0</v>
      </c>
      <c r="E140" s="217">
        <f t="shared" si="34"/>
        <v>0</v>
      </c>
    </row>
  </sheetData>
  <mergeCells count="49">
    <mergeCell ref="F39:F40"/>
    <mergeCell ref="G39:G40"/>
    <mergeCell ref="H39:H40"/>
    <mergeCell ref="I39:I40"/>
    <mergeCell ref="B64:C64"/>
    <mergeCell ref="B39:E40"/>
    <mergeCell ref="H66:I66"/>
    <mergeCell ref="I67:I68"/>
    <mergeCell ref="F93:I93"/>
    <mergeCell ref="F94:G94"/>
    <mergeCell ref="H94:I94"/>
    <mergeCell ref="G67:G68"/>
    <mergeCell ref="H67:H68"/>
    <mergeCell ref="F6:I6"/>
    <mergeCell ref="F7:G7"/>
    <mergeCell ref="H7:I7"/>
    <mergeCell ref="A3:E3"/>
    <mergeCell ref="B5:C5"/>
    <mergeCell ref="B6:C6"/>
    <mergeCell ref="D6:E6"/>
    <mergeCell ref="I8:I9"/>
    <mergeCell ref="B36:C36"/>
    <mergeCell ref="A37:A38"/>
    <mergeCell ref="F37:I37"/>
    <mergeCell ref="A8:A9"/>
    <mergeCell ref="B8:E9"/>
    <mergeCell ref="F8:F9"/>
    <mergeCell ref="G8:G9"/>
    <mergeCell ref="H8:H9"/>
    <mergeCell ref="B37:C37"/>
    <mergeCell ref="D37:E37"/>
    <mergeCell ref="F38:G38"/>
    <mergeCell ref="H38:I38"/>
    <mergeCell ref="A93:A94"/>
    <mergeCell ref="B95:E96"/>
    <mergeCell ref="A65:A66"/>
    <mergeCell ref="B67:E68"/>
    <mergeCell ref="F67:F68"/>
    <mergeCell ref="B92:C92"/>
    <mergeCell ref="F95:F96"/>
    <mergeCell ref="B93:C93"/>
    <mergeCell ref="D93:E93"/>
    <mergeCell ref="B65:C65"/>
    <mergeCell ref="D65:E65"/>
    <mergeCell ref="F65:I65"/>
    <mergeCell ref="G95:G96"/>
    <mergeCell ref="H95:H96"/>
    <mergeCell ref="I95:I96"/>
    <mergeCell ref="F66:G66"/>
  </mergeCells>
  <dataValidations disablePrompts="1" count="1">
    <dataValidation type="list" allowBlank="1" showInputMessage="1" showErrorMessage="1" sqref="WBR983045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UOH983045 IX786437 ST786437 VRV983045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IX983045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ST983045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ACP983045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AML983045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AWH983045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GD983045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PZ983045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ZV983045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CJR983045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CTN983045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DDJ983045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DNF983045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DXB983045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EGX983045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UYD983045 IX851973 EQT983045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FAP983045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FKL983045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FUH983045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GED983045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GNZ983045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GXV983045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HHR983045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HRN983045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IBJ983045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ILF983045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IVB983045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JEX983045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JOT983045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JYP983045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VHZ983045 KIL983045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KSH983045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LCD983045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LLZ983045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LVV983045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MFR983045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MPN983045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MZJ983045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NJF983045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NTB983045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OCX983045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OMT983045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OWP983045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PGL983045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PQH983045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QAD983045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QJZ983045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QTV983045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RDR983045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RNN983045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RXJ98304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SHF983045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SRB983045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TAX983045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TKT983045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TUP98304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UEL983045 IX720901 ST720901 ACP720901 B65572 B131108 B196644 B262180 B327716 B393252 B458788 B524324 B589860 B655396 B720932 B786468 B852004 B917540 B983076 B65600 B131136 B196672 B262208 B327744 B393280 B458816 B524352 B589888 B655424 B720960 B786496 B852032 B917568 B983104 B65628 B131164 B196700 B262236 B327772 B393308 B458844 B524380 B589916 B655452 B720988 B786524 B852060 B917596 B983132 B65541 B131077 B196613 B262149 B327685 B393221 B458757 B524293 B589829 B655365 B720901 B786437 B851973 B917509 B983045 VRV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WBR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WLN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WVJ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B5 B36 B64 B92" xr:uid="{00000000-0002-0000-1900-000000000000}">
      <formula1>#REF!</formula1>
    </dataValidation>
  </dataValidations>
  <pageMargins left="0.7" right="0.7" top="0.75" bottom="0.75" header="0.3" footer="0.3"/>
  <pageSetup paperSize="9" scale="42"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7"/>
  <dimension ref="A1:J140"/>
  <sheetViews>
    <sheetView showGridLines="0" view="pageBreakPreview" zoomScale="90" zoomScaleNormal="80" zoomScaleSheetLayoutView="90" workbookViewId="0">
      <selection activeCell="F14" sqref="F14"/>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0" ht="15" customHeight="1" x14ac:dyDescent="0.3">
      <c r="A1" s="364" t="s">
        <v>101</v>
      </c>
      <c r="B1" s="66"/>
      <c r="C1" s="66"/>
      <c r="D1" s="66"/>
      <c r="E1" s="66"/>
      <c r="F1" s="66"/>
      <c r="G1" s="66"/>
      <c r="H1" s="66"/>
      <c r="I1" s="66"/>
      <c r="J1"/>
    </row>
    <row r="2" spans="1:10" ht="15" customHeight="1" x14ac:dyDescent="0.25">
      <c r="A2" s="365"/>
      <c r="B2" s="66"/>
      <c r="C2" s="66"/>
      <c r="D2" s="66"/>
      <c r="E2" s="66"/>
      <c r="F2" s="66"/>
      <c r="G2" s="66"/>
      <c r="H2" s="66"/>
      <c r="I2" s="66"/>
      <c r="J2"/>
    </row>
    <row r="3" spans="1:10" ht="15" customHeight="1" x14ac:dyDescent="0.25">
      <c r="A3" s="800" t="s">
        <v>102</v>
      </c>
      <c r="B3" s="800"/>
      <c r="C3" s="800"/>
      <c r="D3" s="800"/>
      <c r="E3" s="800"/>
      <c r="F3" s="66"/>
      <c r="G3" s="66"/>
      <c r="H3" s="66"/>
      <c r="I3" s="66"/>
      <c r="J3"/>
    </row>
    <row r="4" spans="1:10" ht="15" customHeight="1" x14ac:dyDescent="0.25">
      <c r="A4" s="365"/>
      <c r="B4" s="66"/>
      <c r="C4" s="66"/>
      <c r="D4" s="66"/>
      <c r="E4" s="66"/>
      <c r="F4" s="66"/>
      <c r="G4" s="66"/>
      <c r="H4" s="66"/>
      <c r="I4" s="66"/>
      <c r="J4"/>
    </row>
    <row r="5" spans="1:10" ht="17.149999999999999" customHeight="1" thickBot="1" x14ac:dyDescent="0.35">
      <c r="A5" s="404" t="s">
        <v>103</v>
      </c>
      <c r="B5" s="836"/>
      <c r="C5" s="836"/>
      <c r="D5" s="68"/>
      <c r="E5" s="68"/>
      <c r="F5" s="66"/>
      <c r="G5" s="66"/>
      <c r="H5" s="66"/>
      <c r="I5" s="66"/>
    </row>
    <row r="6" spans="1:10" ht="17.149999999999999" customHeight="1" thickBot="1" x14ac:dyDescent="0.35">
      <c r="A6" s="69" t="s">
        <v>104</v>
      </c>
      <c r="B6" s="818" t="s">
        <v>105</v>
      </c>
      <c r="C6" s="819"/>
      <c r="D6" s="837" t="s">
        <v>106</v>
      </c>
      <c r="E6" s="838"/>
      <c r="F6" s="818" t="s">
        <v>107</v>
      </c>
      <c r="G6" s="832"/>
      <c r="H6" s="832"/>
      <c r="I6" s="819"/>
    </row>
    <row r="7" spans="1:10" ht="17.149999999999999" customHeight="1" thickBot="1" x14ac:dyDescent="0.35">
      <c r="A7" s="70" t="s">
        <v>108</v>
      </c>
      <c r="B7" s="324" t="s">
        <v>149</v>
      </c>
      <c r="C7" s="324" t="s">
        <v>155</v>
      </c>
      <c r="D7" s="324" t="s">
        <v>149</v>
      </c>
      <c r="E7" s="324" t="s">
        <v>155</v>
      </c>
      <c r="F7" s="818" t="s">
        <v>105</v>
      </c>
      <c r="G7" s="819"/>
      <c r="H7" s="818" t="s">
        <v>106</v>
      </c>
      <c r="I7" s="819"/>
    </row>
    <row r="8" spans="1:10" ht="17.149999999999999" customHeight="1" x14ac:dyDescent="0.3">
      <c r="A8" s="839" t="s">
        <v>109</v>
      </c>
      <c r="B8" s="826"/>
      <c r="C8" s="827"/>
      <c r="D8" s="827"/>
      <c r="E8" s="828"/>
      <c r="F8" s="828" t="s">
        <v>110</v>
      </c>
      <c r="G8" s="822" t="s">
        <v>111</v>
      </c>
      <c r="H8" s="822" t="s">
        <v>112</v>
      </c>
      <c r="I8" s="822" t="s">
        <v>111</v>
      </c>
    </row>
    <row r="9" spans="1:10" ht="17.149999999999999" customHeight="1" thickBot="1" x14ac:dyDescent="0.35">
      <c r="A9" s="840"/>
      <c r="B9" s="841"/>
      <c r="C9" s="852"/>
      <c r="D9" s="852"/>
      <c r="E9" s="853"/>
      <c r="F9" s="833"/>
      <c r="G9" s="834"/>
      <c r="H9" s="834"/>
      <c r="I9" s="834"/>
    </row>
    <row r="10" spans="1:10" ht="17.149999999999999" customHeight="1" thickBot="1" x14ac:dyDescent="0.35">
      <c r="A10" s="72" t="s">
        <v>113</v>
      </c>
      <c r="B10" s="405"/>
      <c r="C10" s="406"/>
      <c r="D10" s="406"/>
      <c r="E10" s="407"/>
      <c r="F10" s="76"/>
      <c r="G10" s="76"/>
      <c r="H10" s="76"/>
      <c r="I10" s="77"/>
    </row>
    <row r="11" spans="1:10" ht="17.149999999999999" customHeight="1" x14ac:dyDescent="0.3">
      <c r="A11" s="678" t="s">
        <v>114</v>
      </c>
      <c r="B11" s="78"/>
      <c r="C11" s="644"/>
      <c r="D11" s="78"/>
      <c r="E11" s="78"/>
      <c r="F11" s="78"/>
      <c r="G11" s="78"/>
      <c r="H11" s="78"/>
      <c r="I11" s="79"/>
    </row>
    <row r="12" spans="1:10" ht="17.149999999999999" customHeight="1" x14ac:dyDescent="0.3">
      <c r="A12" s="678" t="s">
        <v>115</v>
      </c>
      <c r="B12" s="644"/>
      <c r="C12" s="644"/>
      <c r="D12" s="644"/>
      <c r="E12" s="644"/>
      <c r="F12" s="646"/>
      <c r="G12" s="647"/>
      <c r="H12" s="646"/>
      <c r="I12" s="647"/>
    </row>
    <row r="13" spans="1:10" ht="17.149999999999999" customHeight="1" x14ac:dyDescent="0.3">
      <c r="A13" s="678" t="s">
        <v>116</v>
      </c>
      <c r="B13" s="646"/>
      <c r="C13" s="646"/>
      <c r="D13" s="648"/>
      <c r="E13" s="648"/>
      <c r="F13" s="646"/>
      <c r="G13" s="647"/>
      <c r="H13" s="646"/>
      <c r="I13" s="647"/>
    </row>
    <row r="14" spans="1:10" ht="17.149999999999999" customHeight="1" x14ac:dyDescent="0.3">
      <c r="A14" s="683" t="s">
        <v>117</v>
      </c>
      <c r="B14" s="663"/>
      <c r="C14" s="645"/>
      <c r="D14" s="644"/>
      <c r="E14" s="645"/>
      <c r="F14" s="646"/>
      <c r="G14" s="650"/>
      <c r="H14" s="646"/>
      <c r="I14" s="650"/>
    </row>
    <row r="15" spans="1:10" ht="17.149999999999999" customHeight="1" x14ac:dyDescent="0.3">
      <c r="A15" s="686" t="s">
        <v>118</v>
      </c>
      <c r="B15" s="689"/>
      <c r="C15" s="662"/>
      <c r="D15" s="644"/>
      <c r="E15" s="645"/>
      <c r="F15" s="646"/>
      <c r="G15" s="650"/>
      <c r="H15" s="646"/>
      <c r="I15" s="650"/>
    </row>
    <row r="16" spans="1:10" ht="17.149999999999999" customHeight="1" x14ac:dyDescent="0.3">
      <c r="A16" s="686" t="s">
        <v>119</v>
      </c>
      <c r="B16" s="690"/>
      <c r="C16" s="409"/>
      <c r="D16" s="691"/>
      <c r="E16" s="645"/>
      <c r="F16" s="646"/>
      <c r="G16" s="650"/>
      <c r="H16" s="646"/>
      <c r="I16" s="650"/>
    </row>
    <row r="17" spans="1:9" ht="17.149999999999999" customHeight="1" x14ac:dyDescent="0.3">
      <c r="A17" s="617" t="s">
        <v>120</v>
      </c>
      <c r="B17" s="692"/>
      <c r="C17" s="745"/>
      <c r="D17" s="644"/>
      <c r="E17" s="644"/>
      <c r="F17" s="646"/>
      <c r="G17" s="647"/>
      <c r="H17" s="646"/>
      <c r="I17" s="647"/>
    </row>
    <row r="18" spans="1:9" ht="17.149999999999999" customHeight="1" x14ac:dyDescent="0.3">
      <c r="A18" s="678" t="s">
        <v>121</v>
      </c>
      <c r="B18" s="755"/>
      <c r="C18" s="645"/>
      <c r="D18" s="644"/>
      <c r="E18" s="648"/>
      <c r="F18" s="646"/>
      <c r="G18" s="647"/>
      <c r="H18" s="646"/>
      <c r="I18" s="647"/>
    </row>
    <row r="19" spans="1:9" ht="17.149999999999999" customHeight="1" thickBot="1" x14ac:dyDescent="0.35">
      <c r="A19" s="619" t="s">
        <v>122</v>
      </c>
      <c r="B19" s="653"/>
      <c r="C19" s="654"/>
      <c r="D19" s="653"/>
      <c r="E19" s="654"/>
      <c r="F19" s="646"/>
      <c r="G19" s="655"/>
      <c r="H19" s="646"/>
      <c r="I19" s="655"/>
    </row>
    <row r="20" spans="1:9" ht="17.149999999999999" customHeight="1" thickBot="1" x14ac:dyDescent="0.35">
      <c r="A20" s="80" t="s">
        <v>123</v>
      </c>
      <c r="B20" s="81"/>
      <c r="C20" s="82"/>
      <c r="D20" s="81"/>
      <c r="E20" s="82"/>
      <c r="F20" s="81"/>
      <c r="G20" s="83"/>
      <c r="H20" s="81"/>
      <c r="I20" s="83"/>
    </row>
    <row r="21" spans="1:9" ht="17.149999999999999" customHeight="1" thickBot="1" x14ac:dyDescent="0.35">
      <c r="A21" s="84" t="s">
        <v>109</v>
      </c>
      <c r="B21" s="85"/>
      <c r="C21" s="85"/>
      <c r="D21" s="85"/>
      <c r="E21" s="85"/>
      <c r="F21" s="86"/>
      <c r="G21" s="86"/>
      <c r="H21" s="86"/>
      <c r="I21" s="87"/>
    </row>
    <row r="22" spans="1:9" ht="17.149999999999999" customHeight="1" x14ac:dyDescent="0.3">
      <c r="A22" s="751" t="s">
        <v>124</v>
      </c>
      <c r="B22" s="740"/>
      <c r="C22" s="741"/>
      <c r="D22" s="740"/>
      <c r="E22" s="741"/>
      <c r="F22" s="742"/>
      <c r="G22" s="743"/>
      <c r="H22" s="743"/>
      <c r="I22" s="744"/>
    </row>
    <row r="23" spans="1:9" ht="17.149999999999999" customHeight="1" x14ac:dyDescent="0.3">
      <c r="A23" s="678" t="s">
        <v>125</v>
      </c>
      <c r="B23" s="657"/>
      <c r="C23" s="624"/>
      <c r="D23" s="657"/>
      <c r="E23" s="624"/>
      <c r="F23" s="657"/>
      <c r="G23" s="625"/>
      <c r="H23" s="657"/>
      <c r="I23" s="625"/>
    </row>
    <row r="24" spans="1:9" ht="17.149999999999999" customHeight="1" x14ac:dyDescent="0.3">
      <c r="A24" s="678" t="s">
        <v>126</v>
      </c>
      <c r="B24" s="644"/>
      <c r="C24" s="644"/>
      <c r="D24" s="644"/>
      <c r="E24" s="644"/>
      <c r="F24" s="646"/>
      <c r="G24" s="647"/>
      <c r="H24" s="646"/>
      <c r="I24" s="647"/>
    </row>
    <row r="25" spans="1:9" ht="17.149999999999999" customHeight="1" x14ac:dyDescent="0.3">
      <c r="A25" s="678" t="s">
        <v>127</v>
      </c>
      <c r="B25" s="644"/>
      <c r="C25" s="644"/>
      <c r="D25" s="644"/>
      <c r="E25" s="644"/>
      <c r="F25" s="646"/>
      <c r="G25" s="647"/>
      <c r="H25" s="646"/>
      <c r="I25" s="647"/>
    </row>
    <row r="26" spans="1:9" ht="17.149999999999999" customHeight="1" x14ac:dyDescent="0.3">
      <c r="A26" s="626" t="s">
        <v>128</v>
      </c>
      <c r="B26" s="644"/>
      <c r="C26" s="644"/>
      <c r="D26" s="644"/>
      <c r="E26" s="644"/>
      <c r="F26" s="646"/>
      <c r="G26" s="647"/>
      <c r="H26" s="646"/>
      <c r="I26" s="647"/>
    </row>
    <row r="27" spans="1:9" ht="17.149999999999999" customHeight="1" x14ac:dyDescent="0.3">
      <c r="A27" s="678" t="s">
        <v>129</v>
      </c>
      <c r="B27" s="644"/>
      <c r="C27" s="644"/>
      <c r="D27" s="644"/>
      <c r="E27" s="644"/>
      <c r="F27" s="646"/>
      <c r="G27" s="647"/>
      <c r="H27" s="646"/>
      <c r="I27" s="647"/>
    </row>
    <row r="28" spans="1:9" ht="17.149999999999999" customHeight="1" x14ac:dyDescent="0.3">
      <c r="A28" s="678" t="s">
        <v>130</v>
      </c>
      <c r="B28" s="644"/>
      <c r="C28" s="644"/>
      <c r="D28" s="644"/>
      <c r="E28" s="644"/>
      <c r="F28" s="646"/>
      <c r="G28" s="647"/>
      <c r="H28" s="646"/>
      <c r="I28" s="647"/>
    </row>
    <row r="29" spans="1:9" ht="17.149999999999999" customHeight="1" x14ac:dyDescent="0.3">
      <c r="A29" s="678"/>
      <c r="B29" s="627"/>
      <c r="C29" s="628"/>
      <c r="D29" s="627"/>
      <c r="E29" s="628"/>
      <c r="F29" s="657"/>
      <c r="G29" s="625"/>
      <c r="H29" s="624"/>
      <c r="I29" s="629"/>
    </row>
    <row r="30" spans="1:9" ht="17.149999999999999" customHeight="1" x14ac:dyDescent="0.3">
      <c r="A30" s="678"/>
      <c r="B30" s="627"/>
      <c r="C30" s="628"/>
      <c r="D30" s="627"/>
      <c r="E30" s="628"/>
      <c r="F30" s="657"/>
      <c r="G30" s="625"/>
      <c r="H30" s="624"/>
      <c r="I30" s="629"/>
    </row>
    <row r="31" spans="1:9" ht="17.149999999999999" customHeight="1" thickBot="1" x14ac:dyDescent="0.35">
      <c r="A31" s="88" t="s">
        <v>109</v>
      </c>
      <c r="B31" s="630"/>
      <c r="C31" s="631"/>
      <c r="D31" s="630"/>
      <c r="E31" s="631"/>
      <c r="F31" s="632"/>
      <c r="G31" s="633"/>
      <c r="H31" s="634"/>
      <c r="I31" s="635"/>
    </row>
    <row r="32" spans="1:9" ht="17.149999999999999" customHeight="1" thickBot="1" x14ac:dyDescent="0.35">
      <c r="A32" s="89" t="s">
        <v>131</v>
      </c>
      <c r="B32" s="90"/>
      <c r="C32" s="91"/>
      <c r="D32" s="90"/>
      <c r="E32" s="91"/>
      <c r="F32" s="91"/>
      <c r="G32" s="92"/>
      <c r="H32" s="91"/>
      <c r="I32" s="92"/>
    </row>
    <row r="33" spans="1:9" ht="17.149999999999999" customHeight="1" thickBot="1" x14ac:dyDescent="0.35">
      <c r="A33" s="93" t="s">
        <v>132</v>
      </c>
      <c r="B33" s="90"/>
      <c r="C33" s="91"/>
      <c r="D33" s="90"/>
      <c r="E33" s="91"/>
      <c r="F33" s="91"/>
      <c r="G33" s="92"/>
      <c r="H33" s="91"/>
      <c r="I33" s="92"/>
    </row>
    <row r="34" spans="1:9" ht="17.149999999999999" customHeight="1" x14ac:dyDescent="0.3">
      <c r="A34" s="94"/>
      <c r="B34" s="94"/>
      <c r="C34" s="94"/>
      <c r="D34" s="94"/>
      <c r="E34" s="94"/>
      <c r="F34" s="95"/>
      <c r="G34" s="95"/>
      <c r="H34" s="95"/>
      <c r="I34" s="95"/>
    </row>
    <row r="35" spans="1:9" ht="17.149999999999999" customHeight="1" x14ac:dyDescent="0.3">
      <c r="A35" s="68"/>
      <c r="B35" s="96"/>
      <c r="C35" s="97"/>
      <c r="D35" s="97"/>
      <c r="E35" s="97"/>
      <c r="F35" s="66"/>
      <c r="G35" s="66"/>
      <c r="H35" s="66"/>
      <c r="I35" s="66"/>
    </row>
    <row r="36" spans="1:9" ht="17.149999999999999" customHeight="1" thickBot="1" x14ac:dyDescent="0.35">
      <c r="A36" s="404" t="s">
        <v>133</v>
      </c>
      <c r="B36" s="836"/>
      <c r="C36" s="836"/>
      <c r="D36" s="99"/>
      <c r="E36" s="99"/>
      <c r="F36" s="66"/>
      <c r="G36" s="66"/>
      <c r="H36" s="66"/>
      <c r="I36" s="66"/>
    </row>
    <row r="37" spans="1:9" ht="17.149999999999999" customHeight="1" thickBot="1" x14ac:dyDescent="0.35">
      <c r="A37" s="822" t="s">
        <v>134</v>
      </c>
      <c r="B37" s="818"/>
      <c r="C37" s="819"/>
      <c r="D37" s="818"/>
      <c r="E37" s="819"/>
      <c r="F37" s="804"/>
      <c r="G37" s="805"/>
      <c r="H37" s="805"/>
      <c r="I37" s="806"/>
    </row>
    <row r="38" spans="1:9" ht="17.149999999999999" customHeight="1" thickBot="1" x14ac:dyDescent="0.35">
      <c r="A38" s="823"/>
      <c r="B38" s="324"/>
      <c r="C38" s="324"/>
      <c r="D38" s="324"/>
      <c r="E38" s="324"/>
      <c r="F38" s="804"/>
      <c r="G38" s="806"/>
      <c r="H38" s="804"/>
      <c r="I38" s="806"/>
    </row>
    <row r="39" spans="1:9" ht="17.149999999999999" customHeight="1" x14ac:dyDescent="0.3">
      <c r="A39" s="100"/>
      <c r="B39" s="826"/>
      <c r="C39" s="827"/>
      <c r="D39" s="827"/>
      <c r="E39" s="828"/>
      <c r="F39" s="814"/>
      <c r="G39" s="816"/>
      <c r="H39" s="816"/>
      <c r="I39" s="816"/>
    </row>
    <row r="40" spans="1:9" ht="17.149999999999999" customHeight="1" thickBot="1" x14ac:dyDescent="0.35">
      <c r="A40" s="101" t="s">
        <v>113</v>
      </c>
      <c r="B40" s="829"/>
      <c r="C40" s="830"/>
      <c r="D40" s="830"/>
      <c r="E40" s="831"/>
      <c r="F40" s="815"/>
      <c r="G40" s="817"/>
      <c r="H40" s="817"/>
      <c r="I40" s="817"/>
    </row>
    <row r="41" spans="1:9" ht="17.149999999999999" customHeight="1" thickBot="1" x14ac:dyDescent="0.35">
      <c r="A41" s="102" t="s">
        <v>135</v>
      </c>
      <c r="B41" s="103"/>
      <c r="C41" s="104"/>
      <c r="D41" s="104"/>
      <c r="E41" s="104"/>
      <c r="F41" s="104"/>
      <c r="G41" s="105"/>
      <c r="H41" s="104"/>
      <c r="I41" s="105"/>
    </row>
    <row r="42" spans="1:9" ht="17.149999999999999" customHeight="1" x14ac:dyDescent="0.3">
      <c r="A42" s="102" t="s">
        <v>136</v>
      </c>
      <c r="B42" s="745"/>
      <c r="C42" s="745"/>
      <c r="D42" s="746"/>
      <c r="E42" s="746"/>
      <c r="F42" s="646"/>
      <c r="G42" s="647"/>
      <c r="H42" s="646"/>
      <c r="I42" s="647"/>
    </row>
    <row r="43" spans="1:9" ht="17.149999999999999" customHeight="1" x14ac:dyDescent="0.3">
      <c r="A43" s="102" t="s">
        <v>116</v>
      </c>
      <c r="B43" s="745"/>
      <c r="C43" s="745"/>
      <c r="D43" s="746"/>
      <c r="E43" s="746"/>
      <c r="F43" s="646"/>
      <c r="G43" s="647"/>
      <c r="H43" s="646"/>
      <c r="I43" s="647"/>
    </row>
    <row r="44" spans="1:9" ht="17.149999999999999" customHeight="1" x14ac:dyDescent="0.3">
      <c r="A44" s="102" t="s">
        <v>137</v>
      </c>
      <c r="B44" s="745"/>
      <c r="C44" s="745"/>
      <c r="D44" s="746"/>
      <c r="E44" s="746"/>
      <c r="F44" s="646"/>
      <c r="G44" s="647"/>
      <c r="H44" s="646"/>
      <c r="I44" s="647"/>
    </row>
    <row r="45" spans="1:9" ht="17.149999999999999" customHeight="1" x14ac:dyDescent="0.3">
      <c r="A45" s="102" t="s">
        <v>143</v>
      </c>
      <c r="B45" s="745"/>
      <c r="C45" s="745"/>
      <c r="D45" s="746"/>
      <c r="E45" s="746"/>
      <c r="F45" s="646"/>
      <c r="G45" s="647"/>
      <c r="H45" s="646"/>
      <c r="I45" s="647"/>
    </row>
    <row r="46" spans="1:9" ht="17.149999999999999" customHeight="1" x14ac:dyDescent="0.3">
      <c r="A46" s="102" t="s">
        <v>139</v>
      </c>
      <c r="B46" s="745"/>
      <c r="C46" s="745"/>
      <c r="D46" s="746"/>
      <c r="E46" s="746"/>
      <c r="F46" s="646"/>
      <c r="G46" s="647"/>
      <c r="H46" s="646"/>
      <c r="I46" s="647"/>
    </row>
    <row r="47" spans="1:9" ht="17.149999999999999" customHeight="1" thickBot="1" x14ac:dyDescent="0.35">
      <c r="A47" s="102" t="s">
        <v>140</v>
      </c>
      <c r="B47" s="745"/>
      <c r="C47" s="745"/>
      <c r="D47" s="746"/>
      <c r="E47" s="746"/>
      <c r="F47" s="646"/>
      <c r="G47" s="647"/>
      <c r="H47" s="646"/>
      <c r="I47" s="647"/>
    </row>
    <row r="48" spans="1:9" ht="17.149999999999999" customHeight="1" thickBot="1" x14ac:dyDescent="0.35">
      <c r="A48" s="106" t="s">
        <v>123</v>
      </c>
      <c r="B48" s="91"/>
      <c r="C48" s="91"/>
      <c r="D48" s="91"/>
      <c r="E48" s="91"/>
      <c r="F48" s="91"/>
      <c r="G48" s="92"/>
      <c r="H48" s="91"/>
      <c r="I48" s="92"/>
    </row>
    <row r="49" spans="1:9" ht="17.149999999999999" customHeight="1" thickBot="1" x14ac:dyDescent="0.35">
      <c r="A49" s="101" t="s">
        <v>124</v>
      </c>
      <c r="B49" s="114"/>
      <c r="C49" s="115"/>
      <c r="D49" s="115"/>
      <c r="E49" s="115"/>
      <c r="F49" s="116"/>
      <c r="G49" s="117"/>
      <c r="H49" s="116"/>
      <c r="I49" s="124"/>
    </row>
    <row r="50" spans="1:9" ht="17.149999999999999" customHeight="1" thickBot="1" x14ac:dyDescent="0.35">
      <c r="A50" s="102" t="s">
        <v>125</v>
      </c>
      <c r="B50" s="103"/>
      <c r="C50" s="104"/>
      <c r="D50" s="104"/>
      <c r="E50" s="104"/>
      <c r="F50" s="104"/>
      <c r="G50" s="105"/>
      <c r="H50" s="104"/>
      <c r="I50" s="105"/>
    </row>
    <row r="51" spans="1:9" ht="17.149999999999999" customHeight="1" x14ac:dyDescent="0.3">
      <c r="A51" s="119" t="s">
        <v>126</v>
      </c>
      <c r="B51" s="745"/>
      <c r="C51" s="745"/>
      <c r="D51" s="745"/>
      <c r="E51" s="745"/>
      <c r="F51" s="646"/>
      <c r="G51" s="647"/>
      <c r="H51" s="646"/>
      <c r="I51" s="647"/>
    </row>
    <row r="52" spans="1:9" ht="17.149999999999999" customHeight="1" x14ac:dyDescent="0.3">
      <c r="A52" s="119" t="s">
        <v>127</v>
      </c>
      <c r="B52" s="745"/>
      <c r="C52" s="745"/>
      <c r="D52" s="745"/>
      <c r="E52" s="745"/>
      <c r="F52" s="646"/>
      <c r="G52" s="647"/>
      <c r="H52" s="646"/>
      <c r="I52" s="647"/>
    </row>
    <row r="53" spans="1:9" ht="17.149999999999999" customHeight="1" x14ac:dyDescent="0.3">
      <c r="A53" s="120" t="s">
        <v>141</v>
      </c>
      <c r="B53" s="745"/>
      <c r="C53" s="745"/>
      <c r="D53" s="745"/>
      <c r="E53" s="745"/>
      <c r="F53" s="646"/>
      <c r="G53" s="647"/>
      <c r="H53" s="646"/>
      <c r="I53" s="647"/>
    </row>
    <row r="54" spans="1:9" ht="17.149999999999999" customHeight="1" x14ac:dyDescent="0.3">
      <c r="A54" s="119" t="s">
        <v>129</v>
      </c>
      <c r="B54" s="745"/>
      <c r="C54" s="745"/>
      <c r="D54" s="745"/>
      <c r="E54" s="745"/>
      <c r="F54" s="646"/>
      <c r="G54" s="647"/>
      <c r="H54" s="646"/>
      <c r="I54" s="647"/>
    </row>
    <row r="55" spans="1:9" ht="17.149999999999999" customHeight="1" x14ac:dyDescent="0.3">
      <c r="A55" s="102" t="s">
        <v>130</v>
      </c>
      <c r="B55" s="745"/>
      <c r="C55" s="745"/>
      <c r="D55" s="745"/>
      <c r="E55" s="745"/>
      <c r="F55" s="646"/>
      <c r="G55" s="647"/>
      <c r="H55" s="646"/>
      <c r="I55" s="647"/>
    </row>
    <row r="56" spans="1:9" ht="17.149999999999999" customHeight="1" x14ac:dyDescent="0.3">
      <c r="A56" s="102"/>
      <c r="B56" s="645"/>
      <c r="C56" s="645"/>
      <c r="D56" s="645"/>
      <c r="E56" s="645"/>
      <c r="F56" s="747"/>
      <c r="G56" s="748"/>
      <c r="H56" s="747"/>
      <c r="I56" s="748"/>
    </row>
    <row r="57" spans="1:9" ht="17.149999999999999" customHeight="1" x14ac:dyDescent="0.3">
      <c r="A57" s="102"/>
      <c r="B57" s="645"/>
      <c r="C57" s="645"/>
      <c r="D57" s="645"/>
      <c r="E57" s="645"/>
      <c r="F57" s="747"/>
      <c r="G57" s="748"/>
      <c r="H57" s="747"/>
      <c r="I57" s="748"/>
    </row>
    <row r="58" spans="1:9" ht="17.149999999999999" customHeight="1" thickBot="1" x14ac:dyDescent="0.35">
      <c r="A58" s="102"/>
      <c r="B58" s="668"/>
      <c r="C58" s="668"/>
      <c r="D58" s="669"/>
      <c r="E58" s="669"/>
      <c r="F58" s="670"/>
      <c r="G58" s="671"/>
      <c r="H58" s="672"/>
      <c r="I58" s="673"/>
    </row>
    <row r="59" spans="1:9" ht="17.149999999999999" customHeight="1" thickBot="1" x14ac:dyDescent="0.35">
      <c r="A59" s="106" t="s">
        <v>131</v>
      </c>
      <c r="B59" s="103"/>
      <c r="C59" s="104"/>
      <c r="D59" s="104"/>
      <c r="E59" s="104"/>
      <c r="F59" s="657"/>
      <c r="G59" s="625"/>
      <c r="H59" s="657"/>
      <c r="I59" s="625"/>
    </row>
    <row r="60" spans="1:9" ht="17.149999999999999" customHeight="1" thickBot="1" x14ac:dyDescent="0.35">
      <c r="A60" s="102"/>
      <c r="B60" s="121"/>
      <c r="C60" s="122"/>
      <c r="D60" s="122"/>
      <c r="E60" s="122"/>
      <c r="F60" s="123"/>
      <c r="G60" s="124"/>
      <c r="H60" s="123"/>
      <c r="I60" s="125"/>
    </row>
    <row r="61" spans="1:9" ht="17.149999999999999" customHeight="1" thickBot="1" x14ac:dyDescent="0.35">
      <c r="A61" s="106" t="s">
        <v>132</v>
      </c>
      <c r="B61" s="103"/>
      <c r="C61" s="104"/>
      <c r="D61" s="104"/>
      <c r="E61" s="104"/>
      <c r="F61" s="104"/>
      <c r="G61" s="105"/>
      <c r="H61" s="104"/>
      <c r="I61" s="105"/>
    </row>
    <row r="62" spans="1:9" ht="17.149999999999999" customHeight="1" x14ac:dyDescent="0.3">
      <c r="A62" s="94"/>
      <c r="B62" s="94"/>
      <c r="C62" s="94"/>
      <c r="D62" s="94"/>
      <c r="E62" s="94"/>
      <c r="F62" s="95"/>
      <c r="G62" s="95"/>
      <c r="H62" s="95"/>
      <c r="I62" s="95"/>
    </row>
    <row r="63" spans="1:9" ht="17.149999999999999" customHeight="1" x14ac:dyDescent="0.3">
      <c r="A63" s="126"/>
      <c r="B63" s="127"/>
      <c r="C63" s="126"/>
      <c r="D63" s="126"/>
      <c r="E63" s="126"/>
      <c r="F63" s="66"/>
      <c r="G63" s="66"/>
      <c r="H63" s="66"/>
      <c r="I63" s="66"/>
    </row>
    <row r="64" spans="1:9" ht="17.149999999999999" customHeight="1" thickBot="1" x14ac:dyDescent="0.35">
      <c r="A64" s="404" t="s">
        <v>142</v>
      </c>
      <c r="B64" s="836"/>
      <c r="C64" s="836"/>
      <c r="D64" s="129"/>
      <c r="E64" s="129"/>
      <c r="F64" s="66"/>
      <c r="G64" s="66"/>
      <c r="H64" s="66"/>
      <c r="I64" s="66"/>
    </row>
    <row r="65" spans="1:9" ht="17.149999999999999" customHeight="1" thickBot="1" x14ac:dyDescent="0.35">
      <c r="A65" s="824" t="s">
        <v>134</v>
      </c>
      <c r="B65" s="820"/>
      <c r="C65" s="821"/>
      <c r="D65" s="820"/>
      <c r="E65" s="821"/>
      <c r="F65" s="804"/>
      <c r="G65" s="805"/>
      <c r="H65" s="805"/>
      <c r="I65" s="806"/>
    </row>
    <row r="66" spans="1:9" ht="17.149999999999999" customHeight="1" thickBot="1" x14ac:dyDescent="0.35">
      <c r="A66" s="825"/>
      <c r="B66" s="324"/>
      <c r="C66" s="324"/>
      <c r="D66" s="324"/>
      <c r="E66" s="324"/>
      <c r="F66" s="804"/>
      <c r="G66" s="806"/>
      <c r="H66" s="804"/>
      <c r="I66" s="806"/>
    </row>
    <row r="67" spans="1:9" ht="17.149999999999999" customHeight="1" x14ac:dyDescent="0.3">
      <c r="A67" s="130"/>
      <c r="B67" s="807"/>
      <c r="C67" s="808"/>
      <c r="D67" s="808"/>
      <c r="E67" s="809"/>
      <c r="F67" s="814"/>
      <c r="G67" s="816"/>
      <c r="H67" s="816"/>
      <c r="I67" s="816"/>
    </row>
    <row r="68" spans="1:9" ht="17.149999999999999" customHeight="1" thickBot="1" x14ac:dyDescent="0.35">
      <c r="A68" s="131" t="s">
        <v>113</v>
      </c>
      <c r="B68" s="810"/>
      <c r="C68" s="811"/>
      <c r="D68" s="811"/>
      <c r="E68" s="812"/>
      <c r="F68" s="815"/>
      <c r="G68" s="817"/>
      <c r="H68" s="817"/>
      <c r="I68" s="817"/>
    </row>
    <row r="69" spans="1:9" ht="17.149999999999999" customHeight="1" thickBot="1" x14ac:dyDescent="0.35">
      <c r="A69" s="132" t="s">
        <v>135</v>
      </c>
      <c r="B69" s="133"/>
      <c r="C69" s="91"/>
      <c r="D69" s="91"/>
      <c r="E69" s="91"/>
      <c r="F69" s="91"/>
      <c r="G69" s="92"/>
      <c r="H69" s="91"/>
      <c r="I69" s="92"/>
    </row>
    <row r="70" spans="1:9" ht="17.149999999999999" customHeight="1" x14ac:dyDescent="0.3">
      <c r="A70" s="132" t="s">
        <v>136</v>
      </c>
      <c r="B70" s="745"/>
      <c r="C70" s="745"/>
      <c r="D70" s="745"/>
      <c r="E70" s="745"/>
      <c r="F70" s="646"/>
      <c r="G70" s="647"/>
      <c r="H70" s="646"/>
      <c r="I70" s="647"/>
    </row>
    <row r="71" spans="1:9" ht="17.149999999999999" customHeight="1" x14ac:dyDescent="0.3">
      <c r="A71" s="132" t="s">
        <v>116</v>
      </c>
      <c r="B71" s="745"/>
      <c r="C71" s="745"/>
      <c r="D71" s="745"/>
      <c r="E71" s="745"/>
      <c r="F71" s="646"/>
      <c r="G71" s="647"/>
      <c r="H71" s="646"/>
      <c r="I71" s="647"/>
    </row>
    <row r="72" spans="1:9" ht="17.149999999999999" customHeight="1" x14ac:dyDescent="0.3">
      <c r="A72" s="132" t="s">
        <v>143</v>
      </c>
      <c r="B72" s="745"/>
      <c r="C72" s="745"/>
      <c r="D72" s="745"/>
      <c r="E72" s="745"/>
      <c r="F72" s="646"/>
      <c r="G72" s="647"/>
      <c r="H72" s="646"/>
      <c r="I72" s="647"/>
    </row>
    <row r="73" spans="1:9" ht="17.149999999999999" customHeight="1" x14ac:dyDescent="0.3">
      <c r="A73" s="132" t="s">
        <v>139</v>
      </c>
      <c r="B73" s="745"/>
      <c r="C73" s="745"/>
      <c r="D73" s="745"/>
      <c r="E73" s="745"/>
      <c r="F73" s="646"/>
      <c r="G73" s="647"/>
      <c r="H73" s="646"/>
      <c r="I73" s="647"/>
    </row>
    <row r="74" spans="1:9" ht="17.149999999999999" customHeight="1" thickBot="1" x14ac:dyDescent="0.35">
      <c r="A74" s="132" t="s">
        <v>140</v>
      </c>
      <c r="B74" s="745"/>
      <c r="C74" s="745"/>
      <c r="D74" s="745"/>
      <c r="E74" s="745"/>
      <c r="F74" s="646"/>
      <c r="G74" s="647"/>
      <c r="H74" s="646"/>
      <c r="I74" s="647"/>
    </row>
    <row r="75" spans="1:9" ht="17.149999999999999" customHeight="1" thickBot="1" x14ac:dyDescent="0.35">
      <c r="A75" s="134" t="s">
        <v>123</v>
      </c>
      <c r="B75" s="135"/>
      <c r="C75" s="90"/>
      <c r="D75" s="90"/>
      <c r="E75" s="91"/>
      <c r="F75" s="82"/>
      <c r="G75" s="83"/>
      <c r="H75" s="82"/>
      <c r="I75" s="83"/>
    </row>
    <row r="76" spans="1:9" ht="17.149999999999999" customHeight="1" x14ac:dyDescent="0.3">
      <c r="A76" s="136"/>
      <c r="B76" s="107"/>
      <c r="C76" s="108"/>
      <c r="D76" s="108"/>
      <c r="E76" s="108"/>
      <c r="F76" s="110"/>
      <c r="G76" s="110"/>
      <c r="H76" s="110"/>
      <c r="I76" s="137"/>
    </row>
    <row r="77" spans="1:9" ht="17.149999999999999" customHeight="1" thickBot="1" x14ac:dyDescent="0.35">
      <c r="A77" s="131" t="s">
        <v>124</v>
      </c>
      <c r="B77" s="114"/>
      <c r="C77" s="115"/>
      <c r="D77" s="115"/>
      <c r="E77" s="115"/>
      <c r="F77" s="116"/>
      <c r="G77" s="116"/>
      <c r="H77" s="116"/>
      <c r="I77" s="138"/>
    </row>
    <row r="78" spans="1:9" ht="17.149999999999999" customHeight="1" thickBot="1" x14ac:dyDescent="0.35">
      <c r="A78" s="132" t="s">
        <v>125</v>
      </c>
      <c r="B78" s="133"/>
      <c r="C78" s="91"/>
      <c r="D78" s="91"/>
      <c r="E78" s="91"/>
      <c r="F78" s="91"/>
      <c r="G78" s="92"/>
      <c r="H78" s="91"/>
      <c r="I78" s="92"/>
    </row>
    <row r="79" spans="1:9" ht="17.149999999999999" customHeight="1" x14ac:dyDescent="0.3">
      <c r="A79" s="119" t="s">
        <v>126</v>
      </c>
      <c r="B79" s="745"/>
      <c r="C79" s="745"/>
      <c r="D79" s="745"/>
      <c r="E79" s="745"/>
      <c r="F79" s="646"/>
      <c r="G79" s="647"/>
      <c r="H79" s="646"/>
      <c r="I79" s="647"/>
    </row>
    <row r="80" spans="1:9" ht="17.149999999999999" customHeight="1" x14ac:dyDescent="0.3">
      <c r="A80" s="119" t="s">
        <v>144</v>
      </c>
      <c r="B80" s="645"/>
      <c r="C80" s="645"/>
      <c r="D80" s="645"/>
      <c r="E80" s="645"/>
      <c r="F80" s="646"/>
      <c r="G80" s="647"/>
      <c r="H80" s="646"/>
      <c r="I80" s="647"/>
    </row>
    <row r="81" spans="1:9" ht="17.149999999999999" customHeight="1" x14ac:dyDescent="0.3">
      <c r="A81" s="120" t="s">
        <v>141</v>
      </c>
      <c r="B81" s="745"/>
      <c r="C81" s="745"/>
      <c r="D81" s="745"/>
      <c r="E81" s="745"/>
      <c r="F81" s="646"/>
      <c r="G81" s="647"/>
      <c r="H81" s="646"/>
      <c r="I81" s="647"/>
    </row>
    <row r="82" spans="1:9" ht="17.149999999999999" customHeight="1" x14ac:dyDescent="0.3">
      <c r="A82" s="119" t="s">
        <v>129</v>
      </c>
      <c r="B82" s="745"/>
      <c r="C82" s="745"/>
      <c r="D82" s="745"/>
      <c r="E82" s="745"/>
      <c r="F82" s="646"/>
      <c r="G82" s="647"/>
      <c r="H82" s="646"/>
      <c r="I82" s="647"/>
    </row>
    <row r="83" spans="1:9" ht="17.149999999999999" customHeight="1" x14ac:dyDescent="0.3">
      <c r="A83" s="132" t="s">
        <v>130</v>
      </c>
      <c r="B83" s="745"/>
      <c r="C83" s="745"/>
      <c r="D83" s="745"/>
      <c r="E83" s="745"/>
      <c r="F83" s="646"/>
      <c r="G83" s="647"/>
      <c r="H83" s="646"/>
      <c r="I83" s="647"/>
    </row>
    <row r="84" spans="1:9" ht="17.149999999999999" customHeight="1" x14ac:dyDescent="0.3">
      <c r="A84" s="132"/>
      <c r="B84" s="745"/>
      <c r="C84" s="745"/>
      <c r="D84" s="745"/>
      <c r="E84" s="745"/>
      <c r="F84" s="747"/>
      <c r="G84" s="748"/>
      <c r="H84" s="747"/>
      <c r="I84" s="748"/>
    </row>
    <row r="85" spans="1:9" ht="17.149999999999999" customHeight="1" x14ac:dyDescent="0.3">
      <c r="A85" s="132"/>
      <c r="B85" s="745"/>
      <c r="C85" s="745"/>
      <c r="D85" s="745"/>
      <c r="E85" s="745"/>
      <c r="F85" s="747"/>
      <c r="G85" s="748"/>
      <c r="H85" s="747"/>
      <c r="I85" s="748"/>
    </row>
    <row r="86" spans="1:9" ht="17.149999999999999" customHeight="1" thickBot="1" x14ac:dyDescent="0.35">
      <c r="A86" s="132"/>
      <c r="B86" s="674"/>
      <c r="C86" s="668"/>
      <c r="D86" s="669"/>
      <c r="E86" s="669"/>
      <c r="F86" s="670"/>
      <c r="G86" s="671"/>
      <c r="H86" s="672"/>
      <c r="I86" s="673"/>
    </row>
    <row r="87" spans="1:9" ht="17.149999999999999" customHeight="1" thickBot="1" x14ac:dyDescent="0.35">
      <c r="A87" s="134" t="s">
        <v>131</v>
      </c>
      <c r="B87" s="103"/>
      <c r="C87" s="104"/>
      <c r="D87" s="104"/>
      <c r="E87" s="104"/>
      <c r="F87" s="657"/>
      <c r="G87" s="625"/>
      <c r="H87" s="657"/>
      <c r="I87" s="625"/>
    </row>
    <row r="88" spans="1:9" ht="17.149999999999999" customHeight="1" thickBot="1" x14ac:dyDescent="0.35">
      <c r="A88" s="132"/>
      <c r="B88" s="121"/>
      <c r="C88" s="122"/>
      <c r="D88" s="122"/>
      <c r="E88" s="122"/>
      <c r="F88" s="123"/>
      <c r="G88" s="124"/>
      <c r="H88" s="123"/>
      <c r="I88" s="125"/>
    </row>
    <row r="89" spans="1:9" ht="17.149999999999999" customHeight="1" thickBot="1" x14ac:dyDescent="0.35">
      <c r="A89" s="134" t="s">
        <v>132</v>
      </c>
      <c r="B89" s="139"/>
      <c r="C89" s="140"/>
      <c r="D89" s="140"/>
      <c r="E89" s="140"/>
      <c r="F89" s="104"/>
      <c r="G89" s="105"/>
      <c r="H89" s="104"/>
      <c r="I89" s="105"/>
    </row>
    <row r="90" spans="1:9" ht="17.149999999999999" customHeight="1" x14ac:dyDescent="0.3">
      <c r="A90" s="94"/>
      <c r="B90" s="94"/>
      <c r="C90" s="94"/>
      <c r="D90" s="94"/>
      <c r="E90" s="94"/>
    </row>
    <row r="91" spans="1:9" ht="17.149999999999999" customHeight="1" x14ac:dyDescent="0.3">
      <c r="A91" s="126"/>
      <c r="B91" s="97"/>
      <c r="C91" s="97"/>
      <c r="D91" s="97"/>
      <c r="E91" s="97"/>
    </row>
    <row r="92" spans="1:9" ht="17.149999999999999" customHeight="1" thickBot="1" x14ac:dyDescent="0.35">
      <c r="A92" s="404" t="s">
        <v>145</v>
      </c>
      <c r="B92" s="836"/>
      <c r="C92" s="836"/>
      <c r="D92" s="129"/>
      <c r="E92" s="129"/>
    </row>
    <row r="93" spans="1:9" ht="17.149999999999999" customHeight="1" thickBot="1" x14ac:dyDescent="0.35">
      <c r="A93" s="824" t="s">
        <v>134</v>
      </c>
      <c r="B93" s="820"/>
      <c r="C93" s="835"/>
      <c r="D93" s="820"/>
      <c r="E93" s="821"/>
      <c r="F93" s="804"/>
      <c r="G93" s="805"/>
      <c r="H93" s="805"/>
      <c r="I93" s="806"/>
    </row>
    <row r="94" spans="1:9" ht="17.149999999999999" customHeight="1" thickBot="1" x14ac:dyDescent="0.35">
      <c r="A94" s="825"/>
      <c r="B94" s="324"/>
      <c r="C94" s="324"/>
      <c r="D94" s="324"/>
      <c r="E94" s="324"/>
      <c r="F94" s="804"/>
      <c r="G94" s="806"/>
      <c r="H94" s="804"/>
      <c r="I94" s="806"/>
    </row>
    <row r="95" spans="1:9" ht="17.149999999999999" customHeight="1" x14ac:dyDescent="0.3">
      <c r="A95" s="130"/>
      <c r="B95" s="807"/>
      <c r="C95" s="808"/>
      <c r="D95" s="808"/>
      <c r="E95" s="809"/>
      <c r="F95" s="814"/>
      <c r="G95" s="816"/>
      <c r="H95" s="816"/>
      <c r="I95" s="816"/>
    </row>
    <row r="96" spans="1:9" ht="17.149999999999999" customHeight="1" thickBot="1" x14ac:dyDescent="0.35">
      <c r="A96" s="131" t="s">
        <v>113</v>
      </c>
      <c r="B96" s="810"/>
      <c r="C96" s="811"/>
      <c r="D96" s="811"/>
      <c r="E96" s="812"/>
      <c r="F96" s="815"/>
      <c r="G96" s="817"/>
      <c r="H96" s="817"/>
      <c r="I96" s="817"/>
    </row>
    <row r="97" spans="1:9" ht="17.149999999999999" customHeight="1" thickBot="1" x14ac:dyDescent="0.35">
      <c r="A97" s="132" t="s">
        <v>135</v>
      </c>
      <c r="B97" s="91"/>
      <c r="C97" s="91"/>
      <c r="D97" s="91"/>
      <c r="E97" s="91"/>
      <c r="F97" s="91"/>
      <c r="G97" s="92"/>
      <c r="H97" s="91"/>
      <c r="I97" s="92"/>
    </row>
    <row r="98" spans="1:9" ht="17.149999999999999" customHeight="1" x14ac:dyDescent="0.3">
      <c r="A98" s="132" t="s">
        <v>136</v>
      </c>
      <c r="B98" s="746"/>
      <c r="C98" s="746"/>
      <c r="D98" s="746"/>
      <c r="E98" s="746"/>
      <c r="F98" s="646"/>
      <c r="G98" s="647"/>
      <c r="H98" s="646"/>
      <c r="I98" s="647"/>
    </row>
    <row r="99" spans="1:9" ht="17.149999999999999" customHeight="1" x14ac:dyDescent="0.3">
      <c r="A99" s="132" t="s">
        <v>116</v>
      </c>
      <c r="B99" s="746"/>
      <c r="C99" s="746"/>
      <c r="D99" s="746"/>
      <c r="E99" s="746"/>
      <c r="F99" s="646"/>
      <c r="G99" s="647"/>
      <c r="H99" s="646"/>
      <c r="I99" s="647"/>
    </row>
    <row r="100" spans="1:9" ht="17.149999999999999" customHeight="1" x14ac:dyDescent="0.3">
      <c r="A100" s="132" t="s">
        <v>143</v>
      </c>
      <c r="B100" s="746"/>
      <c r="C100" s="746"/>
      <c r="D100" s="746"/>
      <c r="E100" s="746"/>
      <c r="F100" s="646"/>
      <c r="G100" s="647"/>
      <c r="H100" s="646"/>
      <c r="I100" s="647"/>
    </row>
    <row r="101" spans="1:9" ht="17.149999999999999" customHeight="1" x14ac:dyDescent="0.3">
      <c r="A101" s="132" t="s">
        <v>139</v>
      </c>
      <c r="B101" s="746"/>
      <c r="C101" s="746"/>
      <c r="D101" s="746"/>
      <c r="E101" s="746"/>
      <c r="F101" s="646"/>
      <c r="G101" s="647"/>
      <c r="H101" s="646"/>
      <c r="I101" s="647"/>
    </row>
    <row r="102" spans="1:9" ht="17.149999999999999" customHeight="1" thickBot="1" x14ac:dyDescent="0.35">
      <c r="A102" s="132" t="s">
        <v>140</v>
      </c>
      <c r="B102" s="746"/>
      <c r="C102" s="746"/>
      <c r="D102" s="746"/>
      <c r="E102" s="746"/>
      <c r="F102" s="646"/>
      <c r="G102" s="647"/>
      <c r="H102" s="646"/>
      <c r="I102" s="647"/>
    </row>
    <row r="103" spans="1:9" ht="17.149999999999999" customHeight="1" thickBot="1" x14ac:dyDescent="0.35">
      <c r="A103" s="134" t="s">
        <v>123</v>
      </c>
      <c r="B103" s="81"/>
      <c r="C103" s="81"/>
      <c r="D103" s="81"/>
      <c r="E103" s="82"/>
      <c r="F103" s="91"/>
      <c r="G103" s="92"/>
      <c r="H103" s="91"/>
      <c r="I103" s="92"/>
    </row>
    <row r="104" spans="1:9" ht="17.149999999999999" customHeight="1" x14ac:dyDescent="0.3">
      <c r="A104" s="142"/>
      <c r="B104" s="107"/>
      <c r="C104" s="108"/>
      <c r="D104" s="109"/>
      <c r="E104" s="108"/>
      <c r="F104" s="110"/>
      <c r="G104" s="111"/>
      <c r="H104" s="112"/>
      <c r="I104" s="113"/>
    </row>
    <row r="105" spans="1:9" ht="17.149999999999999" customHeight="1" thickBot="1" x14ac:dyDescent="0.35">
      <c r="A105" s="143" t="s">
        <v>124</v>
      </c>
      <c r="B105" s="114"/>
      <c r="C105" s="115"/>
      <c r="D105" s="115"/>
      <c r="E105" s="115"/>
      <c r="F105" s="116"/>
      <c r="G105" s="117"/>
      <c r="H105" s="116"/>
      <c r="I105" s="118"/>
    </row>
    <row r="106" spans="1:9" ht="17.149999999999999" customHeight="1" thickBot="1" x14ac:dyDescent="0.35">
      <c r="A106" s="132" t="s">
        <v>125</v>
      </c>
      <c r="B106" s="104"/>
      <c r="C106" s="104"/>
      <c r="D106" s="104"/>
      <c r="E106" s="104"/>
      <c r="F106" s="91"/>
      <c r="G106" s="92"/>
      <c r="H106" s="91"/>
      <c r="I106" s="92"/>
    </row>
    <row r="107" spans="1:9" ht="17.149999999999999" customHeight="1" x14ac:dyDescent="0.3">
      <c r="A107" s="119" t="s">
        <v>126</v>
      </c>
      <c r="B107" s="746"/>
      <c r="C107" s="746"/>
      <c r="D107" s="746"/>
      <c r="E107" s="746"/>
      <c r="F107" s="646"/>
      <c r="G107" s="647"/>
      <c r="H107" s="646"/>
      <c r="I107" s="647"/>
    </row>
    <row r="108" spans="1:9" ht="17.149999999999999" customHeight="1" x14ac:dyDescent="0.3">
      <c r="A108" s="119" t="s">
        <v>144</v>
      </c>
      <c r="B108" s="746"/>
      <c r="C108" s="746"/>
      <c r="D108" s="746"/>
      <c r="E108" s="746"/>
      <c r="F108" s="646"/>
      <c r="G108" s="647"/>
      <c r="H108" s="646"/>
      <c r="I108" s="647"/>
    </row>
    <row r="109" spans="1:9" ht="17.149999999999999" customHeight="1" x14ac:dyDescent="0.3">
      <c r="A109" s="120" t="s">
        <v>141</v>
      </c>
      <c r="B109" s="746"/>
      <c r="C109" s="746"/>
      <c r="D109" s="746"/>
      <c r="E109" s="746"/>
      <c r="F109" s="646"/>
      <c r="G109" s="647"/>
      <c r="H109" s="646"/>
      <c r="I109" s="647"/>
    </row>
    <row r="110" spans="1:9" ht="17.149999999999999" customHeight="1" x14ac:dyDescent="0.3">
      <c r="A110" s="119" t="s">
        <v>129</v>
      </c>
      <c r="B110" s="746"/>
      <c r="C110" s="746"/>
      <c r="D110" s="746"/>
      <c r="E110" s="746"/>
      <c r="F110" s="646"/>
      <c r="G110" s="647"/>
      <c r="H110" s="646"/>
      <c r="I110" s="647"/>
    </row>
    <row r="111" spans="1:9" ht="17.149999999999999" customHeight="1" x14ac:dyDescent="0.3">
      <c r="A111" s="132" t="s">
        <v>130</v>
      </c>
      <c r="B111" s="746"/>
      <c r="C111" s="746"/>
      <c r="D111" s="746"/>
      <c r="E111" s="746"/>
      <c r="F111" s="646"/>
      <c r="G111" s="647"/>
      <c r="H111" s="646"/>
      <c r="I111" s="647"/>
    </row>
    <row r="112" spans="1:9" ht="17.149999999999999" customHeight="1" x14ac:dyDescent="0.3">
      <c r="A112" s="132"/>
      <c r="B112" s="645"/>
      <c r="C112" s="645"/>
      <c r="D112" s="645"/>
      <c r="E112" s="645"/>
      <c r="F112" s="747"/>
      <c r="G112" s="748"/>
      <c r="H112" s="747"/>
      <c r="I112" s="748"/>
    </row>
    <row r="113" spans="1:10" ht="17.149999999999999" customHeight="1" x14ac:dyDescent="0.3">
      <c r="A113" s="132"/>
      <c r="B113" s="645"/>
      <c r="C113" s="645"/>
      <c r="D113" s="645"/>
      <c r="E113" s="645"/>
      <c r="F113" s="747"/>
      <c r="G113" s="748"/>
      <c r="H113" s="747"/>
      <c r="I113" s="748"/>
    </row>
    <row r="114" spans="1:10" ht="17.149999999999999" customHeight="1" thickBot="1" x14ac:dyDescent="0.35">
      <c r="A114" s="132"/>
      <c r="B114" s="668"/>
      <c r="C114" s="668"/>
      <c r="D114" s="669"/>
      <c r="E114" s="669"/>
      <c r="F114" s="670"/>
      <c r="G114" s="671"/>
      <c r="H114" s="672"/>
      <c r="I114" s="673"/>
    </row>
    <row r="115" spans="1:10" ht="17.149999999999999" customHeight="1" thickBot="1" x14ac:dyDescent="0.35">
      <c r="A115" s="134" t="s">
        <v>131</v>
      </c>
      <c r="B115" s="104"/>
      <c r="C115" s="104"/>
      <c r="D115" s="104"/>
      <c r="E115" s="104"/>
      <c r="F115" s="657"/>
      <c r="G115" s="625"/>
      <c r="H115" s="657"/>
      <c r="I115" s="625"/>
    </row>
    <row r="116" spans="1:10" ht="17.149999999999999" customHeight="1" thickBot="1" x14ac:dyDescent="0.35">
      <c r="A116" s="132"/>
      <c r="B116" s="121"/>
      <c r="C116" s="122"/>
      <c r="D116" s="122"/>
      <c r="E116" s="122"/>
      <c r="F116" s="123"/>
      <c r="G116" s="124"/>
      <c r="H116" s="123"/>
      <c r="I116" s="125"/>
    </row>
    <row r="117" spans="1:10" ht="17.149999999999999" customHeight="1" thickBot="1" x14ac:dyDescent="0.35">
      <c r="A117" s="134" t="s">
        <v>132</v>
      </c>
      <c r="B117" s="104"/>
      <c r="C117" s="104"/>
      <c r="D117" s="104"/>
      <c r="E117" s="104"/>
      <c r="F117" s="104"/>
      <c r="G117" s="105"/>
      <c r="H117" s="104"/>
      <c r="I117" s="105"/>
    </row>
    <row r="118" spans="1:10" ht="15" customHeight="1" x14ac:dyDescent="0.3">
      <c r="J118"/>
    </row>
    <row r="119" spans="1:10" ht="15" customHeight="1" x14ac:dyDescent="0.3">
      <c r="J119"/>
    </row>
    <row r="120" spans="1:10" ht="15" customHeight="1" x14ac:dyDescent="0.35">
      <c r="B120" s="217">
        <f t="shared" ref="B120:E122" si="0">B41-B69+B97</f>
        <v>0</v>
      </c>
      <c r="C120" s="217">
        <f t="shared" si="0"/>
        <v>0</v>
      </c>
      <c r="D120" s="217">
        <f t="shared" si="0"/>
        <v>0</v>
      </c>
      <c r="E120" s="217">
        <f t="shared" si="0"/>
        <v>0</v>
      </c>
      <c r="J120"/>
    </row>
    <row r="121" spans="1:10" ht="15" customHeight="1" x14ac:dyDescent="0.35">
      <c r="B121" s="217">
        <f t="shared" si="0"/>
        <v>0</v>
      </c>
      <c r="C121" s="217">
        <f t="shared" si="0"/>
        <v>0</v>
      </c>
      <c r="D121" s="217">
        <f t="shared" si="0"/>
        <v>0</v>
      </c>
      <c r="E121" s="217">
        <f t="shared" si="0"/>
        <v>0</v>
      </c>
      <c r="J121"/>
    </row>
    <row r="122" spans="1:10" ht="15.5" x14ac:dyDescent="0.35">
      <c r="B122" s="217">
        <f t="shared" si="0"/>
        <v>0</v>
      </c>
      <c r="C122" s="217">
        <f t="shared" si="0"/>
        <v>0</v>
      </c>
      <c r="D122" s="217">
        <f t="shared" si="0"/>
        <v>0</v>
      </c>
      <c r="E122" s="217">
        <f t="shared" si="0"/>
        <v>0</v>
      </c>
      <c r="J122"/>
    </row>
    <row r="123" spans="1:10" ht="15.5" x14ac:dyDescent="0.35">
      <c r="B123" s="217">
        <f t="shared" ref="B123:E127" si="1">B45-B72+B100</f>
        <v>0</v>
      </c>
      <c r="C123" s="217">
        <f t="shared" si="1"/>
        <v>0</v>
      </c>
      <c r="D123" s="217">
        <f t="shared" si="1"/>
        <v>0</v>
      </c>
      <c r="E123" s="217">
        <f t="shared" si="1"/>
        <v>0</v>
      </c>
      <c r="J123"/>
    </row>
    <row r="124" spans="1:10" ht="15.5" x14ac:dyDescent="0.35">
      <c r="B124" s="217">
        <f t="shared" si="1"/>
        <v>0</v>
      </c>
      <c r="C124" s="217">
        <f t="shared" si="1"/>
        <v>0</v>
      </c>
      <c r="D124" s="217">
        <f t="shared" si="1"/>
        <v>0</v>
      </c>
      <c r="E124" s="217">
        <f t="shared" si="1"/>
        <v>0</v>
      </c>
      <c r="J124"/>
    </row>
    <row r="125" spans="1:10" ht="15.5" x14ac:dyDescent="0.35">
      <c r="B125" s="217">
        <f t="shared" si="1"/>
        <v>0</v>
      </c>
      <c r="C125" s="217">
        <f t="shared" si="1"/>
        <v>0</v>
      </c>
      <c r="D125" s="217">
        <f t="shared" si="1"/>
        <v>0</v>
      </c>
      <c r="E125" s="217">
        <f t="shared" si="1"/>
        <v>0</v>
      </c>
      <c r="J125"/>
    </row>
    <row r="126" spans="1:10" ht="15.5" x14ac:dyDescent="0.35">
      <c r="B126" s="217">
        <f t="shared" si="1"/>
        <v>0</v>
      </c>
      <c r="C126" s="217">
        <f t="shared" si="1"/>
        <v>0</v>
      </c>
      <c r="D126" s="217">
        <f t="shared" si="1"/>
        <v>0</v>
      </c>
      <c r="E126" s="217">
        <f t="shared" si="1"/>
        <v>0</v>
      </c>
      <c r="J126"/>
    </row>
    <row r="127" spans="1:10" ht="15.5" x14ac:dyDescent="0.35">
      <c r="B127" s="217">
        <f t="shared" si="1"/>
        <v>0</v>
      </c>
      <c r="C127" s="217">
        <f t="shared" si="1"/>
        <v>0</v>
      </c>
      <c r="D127" s="217">
        <f t="shared" si="1"/>
        <v>0</v>
      </c>
      <c r="E127" s="217">
        <f t="shared" si="1"/>
        <v>0</v>
      </c>
      <c r="J127"/>
    </row>
    <row r="128" spans="1:10" ht="15.5" x14ac:dyDescent="0.35">
      <c r="B128" s="217">
        <f t="shared" ref="B128:E140" si="2">B49-B77+B105</f>
        <v>0</v>
      </c>
      <c r="C128" s="217">
        <f t="shared" si="2"/>
        <v>0</v>
      </c>
      <c r="D128" s="217">
        <f t="shared" si="2"/>
        <v>0</v>
      </c>
      <c r="E128" s="217">
        <f t="shared" si="2"/>
        <v>0</v>
      </c>
      <c r="J128"/>
    </row>
    <row r="129" spans="1:5" customFormat="1" ht="15.5" x14ac:dyDescent="0.35">
      <c r="A129" s="347"/>
      <c r="B129" s="217">
        <f t="shared" si="2"/>
        <v>0</v>
      </c>
      <c r="C129" s="217">
        <f t="shared" si="2"/>
        <v>0</v>
      </c>
      <c r="D129" s="217">
        <f t="shared" si="2"/>
        <v>0</v>
      </c>
      <c r="E129" s="217">
        <f t="shared" si="2"/>
        <v>0</v>
      </c>
    </row>
    <row r="130" spans="1:5" customFormat="1" ht="15.5" x14ac:dyDescent="0.35">
      <c r="A130" s="347"/>
      <c r="B130" s="217">
        <f t="shared" si="2"/>
        <v>0</v>
      </c>
      <c r="C130" s="217">
        <f t="shared" si="2"/>
        <v>0</v>
      </c>
      <c r="D130" s="217">
        <f t="shared" si="2"/>
        <v>0</v>
      </c>
      <c r="E130" s="217">
        <f t="shared" si="2"/>
        <v>0</v>
      </c>
    </row>
    <row r="131" spans="1:5" customFormat="1" ht="15.5" x14ac:dyDescent="0.35">
      <c r="A131" s="347"/>
      <c r="B131" s="217">
        <f t="shared" si="2"/>
        <v>0</v>
      </c>
      <c r="C131" s="217">
        <f t="shared" si="2"/>
        <v>0</v>
      </c>
      <c r="D131" s="217">
        <f t="shared" si="2"/>
        <v>0</v>
      </c>
      <c r="E131" s="217">
        <f t="shared" si="2"/>
        <v>0</v>
      </c>
    </row>
    <row r="132" spans="1:5" customFormat="1" ht="15.5" x14ac:dyDescent="0.35">
      <c r="A132" s="347"/>
      <c r="B132" s="217">
        <f t="shared" si="2"/>
        <v>0</v>
      </c>
      <c r="C132" s="217">
        <f t="shared" si="2"/>
        <v>0</v>
      </c>
      <c r="D132" s="217">
        <f t="shared" si="2"/>
        <v>0</v>
      </c>
      <c r="E132" s="217">
        <f t="shared" si="2"/>
        <v>0</v>
      </c>
    </row>
    <row r="133" spans="1:5" customFormat="1" ht="15.5" x14ac:dyDescent="0.35">
      <c r="A133" s="347"/>
      <c r="B133" s="217">
        <f t="shared" si="2"/>
        <v>0</v>
      </c>
      <c r="C133" s="217">
        <f t="shared" si="2"/>
        <v>0</v>
      </c>
      <c r="D133" s="217">
        <f t="shared" si="2"/>
        <v>0</v>
      </c>
      <c r="E133" s="217">
        <f t="shared" si="2"/>
        <v>0</v>
      </c>
    </row>
    <row r="134" spans="1:5" customFormat="1" ht="15.5" x14ac:dyDescent="0.35">
      <c r="A134" s="347"/>
      <c r="B134" s="217">
        <f t="shared" si="2"/>
        <v>0</v>
      </c>
      <c r="C134" s="217">
        <f t="shared" si="2"/>
        <v>0</v>
      </c>
      <c r="D134" s="217">
        <f t="shared" si="2"/>
        <v>0</v>
      </c>
      <c r="E134" s="217">
        <f t="shared" si="2"/>
        <v>0</v>
      </c>
    </row>
    <row r="135" spans="1:5" customFormat="1" ht="15.5" x14ac:dyDescent="0.35">
      <c r="A135" s="347"/>
      <c r="B135" s="217">
        <f t="shared" si="2"/>
        <v>0</v>
      </c>
      <c r="C135" s="217">
        <f t="shared" si="2"/>
        <v>0</v>
      </c>
      <c r="D135" s="217">
        <f t="shared" si="2"/>
        <v>0</v>
      </c>
      <c r="E135" s="217">
        <f t="shared" si="2"/>
        <v>0</v>
      </c>
    </row>
    <row r="136" spans="1:5" customFormat="1" ht="15.5" x14ac:dyDescent="0.35">
      <c r="A136" s="347"/>
      <c r="B136" s="217">
        <f t="shared" si="2"/>
        <v>0</v>
      </c>
      <c r="C136" s="217">
        <f t="shared" si="2"/>
        <v>0</v>
      </c>
      <c r="D136" s="217">
        <f t="shared" si="2"/>
        <v>0</v>
      </c>
      <c r="E136" s="217">
        <f t="shared" si="2"/>
        <v>0</v>
      </c>
    </row>
    <row r="137" spans="1:5" customFormat="1" ht="15.5" x14ac:dyDescent="0.35">
      <c r="A137" s="347"/>
      <c r="B137" s="217">
        <f t="shared" si="2"/>
        <v>0</v>
      </c>
      <c r="C137" s="217">
        <f t="shared" si="2"/>
        <v>0</v>
      </c>
      <c r="D137" s="217">
        <f t="shared" si="2"/>
        <v>0</v>
      </c>
      <c r="E137" s="217">
        <f t="shared" si="2"/>
        <v>0</v>
      </c>
    </row>
    <row r="138" spans="1:5" customFormat="1" ht="15.5" x14ac:dyDescent="0.35">
      <c r="A138" s="347"/>
      <c r="B138" s="217">
        <f t="shared" si="2"/>
        <v>0</v>
      </c>
      <c r="C138" s="217">
        <f t="shared" si="2"/>
        <v>0</v>
      </c>
      <c r="D138" s="217">
        <f t="shared" si="2"/>
        <v>0</v>
      </c>
      <c r="E138" s="217">
        <f t="shared" si="2"/>
        <v>0</v>
      </c>
    </row>
    <row r="139" spans="1:5" customFormat="1" ht="15.5" x14ac:dyDescent="0.35">
      <c r="A139" s="347"/>
      <c r="B139" s="217">
        <f t="shared" si="2"/>
        <v>0</v>
      </c>
      <c r="C139" s="217">
        <f t="shared" si="2"/>
        <v>0</v>
      </c>
      <c r="D139" s="217">
        <f t="shared" si="2"/>
        <v>0</v>
      </c>
      <c r="E139" s="217">
        <f t="shared" si="2"/>
        <v>0</v>
      </c>
    </row>
    <row r="140" spans="1:5" customFormat="1" ht="15.5" x14ac:dyDescent="0.35">
      <c r="A140" s="347"/>
      <c r="B140" s="217">
        <f t="shared" si="2"/>
        <v>0</v>
      </c>
      <c r="C140" s="217">
        <f t="shared" si="2"/>
        <v>0</v>
      </c>
      <c r="D140" s="217">
        <f t="shared" si="2"/>
        <v>0</v>
      </c>
      <c r="E140" s="217">
        <f t="shared" si="2"/>
        <v>0</v>
      </c>
    </row>
  </sheetData>
  <mergeCells count="49">
    <mergeCell ref="B92:C92"/>
    <mergeCell ref="A3:E3"/>
    <mergeCell ref="F6:I6"/>
    <mergeCell ref="F7:G7"/>
    <mergeCell ref="H7:I7"/>
    <mergeCell ref="B5:C5"/>
    <mergeCell ref="B6:C6"/>
    <mergeCell ref="D6:E6"/>
    <mergeCell ref="I8:I9"/>
    <mergeCell ref="B36:C36"/>
    <mergeCell ref="A37:A38"/>
    <mergeCell ref="F37:I37"/>
    <mergeCell ref="F38:G38"/>
    <mergeCell ref="H38:I38"/>
    <mergeCell ref="A8:A9"/>
    <mergeCell ref="B8:E9"/>
    <mergeCell ref="F8:F9"/>
    <mergeCell ref="G8:G9"/>
    <mergeCell ref="H8:H9"/>
    <mergeCell ref="B37:C37"/>
    <mergeCell ref="D37:E37"/>
    <mergeCell ref="F39:F40"/>
    <mergeCell ref="G39:G40"/>
    <mergeCell ref="H39:H40"/>
    <mergeCell ref="I39:I40"/>
    <mergeCell ref="B64:C64"/>
    <mergeCell ref="B39:E40"/>
    <mergeCell ref="A65:A66"/>
    <mergeCell ref="F65:I65"/>
    <mergeCell ref="F66:G66"/>
    <mergeCell ref="H66:I66"/>
    <mergeCell ref="B67:E68"/>
    <mergeCell ref="F67:F68"/>
    <mergeCell ref="G67:G68"/>
    <mergeCell ref="H67:H68"/>
    <mergeCell ref="I67:I68"/>
    <mergeCell ref="B65:C65"/>
    <mergeCell ref="D65:E65"/>
    <mergeCell ref="A93:A94"/>
    <mergeCell ref="F93:I93"/>
    <mergeCell ref="F94:G94"/>
    <mergeCell ref="H94:I94"/>
    <mergeCell ref="B95:E96"/>
    <mergeCell ref="F95:F96"/>
    <mergeCell ref="G95:G96"/>
    <mergeCell ref="H95:H96"/>
    <mergeCell ref="I95:I96"/>
    <mergeCell ref="B93:C93"/>
    <mergeCell ref="D93:E93"/>
  </mergeCells>
  <dataValidations disablePrompts="1" count="1">
    <dataValidation type="list" allowBlank="1" showInputMessage="1" showErrorMessage="1" sqref="WVJ983045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VRV983045 IX786437 ST786437 IX983045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ST983045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ACP983045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AML983045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AWH983045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GD983045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PZ983045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ZV983045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CJR983045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CTN983045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DDJ983045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DNF983045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DXB983045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EGX983045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EQT983045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FAP983045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WBR983045 IX851973 FKL983045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FUH983045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GED983045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GNZ983045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GXV983045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HHR983045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HRN983045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IBJ983045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ILF983045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IVB983045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JEX983045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JOT983045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JYP983045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KIL983045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KSH983045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LCD983045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WLN983045 LLZ983045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LVV983045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MFR983045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MPN983045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MZJ983045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NJF983045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NTB983045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OCX983045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OMT983045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OWP983045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PGL983045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PQH983045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QAD983045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QJZ983045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QTV983045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RDR983045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RNN983045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RXJ983045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SHF983045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SRB983045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TAX98304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TKT983045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TUP983045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UEL983045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UOH983045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UYD98304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VHZ983045 IX720901 ST720901 ACP720901 B786437 B851973 B917509 B983045 B65572 B131108 B196644 B262180 B327716 B393252 B458788 B524324 B589860 B655396 B720932 B786468 B852004 B917540 B983076 B65600 B131136 B196672 B262208 B327744 B393280 B458816 B524352 B589888 B655424 B720960 B786496 B852032 B917568 B983104 B65628 B131164 B196700 B262236 B327772 B393308 B458844 B524380 B589916 B655452 B720988 B786524 B852060 B917596 B983132 B65541 B131077 B196613 B262149 B327685 B393221 B458757 B524293 B589829 B655365 B720901 B36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B64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B92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xr:uid="{00000000-0002-0000-1A00-000000000000}">
      <formula1>#REF!</formula1>
    </dataValidation>
  </dataValidations>
  <pageMargins left="0.7" right="0.7" top="0.75" bottom="0.75" header="0.3" footer="0.3"/>
  <pageSetup paperSize="9" scale="42"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8"/>
  <dimension ref="A1:J140"/>
  <sheetViews>
    <sheetView showGridLines="0" view="pageBreakPreview" zoomScale="90" zoomScaleNormal="80" zoomScaleSheetLayoutView="90" workbookViewId="0">
      <selection activeCell="A11" sqref="A11"/>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0" ht="15" customHeight="1" x14ac:dyDescent="0.3">
      <c r="A1" s="364" t="s">
        <v>101</v>
      </c>
      <c r="B1" s="66"/>
      <c r="C1" s="66"/>
      <c r="D1" s="66"/>
      <c r="E1" s="66"/>
      <c r="F1" s="66"/>
      <c r="G1" s="66"/>
      <c r="H1" s="66"/>
      <c r="I1" s="66"/>
      <c r="J1"/>
    </row>
    <row r="2" spans="1:10" ht="15" customHeight="1" x14ac:dyDescent="0.25">
      <c r="A2" s="365"/>
      <c r="B2" s="66"/>
      <c r="C2" s="66"/>
      <c r="D2" s="66"/>
      <c r="E2" s="66"/>
      <c r="F2" s="66"/>
      <c r="G2" s="66"/>
      <c r="H2" s="66"/>
      <c r="I2" s="66"/>
      <c r="J2"/>
    </row>
    <row r="3" spans="1:10" ht="15" customHeight="1" x14ac:dyDescent="0.25">
      <c r="A3" s="800" t="s">
        <v>102</v>
      </c>
      <c r="B3" s="800"/>
      <c r="C3" s="800"/>
      <c r="D3" s="800"/>
      <c r="E3" s="800"/>
      <c r="F3" s="66"/>
      <c r="G3" s="66"/>
      <c r="H3" s="66"/>
      <c r="I3" s="66"/>
      <c r="J3"/>
    </row>
    <row r="4" spans="1:10" ht="15" customHeight="1" x14ac:dyDescent="0.25">
      <c r="A4" s="365"/>
      <c r="B4" s="66"/>
      <c r="C4" s="66"/>
      <c r="D4" s="66"/>
      <c r="E4" s="66"/>
      <c r="F4" s="66"/>
      <c r="G4" s="66"/>
      <c r="H4" s="66"/>
      <c r="I4" s="66"/>
      <c r="J4"/>
    </row>
    <row r="5" spans="1:10" ht="15" customHeight="1" thickBot="1" x14ac:dyDescent="0.3">
      <c r="A5" s="67" t="s">
        <v>103</v>
      </c>
      <c r="B5" s="836"/>
      <c r="C5" s="836"/>
      <c r="D5" s="68"/>
      <c r="E5" s="68"/>
      <c r="F5" s="66"/>
      <c r="G5" s="66"/>
      <c r="H5" s="66"/>
      <c r="I5" s="66"/>
      <c r="J5"/>
    </row>
    <row r="6" spans="1:10" ht="15" customHeight="1" thickBot="1" x14ac:dyDescent="0.3">
      <c r="A6" s="366" t="s">
        <v>104</v>
      </c>
      <c r="B6" s="818" t="s">
        <v>105</v>
      </c>
      <c r="C6" s="819"/>
      <c r="D6" s="837" t="s">
        <v>106</v>
      </c>
      <c r="E6" s="838"/>
      <c r="F6" s="818" t="s">
        <v>107</v>
      </c>
      <c r="G6" s="832"/>
      <c r="H6" s="832"/>
      <c r="I6" s="819"/>
      <c r="J6"/>
    </row>
    <row r="7" spans="1:10" ht="15" customHeight="1" thickBot="1" x14ac:dyDescent="0.3">
      <c r="A7" s="367" t="s">
        <v>108</v>
      </c>
      <c r="B7" s="324">
        <v>2023</v>
      </c>
      <c r="C7" s="324">
        <v>2022</v>
      </c>
      <c r="D7" s="324">
        <v>2023</v>
      </c>
      <c r="E7" s="71">
        <v>2022</v>
      </c>
      <c r="F7" s="818" t="s">
        <v>105</v>
      </c>
      <c r="G7" s="819"/>
      <c r="H7" s="818" t="s">
        <v>106</v>
      </c>
      <c r="I7" s="819"/>
      <c r="J7"/>
    </row>
    <row r="8" spans="1:10" ht="15" customHeight="1" x14ac:dyDescent="0.25">
      <c r="A8" s="844" t="s">
        <v>109</v>
      </c>
      <c r="B8" s="826"/>
      <c r="C8" s="827"/>
      <c r="D8" s="827"/>
      <c r="E8" s="828"/>
      <c r="F8" s="828" t="s">
        <v>110</v>
      </c>
      <c r="G8" s="822" t="s">
        <v>111</v>
      </c>
      <c r="H8" s="822" t="s">
        <v>112</v>
      </c>
      <c r="I8" s="822" t="s">
        <v>111</v>
      </c>
      <c r="J8"/>
    </row>
    <row r="9" spans="1:10" ht="15" customHeight="1" thickBot="1" x14ac:dyDescent="0.3">
      <c r="A9" s="845"/>
      <c r="B9" s="850"/>
      <c r="C9" s="851"/>
      <c r="D9" s="851"/>
      <c r="E9" s="833"/>
      <c r="F9" s="833"/>
      <c r="G9" s="834"/>
      <c r="H9" s="834"/>
      <c r="I9" s="834"/>
      <c r="J9"/>
    </row>
    <row r="10" spans="1:10" ht="15" customHeight="1" thickBot="1" x14ac:dyDescent="0.3">
      <c r="A10" s="368" t="s">
        <v>113</v>
      </c>
      <c r="B10" s="73"/>
      <c r="C10" s="74"/>
      <c r="D10" s="74"/>
      <c r="E10" s="75"/>
      <c r="F10" s="76"/>
      <c r="G10" s="76"/>
      <c r="H10" s="76"/>
      <c r="I10" s="77"/>
      <c r="J10"/>
    </row>
    <row r="11" spans="1:10" ht="15" customHeight="1" x14ac:dyDescent="0.25">
      <c r="A11" s="643" t="s">
        <v>114</v>
      </c>
      <c r="B11" s="78"/>
      <c r="C11" s="78"/>
      <c r="D11" s="78"/>
      <c r="E11" s="78"/>
      <c r="F11" s="78">
        <f>B11-C11</f>
        <v>0</v>
      </c>
      <c r="G11" s="78">
        <f>IF(C11&lt;&gt;0,(B11-C11)/C11)*100</f>
        <v>0</v>
      </c>
      <c r="H11" s="78">
        <f>D11-E11</f>
        <v>0</v>
      </c>
      <c r="I11" s="79">
        <f>IF(E11&lt;&gt;0,(D11-E11)/E11)*100</f>
        <v>0</v>
      </c>
      <c r="J11"/>
    </row>
    <row r="12" spans="1:10" ht="15" customHeight="1" x14ac:dyDescent="0.25">
      <c r="A12" s="643" t="s">
        <v>115</v>
      </c>
      <c r="B12" s="644"/>
      <c r="C12" s="645"/>
      <c r="D12" s="644"/>
      <c r="E12" s="645"/>
      <c r="F12" s="646">
        <f>B12-C12</f>
        <v>0</v>
      </c>
      <c r="G12" s="647">
        <f>IF(C12&lt;&gt;0,(B12-C12)/C12)*100</f>
        <v>0</v>
      </c>
      <c r="H12" s="646">
        <f>D12-E12</f>
        <v>0</v>
      </c>
      <c r="I12" s="647">
        <f>IF(E12&lt;&gt;0,(D12-E12)/E12)*100</f>
        <v>0</v>
      </c>
      <c r="J12"/>
    </row>
    <row r="13" spans="1:10" ht="15" customHeight="1" x14ac:dyDescent="0.25">
      <c r="A13" s="643" t="s">
        <v>116</v>
      </c>
      <c r="B13" s="646"/>
      <c r="C13" s="646"/>
      <c r="D13" s="648"/>
      <c r="E13" s="648"/>
      <c r="F13" s="646">
        <f>B13-C13</f>
        <v>0</v>
      </c>
      <c r="G13" s="647">
        <f>IF(C13&lt;&gt;0,(B13-C13)/C13)*100</f>
        <v>0</v>
      </c>
      <c r="H13" s="646">
        <f>D13-E13</f>
        <v>0</v>
      </c>
      <c r="I13" s="647">
        <f>IF(E13&lt;&gt;0,(D13-E13)/E13)*100</f>
        <v>0</v>
      </c>
      <c r="J13"/>
    </row>
    <row r="14" spans="1:10" ht="15" customHeight="1" x14ac:dyDescent="0.25">
      <c r="A14" s="649" t="s">
        <v>117</v>
      </c>
      <c r="B14" s="644"/>
      <c r="C14" s="644"/>
      <c r="D14" s="644"/>
      <c r="E14" s="645"/>
      <c r="F14" s="646"/>
      <c r="G14" s="650"/>
      <c r="H14" s="646"/>
      <c r="I14" s="650"/>
      <c r="J14"/>
    </row>
    <row r="15" spans="1:10" ht="15" customHeight="1" x14ac:dyDescent="0.25">
      <c r="A15" s="649" t="s">
        <v>118</v>
      </c>
      <c r="B15" s="644"/>
      <c r="C15" s="644"/>
      <c r="D15" s="644"/>
      <c r="E15" s="645"/>
      <c r="F15" s="646"/>
      <c r="G15" s="650"/>
      <c r="H15" s="646"/>
      <c r="I15" s="650"/>
      <c r="J15"/>
    </row>
    <row r="16" spans="1:10" ht="15" customHeight="1" x14ac:dyDescent="0.25">
      <c r="A16" s="649" t="s">
        <v>119</v>
      </c>
      <c r="B16" s="644"/>
      <c r="C16" s="644"/>
      <c r="D16" s="644"/>
      <c r="E16" s="645"/>
      <c r="F16" s="646"/>
      <c r="G16" s="650"/>
      <c r="H16" s="646"/>
      <c r="I16" s="650"/>
      <c r="J16"/>
    </row>
    <row r="17" spans="1:10" ht="15" customHeight="1" x14ac:dyDescent="0.25">
      <c r="A17" s="651" t="s">
        <v>120</v>
      </c>
      <c r="B17" s="644"/>
      <c r="C17" s="645"/>
      <c r="D17" s="644"/>
      <c r="E17" s="645"/>
      <c r="F17" s="646">
        <f>B17-C17</f>
        <v>0</v>
      </c>
      <c r="G17" s="647">
        <f>IF(C17&lt;&gt;0,(B17-C17)/C17)*100</f>
        <v>0</v>
      </c>
      <c r="H17" s="646">
        <f>D17-E17</f>
        <v>0</v>
      </c>
      <c r="I17" s="647">
        <f>IF(E17&lt;&gt;0,(D17-E17)/E17)*100</f>
        <v>0</v>
      </c>
      <c r="J17"/>
    </row>
    <row r="18" spans="1:10" ht="15" customHeight="1" x14ac:dyDescent="0.25">
      <c r="A18" s="643" t="s">
        <v>121</v>
      </c>
      <c r="B18" s="644"/>
      <c r="C18" s="645"/>
      <c r="D18" s="644"/>
      <c r="E18" s="645"/>
      <c r="F18" s="646">
        <f>B18-C18</f>
        <v>0</v>
      </c>
      <c r="G18" s="647">
        <f>IF(C18&lt;&gt;0,(B18-C18)/C18)*100</f>
        <v>0</v>
      </c>
      <c r="H18" s="646">
        <f>D18-E18</f>
        <v>0</v>
      </c>
      <c r="I18" s="647">
        <f>IF(E18&lt;&gt;0,(D18-E18)/E18)*100</f>
        <v>0</v>
      </c>
      <c r="J18"/>
    </row>
    <row r="19" spans="1:10" ht="15" customHeight="1" thickBot="1" x14ac:dyDescent="0.3">
      <c r="A19" s="652" t="s">
        <v>122</v>
      </c>
      <c r="B19" s="653"/>
      <c r="C19" s="654"/>
      <c r="D19" s="653"/>
      <c r="E19" s="654"/>
      <c r="F19" s="646">
        <f>B19-C19</f>
        <v>0</v>
      </c>
      <c r="G19" s="655">
        <f>IF(C19&lt;&gt;0,(B19-C19)/C19)*100</f>
        <v>0</v>
      </c>
      <c r="H19" s="646">
        <f>D19-E19</f>
        <v>0</v>
      </c>
      <c r="I19" s="655">
        <f>IF(E19&lt;&gt;0,(D19-E19)/E19)*100</f>
        <v>0</v>
      </c>
      <c r="J19"/>
    </row>
    <row r="20" spans="1:10" ht="15" customHeight="1" thickBot="1" x14ac:dyDescent="0.3">
      <c r="A20" s="369" t="s">
        <v>123</v>
      </c>
      <c r="B20" s="81"/>
      <c r="C20" s="82"/>
      <c r="D20" s="81"/>
      <c r="E20" s="82"/>
      <c r="F20" s="81">
        <f>F11+F18+F19</f>
        <v>0</v>
      </c>
      <c r="G20" s="83">
        <f>IF(C20&lt;&gt;0,(B20-C20)/C20)*100</f>
        <v>0</v>
      </c>
      <c r="H20" s="81">
        <f>H11+H18+H19</f>
        <v>0</v>
      </c>
      <c r="I20" s="83">
        <f>IF(E20&lt;&gt;0,(D20-E20)/E20)*100</f>
        <v>0</v>
      </c>
      <c r="J20"/>
    </row>
    <row r="21" spans="1:10" ht="15" customHeight="1" thickBot="1" x14ac:dyDescent="0.3">
      <c r="A21" s="370" t="s">
        <v>109</v>
      </c>
      <c r="B21" s="85"/>
      <c r="C21" s="85"/>
      <c r="D21" s="85"/>
      <c r="E21" s="85"/>
      <c r="F21" s="86"/>
      <c r="G21" s="86"/>
      <c r="H21" s="86"/>
      <c r="I21" s="87"/>
      <c r="J21"/>
    </row>
    <row r="22" spans="1:10" ht="15" customHeight="1" x14ac:dyDescent="0.25">
      <c r="A22" s="739" t="s">
        <v>124</v>
      </c>
      <c r="B22" s="740"/>
      <c r="C22" s="741"/>
      <c r="D22" s="740"/>
      <c r="E22" s="741"/>
      <c r="F22" s="742"/>
      <c r="G22" s="743"/>
      <c r="H22" s="743"/>
      <c r="I22" s="744"/>
      <c r="J22"/>
    </row>
    <row r="23" spans="1:10" ht="15" customHeight="1" x14ac:dyDescent="0.25">
      <c r="A23" s="643" t="s">
        <v>125</v>
      </c>
      <c r="B23" s="657"/>
      <c r="C23" s="624"/>
      <c r="D23" s="657"/>
      <c r="E23" s="624"/>
      <c r="F23" s="657">
        <f t="shared" ref="F23:F28" si="0">B23-C23</f>
        <v>0</v>
      </c>
      <c r="G23" s="625">
        <f t="shared" ref="G23:G28" si="1">IF(C23&lt;&gt;0,(B23-C23)/C23)*100</f>
        <v>0</v>
      </c>
      <c r="H23" s="657">
        <f t="shared" ref="H23:H28" si="2">D23-E23</f>
        <v>0</v>
      </c>
      <c r="I23" s="625">
        <f t="shared" ref="I23:I28" si="3">IF(E23&lt;&gt;0,(D23-E23)/E23)*100</f>
        <v>0</v>
      </c>
      <c r="J23"/>
    </row>
    <row r="24" spans="1:10" ht="15" customHeight="1" x14ac:dyDescent="0.25">
      <c r="A24" s="643" t="s">
        <v>126</v>
      </c>
      <c r="B24" s="644"/>
      <c r="C24" s="645"/>
      <c r="D24" s="644"/>
      <c r="E24" s="645"/>
      <c r="F24" s="646">
        <f t="shared" si="0"/>
        <v>0</v>
      </c>
      <c r="G24" s="647">
        <f t="shared" si="1"/>
        <v>0</v>
      </c>
      <c r="H24" s="646">
        <f t="shared" si="2"/>
        <v>0</v>
      </c>
      <c r="I24" s="647">
        <f t="shared" si="3"/>
        <v>0</v>
      </c>
      <c r="J24"/>
    </row>
    <row r="25" spans="1:10" ht="15" customHeight="1" x14ac:dyDescent="0.25">
      <c r="A25" s="643" t="s">
        <v>127</v>
      </c>
      <c r="B25" s="644"/>
      <c r="C25" s="644"/>
      <c r="D25" s="644"/>
      <c r="E25" s="645"/>
      <c r="F25" s="646">
        <f t="shared" si="0"/>
        <v>0</v>
      </c>
      <c r="G25" s="647">
        <f t="shared" si="1"/>
        <v>0</v>
      </c>
      <c r="H25" s="646">
        <f t="shared" si="2"/>
        <v>0</v>
      </c>
      <c r="I25" s="647">
        <f t="shared" si="3"/>
        <v>0</v>
      </c>
      <c r="J25"/>
    </row>
    <row r="26" spans="1:10" ht="15" customHeight="1" x14ac:dyDescent="0.25">
      <c r="A26" s="658" t="s">
        <v>128</v>
      </c>
      <c r="B26" s="644"/>
      <c r="C26" s="645"/>
      <c r="D26" s="644"/>
      <c r="E26" s="645"/>
      <c r="F26" s="646">
        <f t="shared" si="0"/>
        <v>0</v>
      </c>
      <c r="G26" s="647">
        <f t="shared" si="1"/>
        <v>0</v>
      </c>
      <c r="H26" s="646">
        <f t="shared" si="2"/>
        <v>0</v>
      </c>
      <c r="I26" s="647">
        <f t="shared" si="3"/>
        <v>0</v>
      </c>
      <c r="J26"/>
    </row>
    <row r="27" spans="1:10" ht="15" customHeight="1" x14ac:dyDescent="0.25">
      <c r="A27" s="643" t="s">
        <v>129</v>
      </c>
      <c r="B27" s="644"/>
      <c r="C27" s="645"/>
      <c r="D27" s="644"/>
      <c r="E27" s="645"/>
      <c r="F27" s="646">
        <f t="shared" si="0"/>
        <v>0</v>
      </c>
      <c r="G27" s="647">
        <f t="shared" si="1"/>
        <v>0</v>
      </c>
      <c r="H27" s="646">
        <f t="shared" si="2"/>
        <v>0</v>
      </c>
      <c r="I27" s="647">
        <f t="shared" si="3"/>
        <v>0</v>
      </c>
      <c r="J27"/>
    </row>
    <row r="28" spans="1:10" ht="15" customHeight="1" x14ac:dyDescent="0.25">
      <c r="A28" s="643" t="s">
        <v>130</v>
      </c>
      <c r="B28" s="644"/>
      <c r="C28" s="644"/>
      <c r="D28" s="644"/>
      <c r="E28" s="645"/>
      <c r="F28" s="646">
        <f t="shared" si="0"/>
        <v>0</v>
      </c>
      <c r="G28" s="647">
        <f t="shared" si="1"/>
        <v>0</v>
      </c>
      <c r="H28" s="646">
        <f t="shared" si="2"/>
        <v>0</v>
      </c>
      <c r="I28" s="647">
        <f t="shared" si="3"/>
        <v>0</v>
      </c>
      <c r="J28"/>
    </row>
    <row r="29" spans="1:10" ht="15" customHeight="1" x14ac:dyDescent="0.25">
      <c r="A29" s="643"/>
      <c r="B29" s="627"/>
      <c r="C29" s="628"/>
      <c r="D29" s="627"/>
      <c r="E29" s="628"/>
      <c r="F29" s="657"/>
      <c r="G29" s="625"/>
      <c r="H29" s="624"/>
      <c r="I29" s="629"/>
      <c r="J29"/>
    </row>
    <row r="30" spans="1:10" ht="15" customHeight="1" x14ac:dyDescent="0.25">
      <c r="A30" s="643"/>
      <c r="B30" s="627"/>
      <c r="C30" s="628"/>
      <c r="D30" s="627"/>
      <c r="E30" s="628"/>
      <c r="F30" s="657"/>
      <c r="G30" s="625"/>
      <c r="H30" s="624"/>
      <c r="I30" s="629"/>
      <c r="J30"/>
    </row>
    <row r="31" spans="1:10" ht="15" customHeight="1" thickBot="1" x14ac:dyDescent="0.3">
      <c r="A31" s="371" t="s">
        <v>109</v>
      </c>
      <c r="B31" s="630"/>
      <c r="C31" s="631"/>
      <c r="D31" s="630"/>
      <c r="E31" s="631"/>
      <c r="F31" s="632"/>
      <c r="G31" s="633"/>
      <c r="H31" s="634"/>
      <c r="I31" s="635"/>
      <c r="J31"/>
    </row>
    <row r="32" spans="1:10" ht="15" customHeight="1" thickBot="1" x14ac:dyDescent="0.3">
      <c r="A32" s="372" t="s">
        <v>131</v>
      </c>
      <c r="B32" s="90"/>
      <c r="C32" s="91"/>
      <c r="D32" s="90"/>
      <c r="E32" s="91"/>
      <c r="F32" s="91">
        <f>B32-C32</f>
        <v>0</v>
      </c>
      <c r="G32" s="92">
        <f>IF(C32&lt;&gt;0,(B32-C32)/C32)*100</f>
        <v>0</v>
      </c>
      <c r="H32" s="91">
        <f>D32-E32</f>
        <v>0</v>
      </c>
      <c r="I32" s="92">
        <f>IF(E32&lt;&gt;0,(D32-E32)/E32)*100</f>
        <v>0</v>
      </c>
      <c r="J32"/>
    </row>
    <row r="33" spans="1:10" ht="15" customHeight="1" thickBot="1" x14ac:dyDescent="0.3">
      <c r="A33" s="373" t="s">
        <v>132</v>
      </c>
      <c r="B33" s="90"/>
      <c r="C33" s="91"/>
      <c r="D33" s="90"/>
      <c r="E33" s="91"/>
      <c r="F33" s="91">
        <f>B33-C33</f>
        <v>0</v>
      </c>
      <c r="G33" s="92">
        <f>IF(C33&lt;&gt;0,(B33-C33)/C33)*100</f>
        <v>0</v>
      </c>
      <c r="H33" s="91">
        <f>D33-E33</f>
        <v>0</v>
      </c>
      <c r="I33" s="92">
        <f>IF(E33&lt;&gt;0,(D33-E33)/E33)*100</f>
        <v>0</v>
      </c>
      <c r="J33"/>
    </row>
    <row r="34" spans="1:10" ht="15" customHeight="1" x14ac:dyDescent="0.25">
      <c r="A34" s="374"/>
      <c r="B34" s="94"/>
      <c r="C34" s="94"/>
      <c r="D34" s="94"/>
      <c r="E34" s="94"/>
      <c r="F34" s="95"/>
      <c r="G34" s="95"/>
      <c r="H34" s="95"/>
      <c r="I34" s="95"/>
      <c r="J34"/>
    </row>
    <row r="35" spans="1:10" ht="15" customHeight="1" x14ac:dyDescent="0.25">
      <c r="A35" s="375"/>
      <c r="B35" s="96"/>
      <c r="C35" s="97"/>
      <c r="D35" s="97"/>
      <c r="E35" s="97"/>
      <c r="F35" s="66"/>
      <c r="G35" s="66"/>
      <c r="H35" s="66"/>
      <c r="I35" s="66"/>
      <c r="J35"/>
    </row>
    <row r="36" spans="1:10" ht="15" customHeight="1" thickBot="1" x14ac:dyDescent="0.3">
      <c r="A36" s="98" t="s">
        <v>133</v>
      </c>
      <c r="B36" s="836"/>
      <c r="C36" s="836"/>
      <c r="D36" s="99"/>
      <c r="E36" s="99"/>
      <c r="F36" s="66"/>
      <c r="G36" s="66"/>
      <c r="H36" s="66"/>
      <c r="I36" s="66"/>
      <c r="J36"/>
    </row>
    <row r="37" spans="1:10" ht="15" customHeight="1" thickBot="1" x14ac:dyDescent="0.3">
      <c r="A37" s="846" t="s">
        <v>134</v>
      </c>
      <c r="B37" s="818" t="s">
        <v>105</v>
      </c>
      <c r="C37" s="819"/>
      <c r="D37" s="818" t="s">
        <v>106</v>
      </c>
      <c r="E37" s="819"/>
      <c r="F37" s="804" t="s">
        <v>107</v>
      </c>
      <c r="G37" s="805"/>
      <c r="H37" s="805"/>
      <c r="I37" s="806"/>
      <c r="J37"/>
    </row>
    <row r="38" spans="1:10" ht="15" customHeight="1" thickBot="1" x14ac:dyDescent="0.3">
      <c r="A38" s="847"/>
      <c r="B38" s="399">
        <v>2023</v>
      </c>
      <c r="C38" s="399">
        <v>2022</v>
      </c>
      <c r="D38" s="399">
        <v>2023</v>
      </c>
      <c r="E38" s="400">
        <v>2022</v>
      </c>
      <c r="F38" s="804" t="s">
        <v>105</v>
      </c>
      <c r="G38" s="806"/>
      <c r="H38" s="804" t="s">
        <v>106</v>
      </c>
      <c r="I38" s="806"/>
      <c r="J38"/>
    </row>
    <row r="39" spans="1:10" ht="15" customHeight="1" x14ac:dyDescent="0.25">
      <c r="A39" s="376"/>
      <c r="B39" s="826"/>
      <c r="C39" s="827"/>
      <c r="D39" s="827"/>
      <c r="E39" s="828"/>
      <c r="F39" s="814" t="s">
        <v>110</v>
      </c>
      <c r="G39" s="816" t="s">
        <v>111</v>
      </c>
      <c r="H39" s="816" t="s">
        <v>112</v>
      </c>
      <c r="I39" s="816" t="s">
        <v>111</v>
      </c>
      <c r="J39"/>
    </row>
    <row r="40" spans="1:10" ht="15" customHeight="1" thickBot="1" x14ac:dyDescent="0.3">
      <c r="A40" s="377" t="s">
        <v>113</v>
      </c>
      <c r="B40" s="829"/>
      <c r="C40" s="830"/>
      <c r="D40" s="830"/>
      <c r="E40" s="831"/>
      <c r="F40" s="815"/>
      <c r="G40" s="817"/>
      <c r="H40" s="817"/>
      <c r="I40" s="817"/>
      <c r="J40"/>
    </row>
    <row r="41" spans="1:10" ht="15" customHeight="1" thickBot="1" x14ac:dyDescent="0.3">
      <c r="A41" s="378" t="s">
        <v>135</v>
      </c>
      <c r="B41" s="103"/>
      <c r="C41" s="104"/>
      <c r="D41" s="104"/>
      <c r="E41" s="104"/>
      <c r="F41" s="104">
        <f t="shared" ref="F41:F48" si="4">B41-C41</f>
        <v>0</v>
      </c>
      <c r="G41" s="105">
        <f t="shared" ref="G41:G48" si="5">IF(C41&lt;&gt;0,(B41-C41)/C41)*100</f>
        <v>0</v>
      </c>
      <c r="H41" s="104">
        <f t="shared" ref="H41:H48" si="6">D41-E41</f>
        <v>0</v>
      </c>
      <c r="I41" s="105">
        <f t="shared" ref="I41:I48" si="7">IF(E41&lt;&gt;0,(D41-E41)/E41)*100</f>
        <v>0</v>
      </c>
      <c r="J41"/>
    </row>
    <row r="42" spans="1:10" ht="15" customHeight="1" x14ac:dyDescent="0.25">
      <c r="A42" s="378" t="s">
        <v>136</v>
      </c>
      <c r="B42" s="745"/>
      <c r="C42" s="746"/>
      <c r="D42" s="746"/>
      <c r="E42" s="746"/>
      <c r="F42" s="646">
        <f t="shared" si="4"/>
        <v>0</v>
      </c>
      <c r="G42" s="647">
        <f t="shared" si="5"/>
        <v>0</v>
      </c>
      <c r="H42" s="646">
        <f t="shared" si="6"/>
        <v>0</v>
      </c>
      <c r="I42" s="647">
        <f t="shared" si="7"/>
        <v>0</v>
      </c>
      <c r="J42"/>
    </row>
    <row r="43" spans="1:10" ht="15" customHeight="1" x14ac:dyDescent="0.25">
      <c r="A43" s="378" t="s">
        <v>116</v>
      </c>
      <c r="B43" s="745"/>
      <c r="C43" s="746"/>
      <c r="D43" s="746"/>
      <c r="E43" s="746"/>
      <c r="F43" s="646">
        <f t="shared" si="4"/>
        <v>0</v>
      </c>
      <c r="G43" s="647">
        <f t="shared" si="5"/>
        <v>0</v>
      </c>
      <c r="H43" s="646">
        <f t="shared" si="6"/>
        <v>0</v>
      </c>
      <c r="I43" s="647">
        <f t="shared" si="7"/>
        <v>0</v>
      </c>
      <c r="J43"/>
    </row>
    <row r="44" spans="1:10" ht="15" customHeight="1" x14ac:dyDescent="0.25">
      <c r="A44" s="378" t="s">
        <v>137</v>
      </c>
      <c r="B44" s="745"/>
      <c r="C44" s="746"/>
      <c r="D44" s="746"/>
      <c r="E44" s="746"/>
      <c r="F44" s="646">
        <f t="shared" si="4"/>
        <v>0</v>
      </c>
      <c r="G44" s="647">
        <f t="shared" si="5"/>
        <v>0</v>
      </c>
      <c r="H44" s="646">
        <f t="shared" si="6"/>
        <v>0</v>
      </c>
      <c r="I44" s="647">
        <f t="shared" si="7"/>
        <v>0</v>
      </c>
      <c r="J44"/>
    </row>
    <row r="45" spans="1:10" ht="15" customHeight="1" x14ac:dyDescent="0.25">
      <c r="A45" s="378" t="s">
        <v>143</v>
      </c>
      <c r="B45" s="745"/>
      <c r="C45" s="746"/>
      <c r="D45" s="746"/>
      <c r="E45" s="746"/>
      <c r="F45" s="646">
        <f t="shared" si="4"/>
        <v>0</v>
      </c>
      <c r="G45" s="647">
        <f t="shared" si="5"/>
        <v>0</v>
      </c>
      <c r="H45" s="646">
        <f t="shared" si="6"/>
        <v>0</v>
      </c>
      <c r="I45" s="647">
        <f t="shared" si="7"/>
        <v>0</v>
      </c>
      <c r="J45"/>
    </row>
    <row r="46" spans="1:10" ht="15" customHeight="1" x14ac:dyDescent="0.25">
      <c r="A46" s="378" t="s">
        <v>139</v>
      </c>
      <c r="B46" s="661"/>
      <c r="C46" s="644"/>
      <c r="D46" s="746"/>
      <c r="E46" s="746"/>
      <c r="F46" s="646">
        <f t="shared" si="4"/>
        <v>0</v>
      </c>
      <c r="G46" s="647">
        <f t="shared" si="5"/>
        <v>0</v>
      </c>
      <c r="H46" s="646">
        <f t="shared" si="6"/>
        <v>0</v>
      </c>
      <c r="I46" s="647">
        <f t="shared" si="7"/>
        <v>0</v>
      </c>
      <c r="J46"/>
    </row>
    <row r="47" spans="1:10" ht="15" customHeight="1" thickBot="1" x14ac:dyDescent="0.3">
      <c r="A47" s="378" t="s">
        <v>140</v>
      </c>
      <c r="B47" s="662"/>
      <c r="C47" s="663"/>
      <c r="D47" s="664"/>
      <c r="E47" s="665"/>
      <c r="F47" s="646">
        <f t="shared" si="4"/>
        <v>0</v>
      </c>
      <c r="G47" s="647">
        <f t="shared" si="5"/>
        <v>0</v>
      </c>
      <c r="H47" s="646">
        <f t="shared" si="6"/>
        <v>0</v>
      </c>
      <c r="I47" s="647">
        <f t="shared" si="7"/>
        <v>0</v>
      </c>
      <c r="J47"/>
    </row>
    <row r="48" spans="1:10" ht="15" customHeight="1" thickBot="1" x14ac:dyDescent="0.3">
      <c r="A48" s="379" t="s">
        <v>123</v>
      </c>
      <c r="B48" s="91"/>
      <c r="C48" s="91"/>
      <c r="D48" s="91"/>
      <c r="E48" s="91"/>
      <c r="F48" s="91">
        <f t="shared" si="4"/>
        <v>0</v>
      </c>
      <c r="G48" s="92">
        <f t="shared" si="5"/>
        <v>0</v>
      </c>
      <c r="H48" s="91">
        <f t="shared" si="6"/>
        <v>0</v>
      </c>
      <c r="I48" s="92">
        <f t="shared" si="7"/>
        <v>0</v>
      </c>
      <c r="J48"/>
    </row>
    <row r="49" spans="1:10" ht="15" customHeight="1" thickBot="1" x14ac:dyDescent="0.3">
      <c r="A49" s="377" t="s">
        <v>124</v>
      </c>
      <c r="B49" s="114"/>
      <c r="C49" s="115"/>
      <c r="D49" s="115"/>
      <c r="E49" s="115"/>
      <c r="F49" s="116"/>
      <c r="G49" s="117"/>
      <c r="H49" s="116"/>
      <c r="I49" s="124"/>
      <c r="J49"/>
    </row>
    <row r="50" spans="1:10" ht="15" customHeight="1" thickBot="1" x14ac:dyDescent="0.3">
      <c r="A50" s="378" t="s">
        <v>125</v>
      </c>
      <c r="B50" s="103"/>
      <c r="C50" s="104"/>
      <c r="D50" s="104"/>
      <c r="E50" s="104"/>
      <c r="F50" s="104">
        <f t="shared" ref="F50:F55" si="8">B50-C50</f>
        <v>0</v>
      </c>
      <c r="G50" s="105">
        <f t="shared" ref="G50:G55" si="9">IF(C50&lt;&gt;0,(B50-C50)/C50)*100</f>
        <v>0</v>
      </c>
      <c r="H50" s="104">
        <f t="shared" ref="H50:H55" si="10">D50-E50</f>
        <v>0</v>
      </c>
      <c r="I50" s="105">
        <f t="shared" ref="I50:I55" si="11">IF(E50&lt;&gt;0,(D50-E50)/E50)*100</f>
        <v>0</v>
      </c>
      <c r="J50"/>
    </row>
    <row r="51" spans="1:10" ht="15" customHeight="1" x14ac:dyDescent="0.25">
      <c r="A51" s="380" t="s">
        <v>126</v>
      </c>
      <c r="B51" s="645"/>
      <c r="C51" s="645"/>
      <c r="D51" s="645"/>
      <c r="E51" s="645"/>
      <c r="F51" s="646">
        <f t="shared" si="8"/>
        <v>0</v>
      </c>
      <c r="G51" s="647">
        <f t="shared" si="9"/>
        <v>0</v>
      </c>
      <c r="H51" s="646">
        <f t="shared" si="10"/>
        <v>0</v>
      </c>
      <c r="I51" s="647">
        <f t="shared" si="11"/>
        <v>0</v>
      </c>
      <c r="J51"/>
    </row>
    <row r="52" spans="1:10" ht="15" customHeight="1" x14ac:dyDescent="0.25">
      <c r="A52" s="380" t="s">
        <v>127</v>
      </c>
      <c r="B52" s="645"/>
      <c r="C52" s="645"/>
      <c r="D52" s="645"/>
      <c r="E52" s="645"/>
      <c r="F52" s="646">
        <f t="shared" si="8"/>
        <v>0</v>
      </c>
      <c r="G52" s="647">
        <f t="shared" si="9"/>
        <v>0</v>
      </c>
      <c r="H52" s="646">
        <f t="shared" si="10"/>
        <v>0</v>
      </c>
      <c r="I52" s="647">
        <f t="shared" si="11"/>
        <v>0</v>
      </c>
      <c r="J52"/>
    </row>
    <row r="53" spans="1:10" ht="15" customHeight="1" x14ac:dyDescent="0.25">
      <c r="A53" s="381" t="s">
        <v>141</v>
      </c>
      <c r="B53" s="645"/>
      <c r="C53" s="645"/>
      <c r="D53" s="645"/>
      <c r="E53" s="645"/>
      <c r="F53" s="646">
        <f t="shared" si="8"/>
        <v>0</v>
      </c>
      <c r="G53" s="647">
        <f t="shared" si="9"/>
        <v>0</v>
      </c>
      <c r="H53" s="646">
        <f t="shared" si="10"/>
        <v>0</v>
      </c>
      <c r="I53" s="647">
        <f t="shared" si="11"/>
        <v>0</v>
      </c>
      <c r="J53"/>
    </row>
    <row r="54" spans="1:10" ht="15" customHeight="1" x14ac:dyDescent="0.25">
      <c r="A54" s="380" t="s">
        <v>129</v>
      </c>
      <c r="B54" s="645"/>
      <c r="C54" s="645"/>
      <c r="D54" s="645"/>
      <c r="E54" s="645"/>
      <c r="F54" s="646">
        <f t="shared" si="8"/>
        <v>0</v>
      </c>
      <c r="G54" s="647">
        <f t="shared" si="9"/>
        <v>0</v>
      </c>
      <c r="H54" s="646">
        <f t="shared" si="10"/>
        <v>0</v>
      </c>
      <c r="I54" s="647">
        <f t="shared" si="11"/>
        <v>0</v>
      </c>
      <c r="J54"/>
    </row>
    <row r="55" spans="1:10" ht="15" customHeight="1" x14ac:dyDescent="0.25">
      <c r="A55" s="378" t="s">
        <v>130</v>
      </c>
      <c r="B55" s="645"/>
      <c r="C55" s="645"/>
      <c r="D55" s="645"/>
      <c r="E55" s="645"/>
      <c r="F55" s="646">
        <f t="shared" si="8"/>
        <v>0</v>
      </c>
      <c r="G55" s="647">
        <f t="shared" si="9"/>
        <v>0</v>
      </c>
      <c r="H55" s="646">
        <f t="shared" si="10"/>
        <v>0</v>
      </c>
      <c r="I55" s="647">
        <f t="shared" si="11"/>
        <v>0</v>
      </c>
      <c r="J55"/>
    </row>
    <row r="56" spans="1:10" ht="15" customHeight="1" x14ac:dyDescent="0.25">
      <c r="A56" s="378"/>
      <c r="B56" s="645"/>
      <c r="C56" s="645"/>
      <c r="D56" s="645"/>
      <c r="E56" s="645"/>
      <c r="F56" s="747"/>
      <c r="G56" s="748"/>
      <c r="H56" s="747"/>
      <c r="I56" s="748"/>
      <c r="J56"/>
    </row>
    <row r="57" spans="1:10" ht="15" customHeight="1" x14ac:dyDescent="0.25">
      <c r="A57" s="378"/>
      <c r="B57" s="645"/>
      <c r="C57" s="645"/>
      <c r="D57" s="645"/>
      <c r="E57" s="645"/>
      <c r="F57" s="747"/>
      <c r="G57" s="748"/>
      <c r="H57" s="747"/>
      <c r="I57" s="748"/>
      <c r="J57"/>
    </row>
    <row r="58" spans="1:10" ht="15" customHeight="1" thickBot="1" x14ac:dyDescent="0.3">
      <c r="A58" s="378"/>
      <c r="B58" s="668"/>
      <c r="C58" s="668"/>
      <c r="D58" s="669"/>
      <c r="E58" s="669"/>
      <c r="F58" s="670"/>
      <c r="G58" s="671"/>
      <c r="H58" s="672"/>
      <c r="I58" s="673"/>
      <c r="J58"/>
    </row>
    <row r="59" spans="1:10" ht="15" customHeight="1" thickBot="1" x14ac:dyDescent="0.3">
      <c r="A59" s="379" t="s">
        <v>131</v>
      </c>
      <c r="B59" s="103"/>
      <c r="C59" s="104"/>
      <c r="D59" s="104"/>
      <c r="E59" s="104"/>
      <c r="F59" s="657">
        <f>B59-C59</f>
        <v>0</v>
      </c>
      <c r="G59" s="625">
        <f>IF(C59&lt;&gt;0,(B59-C59)/C59)*100</f>
        <v>0</v>
      </c>
      <c r="H59" s="657">
        <f>D59-E59</f>
        <v>0</v>
      </c>
      <c r="I59" s="625">
        <f>IF(E59&lt;&gt;0,(D59-E59)/E59)*100</f>
        <v>0</v>
      </c>
      <c r="J59"/>
    </row>
    <row r="60" spans="1:10" ht="15" customHeight="1" thickBot="1" x14ac:dyDescent="0.3">
      <c r="A60" s="378"/>
      <c r="B60" s="121"/>
      <c r="C60" s="122"/>
      <c r="D60" s="122"/>
      <c r="E60" s="122"/>
      <c r="F60" s="123"/>
      <c r="G60" s="124"/>
      <c r="H60" s="123"/>
      <c r="I60" s="125"/>
      <c r="J60"/>
    </row>
    <row r="61" spans="1:10" ht="15" customHeight="1" thickBot="1" x14ac:dyDescent="0.3">
      <c r="A61" s="379" t="s">
        <v>132</v>
      </c>
      <c r="B61" s="103"/>
      <c r="C61" s="104"/>
      <c r="D61" s="104"/>
      <c r="E61" s="104"/>
      <c r="F61" s="104">
        <f>B61-C61</f>
        <v>0</v>
      </c>
      <c r="G61" s="105">
        <f>IF(C61&lt;&gt;0,(B61-C61)/C61)*100</f>
        <v>0</v>
      </c>
      <c r="H61" s="104">
        <f>D61-E61</f>
        <v>0</v>
      </c>
      <c r="I61" s="105">
        <f>IF(E61&lt;&gt;0,(D61-E61)/E61)*100</f>
        <v>0</v>
      </c>
      <c r="J61"/>
    </row>
    <row r="62" spans="1:10" ht="15" customHeight="1" x14ac:dyDescent="0.25">
      <c r="A62" s="374"/>
      <c r="B62" s="94"/>
      <c r="C62" s="94"/>
      <c r="D62" s="94"/>
      <c r="E62" s="94"/>
      <c r="F62" s="95"/>
      <c r="G62" s="95"/>
      <c r="H62" s="95"/>
      <c r="I62" s="95"/>
      <c r="J62"/>
    </row>
    <row r="63" spans="1:10" ht="15" customHeight="1" x14ac:dyDescent="0.25">
      <c r="A63" s="382"/>
      <c r="B63" s="127"/>
      <c r="C63" s="126"/>
      <c r="D63" s="126"/>
      <c r="E63" s="126"/>
      <c r="F63" s="66"/>
      <c r="G63" s="66"/>
      <c r="H63" s="66"/>
      <c r="I63" s="66"/>
      <c r="J63"/>
    </row>
    <row r="64" spans="1:10" ht="15" customHeight="1" thickBot="1" x14ac:dyDescent="0.3">
      <c r="A64" s="128" t="s">
        <v>142</v>
      </c>
      <c r="B64" s="836"/>
      <c r="C64" s="836"/>
      <c r="D64" s="129"/>
      <c r="E64" s="129"/>
      <c r="F64" s="66"/>
      <c r="G64" s="66"/>
      <c r="H64" s="66"/>
      <c r="I64" s="66"/>
      <c r="J64"/>
    </row>
    <row r="65" spans="1:10" ht="15" customHeight="1" thickBot="1" x14ac:dyDescent="0.3">
      <c r="A65" s="848" t="s">
        <v>134</v>
      </c>
      <c r="B65" s="820" t="s">
        <v>105</v>
      </c>
      <c r="C65" s="821"/>
      <c r="D65" s="820" t="s">
        <v>106</v>
      </c>
      <c r="E65" s="821"/>
      <c r="F65" s="804" t="s">
        <v>107</v>
      </c>
      <c r="G65" s="805"/>
      <c r="H65" s="805"/>
      <c r="I65" s="806"/>
      <c r="J65"/>
    </row>
    <row r="66" spans="1:10" ht="15" customHeight="1" thickBot="1" x14ac:dyDescent="0.3">
      <c r="A66" s="849"/>
      <c r="B66" s="324">
        <v>2023</v>
      </c>
      <c r="C66" s="324">
        <v>2022</v>
      </c>
      <c r="D66" s="324">
        <v>2023</v>
      </c>
      <c r="E66" s="71">
        <v>2022</v>
      </c>
      <c r="F66" s="804" t="s">
        <v>105</v>
      </c>
      <c r="G66" s="806"/>
      <c r="H66" s="804" t="s">
        <v>106</v>
      </c>
      <c r="I66" s="806"/>
      <c r="J66"/>
    </row>
    <row r="67" spans="1:10" ht="15" customHeight="1" x14ac:dyDescent="0.25">
      <c r="A67" s="383"/>
      <c r="B67" s="807"/>
      <c r="C67" s="808"/>
      <c r="D67" s="808"/>
      <c r="E67" s="809"/>
      <c r="F67" s="814" t="s">
        <v>110</v>
      </c>
      <c r="G67" s="816" t="s">
        <v>111</v>
      </c>
      <c r="H67" s="816" t="s">
        <v>112</v>
      </c>
      <c r="I67" s="816" t="s">
        <v>111</v>
      </c>
      <c r="J67"/>
    </row>
    <row r="68" spans="1:10" ht="15" customHeight="1" thickBot="1" x14ac:dyDescent="0.3">
      <c r="A68" s="384" t="s">
        <v>113</v>
      </c>
      <c r="B68" s="810"/>
      <c r="C68" s="811"/>
      <c r="D68" s="811"/>
      <c r="E68" s="812"/>
      <c r="F68" s="815"/>
      <c r="G68" s="817"/>
      <c r="H68" s="817"/>
      <c r="I68" s="817"/>
      <c r="J68"/>
    </row>
    <row r="69" spans="1:10" ht="15" customHeight="1" thickBot="1" x14ac:dyDescent="0.3">
      <c r="A69" s="385" t="s">
        <v>135</v>
      </c>
      <c r="B69" s="133">
        <f>B70+B71+B72</f>
        <v>0</v>
      </c>
      <c r="C69" s="91">
        <f>C70+C71+C72</f>
        <v>0</v>
      </c>
      <c r="D69" s="91">
        <f>D70+D71+D72</f>
        <v>0</v>
      </c>
      <c r="E69" s="91">
        <f>E70+E71+E72</f>
        <v>0</v>
      </c>
      <c r="F69" s="91">
        <f t="shared" ref="F69:F75" si="12">B69-C69</f>
        <v>0</v>
      </c>
      <c r="G69" s="92">
        <f t="shared" ref="G69:G75" si="13">IF(C69&lt;&gt;0,(B69-C69)/C69)*100</f>
        <v>0</v>
      </c>
      <c r="H69" s="91">
        <f t="shared" ref="H69:H75" si="14">D69-E69</f>
        <v>0</v>
      </c>
      <c r="I69" s="92">
        <f t="shared" ref="I69:I75" si="15">IF(E69&lt;&gt;0,(D69-E69)/E69)*100</f>
        <v>0</v>
      </c>
      <c r="J69"/>
    </row>
    <row r="70" spans="1:10" ht="15" customHeight="1" x14ac:dyDescent="0.25">
      <c r="A70" s="385" t="s">
        <v>136</v>
      </c>
      <c r="B70" s="745">
        <f t="shared" ref="B70:E71" si="16">B42+B98</f>
        <v>0</v>
      </c>
      <c r="C70" s="745">
        <f t="shared" si="16"/>
        <v>0</v>
      </c>
      <c r="D70" s="745">
        <f t="shared" si="16"/>
        <v>0</v>
      </c>
      <c r="E70" s="745">
        <f t="shared" si="16"/>
        <v>0</v>
      </c>
      <c r="F70" s="646">
        <f t="shared" si="12"/>
        <v>0</v>
      </c>
      <c r="G70" s="647">
        <f t="shared" si="13"/>
        <v>0</v>
      </c>
      <c r="H70" s="646">
        <f t="shared" si="14"/>
        <v>0</v>
      </c>
      <c r="I70" s="647">
        <f t="shared" si="15"/>
        <v>0</v>
      </c>
      <c r="J70"/>
    </row>
    <row r="71" spans="1:10" ht="15" customHeight="1" x14ac:dyDescent="0.25">
      <c r="A71" s="385" t="s">
        <v>116</v>
      </c>
      <c r="B71" s="745">
        <f t="shared" si="16"/>
        <v>0</v>
      </c>
      <c r="C71" s="745">
        <f t="shared" si="16"/>
        <v>0</v>
      </c>
      <c r="D71" s="745">
        <f t="shared" si="16"/>
        <v>0</v>
      </c>
      <c r="E71" s="745">
        <f t="shared" si="16"/>
        <v>0</v>
      </c>
      <c r="F71" s="646">
        <f t="shared" si="12"/>
        <v>0</v>
      </c>
      <c r="G71" s="647">
        <f t="shared" si="13"/>
        <v>0</v>
      </c>
      <c r="H71" s="646">
        <f t="shared" si="14"/>
        <v>0</v>
      </c>
      <c r="I71" s="647">
        <f t="shared" si="15"/>
        <v>0</v>
      </c>
      <c r="J71"/>
    </row>
    <row r="72" spans="1:10" ht="15" customHeight="1" x14ac:dyDescent="0.25">
      <c r="A72" s="385" t="s">
        <v>143</v>
      </c>
      <c r="B72" s="745">
        <f t="shared" ref="B72:E74" si="17">B45+B100</f>
        <v>0</v>
      </c>
      <c r="C72" s="745">
        <f t="shared" si="17"/>
        <v>0</v>
      </c>
      <c r="D72" s="745">
        <f t="shared" si="17"/>
        <v>0</v>
      </c>
      <c r="E72" s="745">
        <f t="shared" si="17"/>
        <v>0</v>
      </c>
      <c r="F72" s="646">
        <f t="shared" si="12"/>
        <v>0</v>
      </c>
      <c r="G72" s="647">
        <f t="shared" si="13"/>
        <v>0</v>
      </c>
      <c r="H72" s="646">
        <f t="shared" si="14"/>
        <v>0</v>
      </c>
      <c r="I72" s="647">
        <f t="shared" si="15"/>
        <v>0</v>
      </c>
      <c r="J72"/>
    </row>
    <row r="73" spans="1:10" ht="15" customHeight="1" x14ac:dyDescent="0.25">
      <c r="A73" s="385" t="s">
        <v>139</v>
      </c>
      <c r="B73" s="745">
        <f t="shared" si="17"/>
        <v>0</v>
      </c>
      <c r="C73" s="745">
        <f t="shared" si="17"/>
        <v>0</v>
      </c>
      <c r="D73" s="745">
        <f t="shared" si="17"/>
        <v>0</v>
      </c>
      <c r="E73" s="745">
        <f t="shared" si="17"/>
        <v>0</v>
      </c>
      <c r="F73" s="646">
        <f t="shared" si="12"/>
        <v>0</v>
      </c>
      <c r="G73" s="647">
        <f t="shared" si="13"/>
        <v>0</v>
      </c>
      <c r="H73" s="646">
        <f t="shared" si="14"/>
        <v>0</v>
      </c>
      <c r="I73" s="647">
        <f t="shared" si="15"/>
        <v>0</v>
      </c>
      <c r="J73"/>
    </row>
    <row r="74" spans="1:10" ht="15" customHeight="1" thickBot="1" x14ac:dyDescent="0.3">
      <c r="A74" s="385" t="s">
        <v>140</v>
      </c>
      <c r="B74" s="745">
        <f t="shared" si="17"/>
        <v>0</v>
      </c>
      <c r="C74" s="745">
        <f t="shared" si="17"/>
        <v>0</v>
      </c>
      <c r="D74" s="745">
        <f t="shared" si="17"/>
        <v>0</v>
      </c>
      <c r="E74" s="745">
        <f t="shared" si="17"/>
        <v>0</v>
      </c>
      <c r="F74" s="646">
        <f t="shared" si="12"/>
        <v>0</v>
      </c>
      <c r="G74" s="647">
        <f t="shared" si="13"/>
        <v>0</v>
      </c>
      <c r="H74" s="646">
        <f t="shared" si="14"/>
        <v>0</v>
      </c>
      <c r="I74" s="647">
        <f t="shared" si="15"/>
        <v>0</v>
      </c>
      <c r="J74"/>
    </row>
    <row r="75" spans="1:10" ht="15" customHeight="1" thickBot="1" x14ac:dyDescent="0.3">
      <c r="A75" s="386" t="s">
        <v>123</v>
      </c>
      <c r="B75" s="135">
        <f>B69+B73+B74</f>
        <v>0</v>
      </c>
      <c r="C75" s="90">
        <f>C69+C73+C74</f>
        <v>0</v>
      </c>
      <c r="D75" s="90">
        <f>D69+D73+D74</f>
        <v>0</v>
      </c>
      <c r="E75" s="91">
        <f>E69+E73+E74</f>
        <v>0</v>
      </c>
      <c r="F75" s="82">
        <f t="shared" si="12"/>
        <v>0</v>
      </c>
      <c r="G75" s="83">
        <f t="shared" si="13"/>
        <v>0</v>
      </c>
      <c r="H75" s="82">
        <f t="shared" si="14"/>
        <v>0</v>
      </c>
      <c r="I75" s="83">
        <f t="shared" si="15"/>
        <v>0</v>
      </c>
      <c r="J75"/>
    </row>
    <row r="76" spans="1:10" ht="15" customHeight="1" x14ac:dyDescent="0.25">
      <c r="A76" s="387"/>
      <c r="B76" s="107"/>
      <c r="C76" s="108"/>
      <c r="D76" s="108"/>
      <c r="E76" s="108"/>
      <c r="F76" s="110"/>
      <c r="G76" s="110"/>
      <c r="H76" s="110"/>
      <c r="I76" s="137"/>
      <c r="J76"/>
    </row>
    <row r="77" spans="1:10" ht="15" customHeight="1" thickBot="1" x14ac:dyDescent="0.3">
      <c r="A77" s="384" t="s">
        <v>124</v>
      </c>
      <c r="B77" s="114"/>
      <c r="C77" s="115"/>
      <c r="D77" s="115"/>
      <c r="E77" s="115"/>
      <c r="F77" s="116"/>
      <c r="G77" s="116"/>
      <c r="H77" s="116"/>
      <c r="I77" s="138"/>
      <c r="J77"/>
    </row>
    <row r="78" spans="1:10" ht="15" customHeight="1" thickBot="1" x14ac:dyDescent="0.3">
      <c r="A78" s="385" t="s">
        <v>125</v>
      </c>
      <c r="B78" s="133">
        <f>SUM(B79:B82)</f>
        <v>0</v>
      </c>
      <c r="C78" s="91">
        <f>SUM(C79:C82)</f>
        <v>0</v>
      </c>
      <c r="D78" s="91">
        <f>SUM(D79:D82)</f>
        <v>0</v>
      </c>
      <c r="E78" s="91">
        <f>SUM(E79:E82)</f>
        <v>0</v>
      </c>
      <c r="F78" s="91">
        <f t="shared" ref="F78:F83" si="18">B78-C78</f>
        <v>0</v>
      </c>
      <c r="G78" s="92">
        <f t="shared" ref="G78:G83" si="19">IF(C78&lt;&gt;0,(B78-C78)/C78)*100</f>
        <v>0</v>
      </c>
      <c r="H78" s="91">
        <f t="shared" ref="H78:H83" si="20">D78-E78</f>
        <v>0</v>
      </c>
      <c r="I78" s="92">
        <f t="shared" ref="I78:I83" si="21">IF(E78&lt;&gt;0,(D78-E78)/E78)*100</f>
        <v>0</v>
      </c>
      <c r="J78"/>
    </row>
    <row r="79" spans="1:10" ht="15" customHeight="1" x14ac:dyDescent="0.25">
      <c r="A79" s="380" t="s">
        <v>126</v>
      </c>
      <c r="B79" s="745">
        <f t="shared" ref="B79:E83" si="22">B51+B107</f>
        <v>0</v>
      </c>
      <c r="C79" s="745">
        <f t="shared" si="22"/>
        <v>0</v>
      </c>
      <c r="D79" s="745">
        <f t="shared" si="22"/>
        <v>0</v>
      </c>
      <c r="E79" s="745">
        <f t="shared" si="22"/>
        <v>0</v>
      </c>
      <c r="F79" s="646">
        <f t="shared" si="18"/>
        <v>0</v>
      </c>
      <c r="G79" s="647">
        <f t="shared" si="19"/>
        <v>0</v>
      </c>
      <c r="H79" s="646">
        <f t="shared" si="20"/>
        <v>0</v>
      </c>
      <c r="I79" s="647">
        <f t="shared" si="21"/>
        <v>0</v>
      </c>
      <c r="J79"/>
    </row>
    <row r="80" spans="1:10" ht="15" customHeight="1" x14ac:dyDescent="0.25">
      <c r="A80" s="380" t="s">
        <v>144</v>
      </c>
      <c r="B80" s="645">
        <f t="shared" si="22"/>
        <v>0</v>
      </c>
      <c r="C80" s="645">
        <f t="shared" si="22"/>
        <v>0</v>
      </c>
      <c r="D80" s="645">
        <f t="shared" si="22"/>
        <v>0</v>
      </c>
      <c r="E80" s="645">
        <f t="shared" si="22"/>
        <v>0</v>
      </c>
      <c r="F80" s="646">
        <f t="shared" si="18"/>
        <v>0</v>
      </c>
      <c r="G80" s="647">
        <f t="shared" si="19"/>
        <v>0</v>
      </c>
      <c r="H80" s="646">
        <f t="shared" si="20"/>
        <v>0</v>
      </c>
      <c r="I80" s="647">
        <f t="shared" si="21"/>
        <v>0</v>
      </c>
      <c r="J80"/>
    </row>
    <row r="81" spans="1:10" ht="15" customHeight="1" x14ac:dyDescent="0.25">
      <c r="A81" s="381" t="s">
        <v>141</v>
      </c>
      <c r="B81" s="745">
        <f t="shared" si="22"/>
        <v>0</v>
      </c>
      <c r="C81" s="745">
        <f t="shared" si="22"/>
        <v>0</v>
      </c>
      <c r="D81" s="745">
        <f t="shared" si="22"/>
        <v>0</v>
      </c>
      <c r="E81" s="745">
        <f t="shared" si="22"/>
        <v>0</v>
      </c>
      <c r="F81" s="646">
        <f t="shared" si="18"/>
        <v>0</v>
      </c>
      <c r="G81" s="647">
        <f t="shared" si="19"/>
        <v>0</v>
      </c>
      <c r="H81" s="646">
        <f t="shared" si="20"/>
        <v>0</v>
      </c>
      <c r="I81" s="647">
        <f t="shared" si="21"/>
        <v>0</v>
      </c>
      <c r="J81"/>
    </row>
    <row r="82" spans="1:10" ht="15" customHeight="1" x14ac:dyDescent="0.25">
      <c r="A82" s="380" t="s">
        <v>129</v>
      </c>
      <c r="B82" s="745">
        <f t="shared" si="22"/>
        <v>0</v>
      </c>
      <c r="C82" s="745">
        <f t="shared" si="22"/>
        <v>0</v>
      </c>
      <c r="D82" s="745">
        <f t="shared" si="22"/>
        <v>0</v>
      </c>
      <c r="E82" s="745">
        <f t="shared" si="22"/>
        <v>0</v>
      </c>
      <c r="F82" s="646">
        <f t="shared" si="18"/>
        <v>0</v>
      </c>
      <c r="G82" s="647">
        <f t="shared" si="19"/>
        <v>0</v>
      </c>
      <c r="H82" s="646">
        <f t="shared" si="20"/>
        <v>0</v>
      </c>
      <c r="I82" s="647">
        <f t="shared" si="21"/>
        <v>0</v>
      </c>
      <c r="J82"/>
    </row>
    <row r="83" spans="1:10" ht="15" customHeight="1" x14ac:dyDescent="0.25">
      <c r="A83" s="385" t="s">
        <v>130</v>
      </c>
      <c r="B83" s="745">
        <f t="shared" si="22"/>
        <v>0</v>
      </c>
      <c r="C83" s="745">
        <f t="shared" si="22"/>
        <v>0</v>
      </c>
      <c r="D83" s="745">
        <f t="shared" si="22"/>
        <v>0</v>
      </c>
      <c r="E83" s="745">
        <f t="shared" si="22"/>
        <v>0</v>
      </c>
      <c r="F83" s="646">
        <f t="shared" si="18"/>
        <v>0</v>
      </c>
      <c r="G83" s="647">
        <f t="shared" si="19"/>
        <v>0</v>
      </c>
      <c r="H83" s="646">
        <f t="shared" si="20"/>
        <v>0</v>
      </c>
      <c r="I83" s="647">
        <f t="shared" si="21"/>
        <v>0</v>
      </c>
      <c r="J83"/>
    </row>
    <row r="84" spans="1:10" ht="15" customHeight="1" x14ac:dyDescent="0.25">
      <c r="A84" s="385"/>
      <c r="B84" s="745"/>
      <c r="C84" s="745"/>
      <c r="D84" s="745"/>
      <c r="E84" s="745"/>
      <c r="F84" s="747"/>
      <c r="G84" s="748"/>
      <c r="H84" s="747"/>
      <c r="I84" s="748"/>
      <c r="J84"/>
    </row>
    <row r="85" spans="1:10" ht="15" customHeight="1" x14ac:dyDescent="0.25">
      <c r="A85" s="385"/>
      <c r="B85" s="745"/>
      <c r="C85" s="745"/>
      <c r="D85" s="745"/>
      <c r="E85" s="745"/>
      <c r="F85" s="747"/>
      <c r="G85" s="748"/>
      <c r="H85" s="747"/>
      <c r="I85" s="748"/>
      <c r="J85"/>
    </row>
    <row r="86" spans="1:10" ht="15" customHeight="1" thickBot="1" x14ac:dyDescent="0.3">
      <c r="A86" s="385"/>
      <c r="B86" s="674"/>
      <c r="C86" s="668"/>
      <c r="D86" s="669"/>
      <c r="E86" s="669"/>
      <c r="F86" s="670"/>
      <c r="G86" s="671"/>
      <c r="H86" s="672"/>
      <c r="I86" s="673"/>
      <c r="J86"/>
    </row>
    <row r="87" spans="1:10" ht="15" customHeight="1" thickBot="1" x14ac:dyDescent="0.3">
      <c r="A87" s="386" t="s">
        <v>131</v>
      </c>
      <c r="B87" s="103">
        <f>B78+B83</f>
        <v>0</v>
      </c>
      <c r="C87" s="104">
        <f>C78+C83</f>
        <v>0</v>
      </c>
      <c r="D87" s="104">
        <f>D78+D83</f>
        <v>0</v>
      </c>
      <c r="E87" s="104">
        <f>E78+E83</f>
        <v>0</v>
      </c>
      <c r="F87" s="657">
        <f>B87-C87</f>
        <v>0</v>
      </c>
      <c r="G87" s="625">
        <f>IF(C87&lt;&gt;0,(B87-C87)/C87)*100</f>
        <v>0</v>
      </c>
      <c r="H87" s="657">
        <f>D87-E87</f>
        <v>0</v>
      </c>
      <c r="I87" s="625">
        <f>IF(E87&lt;&gt;0,(D87-E87)/E87)*100</f>
        <v>0</v>
      </c>
      <c r="J87"/>
    </row>
    <row r="88" spans="1:10" ht="15" customHeight="1" thickBot="1" x14ac:dyDescent="0.3">
      <c r="A88" s="385"/>
      <c r="B88" s="121"/>
      <c r="C88" s="122"/>
      <c r="D88" s="122"/>
      <c r="E88" s="122"/>
      <c r="F88" s="123"/>
      <c r="G88" s="124"/>
      <c r="H88" s="123"/>
      <c r="I88" s="125"/>
      <c r="J88"/>
    </row>
    <row r="89" spans="1:10" ht="15" customHeight="1" thickBot="1" x14ac:dyDescent="0.3">
      <c r="A89" s="386" t="s">
        <v>132</v>
      </c>
      <c r="B89" s="139">
        <f>B75+B87</f>
        <v>0</v>
      </c>
      <c r="C89" s="140">
        <f>C75+C87</f>
        <v>0</v>
      </c>
      <c r="D89" s="140">
        <f>D75+D87</f>
        <v>0</v>
      </c>
      <c r="E89" s="140">
        <f>E75+E87</f>
        <v>0</v>
      </c>
      <c r="F89" s="104">
        <f>B89-C89</f>
        <v>0</v>
      </c>
      <c r="G89" s="105">
        <f>IF(C89&lt;&gt;0,(B89-C89)/C89)*100</f>
        <v>0</v>
      </c>
      <c r="H89" s="104">
        <f>D89-E89</f>
        <v>0</v>
      </c>
      <c r="I89" s="105">
        <f>IF(E89&lt;&gt;0,(D89-E89)/E89)*100</f>
        <v>0</v>
      </c>
      <c r="J89"/>
    </row>
    <row r="90" spans="1:10" ht="15" customHeight="1" x14ac:dyDescent="0.3">
      <c r="A90" s="374"/>
      <c r="B90" s="94"/>
      <c r="C90" s="94"/>
      <c r="D90" s="94"/>
      <c r="E90" s="94"/>
      <c r="J90"/>
    </row>
    <row r="91" spans="1:10" ht="15" customHeight="1" x14ac:dyDescent="0.3">
      <c r="A91" s="382"/>
      <c r="B91" s="97"/>
      <c r="C91" s="97"/>
      <c r="D91" s="97"/>
      <c r="E91" s="97"/>
      <c r="J91"/>
    </row>
    <row r="92" spans="1:10" ht="15" customHeight="1" thickBot="1" x14ac:dyDescent="0.35">
      <c r="A92" s="128" t="s">
        <v>145</v>
      </c>
      <c r="B92" s="836"/>
      <c r="C92" s="836"/>
      <c r="D92" s="129"/>
      <c r="E92" s="129"/>
      <c r="J92"/>
    </row>
    <row r="93" spans="1:10" ht="15" customHeight="1" thickBot="1" x14ac:dyDescent="0.3">
      <c r="A93" s="848" t="s">
        <v>134</v>
      </c>
      <c r="B93" s="820" t="s">
        <v>105</v>
      </c>
      <c r="C93" s="835"/>
      <c r="D93" s="820" t="s">
        <v>106</v>
      </c>
      <c r="E93" s="821"/>
      <c r="F93" s="804" t="s">
        <v>107</v>
      </c>
      <c r="G93" s="805"/>
      <c r="H93" s="805"/>
      <c r="I93" s="806"/>
      <c r="J93"/>
    </row>
    <row r="94" spans="1:10" ht="15" customHeight="1" thickBot="1" x14ac:dyDescent="0.3">
      <c r="A94" s="849"/>
      <c r="B94" s="324">
        <v>2023</v>
      </c>
      <c r="C94" s="324">
        <v>2022</v>
      </c>
      <c r="D94" s="324">
        <v>2023</v>
      </c>
      <c r="E94" s="71">
        <v>2022</v>
      </c>
      <c r="F94" s="804" t="s">
        <v>105</v>
      </c>
      <c r="G94" s="806"/>
      <c r="H94" s="804" t="s">
        <v>106</v>
      </c>
      <c r="I94" s="806"/>
      <c r="J94"/>
    </row>
    <row r="95" spans="1:10" ht="15" customHeight="1" x14ac:dyDescent="0.25">
      <c r="A95" s="383"/>
      <c r="B95" s="807"/>
      <c r="C95" s="808"/>
      <c r="D95" s="808"/>
      <c r="E95" s="809"/>
      <c r="F95" s="814" t="s">
        <v>110</v>
      </c>
      <c r="G95" s="816" t="s">
        <v>111</v>
      </c>
      <c r="H95" s="816" t="s">
        <v>112</v>
      </c>
      <c r="I95" s="816" t="s">
        <v>111</v>
      </c>
      <c r="J95"/>
    </row>
    <row r="96" spans="1:10" ht="15" customHeight="1" thickBot="1" x14ac:dyDescent="0.3">
      <c r="A96" s="384" t="s">
        <v>113</v>
      </c>
      <c r="B96" s="810"/>
      <c r="C96" s="811"/>
      <c r="D96" s="811"/>
      <c r="E96" s="812"/>
      <c r="F96" s="815"/>
      <c r="G96" s="817"/>
      <c r="H96" s="817"/>
      <c r="I96" s="817"/>
      <c r="J96"/>
    </row>
    <row r="97" spans="1:10" ht="15" customHeight="1" thickBot="1" x14ac:dyDescent="0.3">
      <c r="A97" s="385" t="s">
        <v>135</v>
      </c>
      <c r="B97" s="91"/>
      <c r="C97" s="91"/>
      <c r="D97" s="91"/>
      <c r="E97" s="91"/>
      <c r="F97" s="91">
        <f t="shared" ref="F97:F103" si="23">B97-C97</f>
        <v>0</v>
      </c>
      <c r="G97" s="92">
        <f t="shared" ref="G97:G103" si="24">IF(C97&lt;&gt;0,(B97-C97)/C97)*100</f>
        <v>0</v>
      </c>
      <c r="H97" s="91">
        <f t="shared" ref="H97:H103" si="25">D97-E97</f>
        <v>0</v>
      </c>
      <c r="I97" s="92">
        <f t="shared" ref="I97:I103" si="26">IF(E97&lt;&gt;0,(D97-E97)/E97)*100</f>
        <v>0</v>
      </c>
      <c r="J97"/>
    </row>
    <row r="98" spans="1:10" ht="15" customHeight="1" x14ac:dyDescent="0.25">
      <c r="A98" s="385" t="s">
        <v>136</v>
      </c>
      <c r="B98" s="746"/>
      <c r="C98" s="746"/>
      <c r="D98" s="746"/>
      <c r="E98" s="746"/>
      <c r="F98" s="646">
        <f t="shared" si="23"/>
        <v>0</v>
      </c>
      <c r="G98" s="647">
        <f t="shared" si="24"/>
        <v>0</v>
      </c>
      <c r="H98" s="646">
        <f t="shared" si="25"/>
        <v>0</v>
      </c>
      <c r="I98" s="647">
        <f t="shared" si="26"/>
        <v>0</v>
      </c>
      <c r="J98"/>
    </row>
    <row r="99" spans="1:10" ht="15" customHeight="1" x14ac:dyDescent="0.25">
      <c r="A99" s="385" t="s">
        <v>116</v>
      </c>
      <c r="B99" s="746"/>
      <c r="C99" s="746"/>
      <c r="D99" s="746"/>
      <c r="E99" s="746"/>
      <c r="F99" s="646">
        <f t="shared" si="23"/>
        <v>0</v>
      </c>
      <c r="G99" s="647">
        <f t="shared" si="24"/>
        <v>0</v>
      </c>
      <c r="H99" s="646">
        <f t="shared" si="25"/>
        <v>0</v>
      </c>
      <c r="I99" s="647">
        <f t="shared" si="26"/>
        <v>0</v>
      </c>
      <c r="J99"/>
    </row>
    <row r="100" spans="1:10" ht="15" customHeight="1" x14ac:dyDescent="0.25">
      <c r="A100" s="385" t="s">
        <v>143</v>
      </c>
      <c r="B100" s="746"/>
      <c r="C100" s="746"/>
      <c r="D100" s="746"/>
      <c r="E100" s="746"/>
      <c r="F100" s="646">
        <f t="shared" si="23"/>
        <v>0</v>
      </c>
      <c r="G100" s="647">
        <f t="shared" si="24"/>
        <v>0</v>
      </c>
      <c r="H100" s="646">
        <f t="shared" si="25"/>
        <v>0</v>
      </c>
      <c r="I100" s="647">
        <f t="shared" si="26"/>
        <v>0</v>
      </c>
      <c r="J100"/>
    </row>
    <row r="101" spans="1:10" ht="15" customHeight="1" x14ac:dyDescent="0.25">
      <c r="A101" s="385" t="s">
        <v>139</v>
      </c>
      <c r="B101" s="746"/>
      <c r="C101" s="746"/>
      <c r="D101" s="746"/>
      <c r="E101" s="746"/>
      <c r="F101" s="646">
        <f t="shared" si="23"/>
        <v>0</v>
      </c>
      <c r="G101" s="647">
        <f t="shared" si="24"/>
        <v>0</v>
      </c>
      <c r="H101" s="646">
        <f t="shared" si="25"/>
        <v>0</v>
      </c>
      <c r="I101" s="647">
        <f t="shared" si="26"/>
        <v>0</v>
      </c>
      <c r="J101"/>
    </row>
    <row r="102" spans="1:10" ht="15" customHeight="1" thickBot="1" x14ac:dyDescent="0.3">
      <c r="A102" s="385" t="s">
        <v>140</v>
      </c>
      <c r="B102" s="675"/>
      <c r="C102" s="663"/>
      <c r="D102" s="676"/>
      <c r="E102" s="677"/>
      <c r="F102" s="646">
        <f t="shared" si="23"/>
        <v>0</v>
      </c>
      <c r="G102" s="647">
        <f t="shared" si="24"/>
        <v>0</v>
      </c>
      <c r="H102" s="646">
        <f t="shared" si="25"/>
        <v>0</v>
      </c>
      <c r="I102" s="647">
        <f t="shared" si="26"/>
        <v>0</v>
      </c>
      <c r="J102"/>
    </row>
    <row r="103" spans="1:10" ht="15" customHeight="1" thickBot="1" x14ac:dyDescent="0.3">
      <c r="A103" s="386" t="s">
        <v>123</v>
      </c>
      <c r="B103" s="81"/>
      <c r="C103" s="81"/>
      <c r="D103" s="81"/>
      <c r="E103" s="82"/>
      <c r="F103" s="91">
        <f t="shared" si="23"/>
        <v>0</v>
      </c>
      <c r="G103" s="92">
        <f t="shared" si="24"/>
        <v>0</v>
      </c>
      <c r="H103" s="91">
        <f t="shared" si="25"/>
        <v>0</v>
      </c>
      <c r="I103" s="92">
        <f t="shared" si="26"/>
        <v>0</v>
      </c>
      <c r="J103"/>
    </row>
    <row r="104" spans="1:10" ht="15" customHeight="1" x14ac:dyDescent="0.25">
      <c r="A104" s="388"/>
      <c r="B104" s="107"/>
      <c r="C104" s="108"/>
      <c r="D104" s="109"/>
      <c r="E104" s="108"/>
      <c r="F104" s="110"/>
      <c r="G104" s="111"/>
      <c r="H104" s="112"/>
      <c r="I104" s="113"/>
      <c r="J104"/>
    </row>
    <row r="105" spans="1:10" ht="15" customHeight="1" thickBot="1" x14ac:dyDescent="0.3">
      <c r="A105" s="389" t="s">
        <v>124</v>
      </c>
      <c r="B105" s="114"/>
      <c r="C105" s="115"/>
      <c r="D105" s="115"/>
      <c r="E105" s="115"/>
      <c r="F105" s="116"/>
      <c r="G105" s="117"/>
      <c r="H105" s="116"/>
      <c r="I105" s="118"/>
      <c r="J105"/>
    </row>
    <row r="106" spans="1:10" ht="15" customHeight="1" thickBot="1" x14ac:dyDescent="0.3">
      <c r="A106" s="385" t="s">
        <v>125</v>
      </c>
      <c r="B106" s="104"/>
      <c r="C106" s="104"/>
      <c r="D106" s="104"/>
      <c r="E106" s="104"/>
      <c r="F106" s="91">
        <f t="shared" ref="F106:F111" si="27">B106-C106</f>
        <v>0</v>
      </c>
      <c r="G106" s="92">
        <f t="shared" ref="G106:G111" si="28">IF(C106&lt;&gt;0,(B106-C106)/C106)*100</f>
        <v>0</v>
      </c>
      <c r="H106" s="91">
        <f t="shared" ref="H106:H111" si="29">D106-E106</f>
        <v>0</v>
      </c>
      <c r="I106" s="92">
        <f t="shared" ref="I106:I111" si="30">IF(E106&lt;&gt;0,(D106-E106)/E106)*100</f>
        <v>0</v>
      </c>
      <c r="J106"/>
    </row>
    <row r="107" spans="1:10" ht="15" customHeight="1" x14ac:dyDescent="0.25">
      <c r="A107" s="380" t="s">
        <v>126</v>
      </c>
      <c r="B107" s="746"/>
      <c r="C107" s="746"/>
      <c r="D107" s="746"/>
      <c r="E107" s="746"/>
      <c r="F107" s="646">
        <f t="shared" si="27"/>
        <v>0</v>
      </c>
      <c r="G107" s="647">
        <f t="shared" si="28"/>
        <v>0</v>
      </c>
      <c r="H107" s="646">
        <f t="shared" si="29"/>
        <v>0</v>
      </c>
      <c r="I107" s="647">
        <f t="shared" si="30"/>
        <v>0</v>
      </c>
      <c r="J107"/>
    </row>
    <row r="108" spans="1:10" ht="15" customHeight="1" x14ac:dyDescent="0.25">
      <c r="A108" s="380" t="s">
        <v>144</v>
      </c>
      <c r="B108" s="746"/>
      <c r="C108" s="746"/>
      <c r="D108" s="746"/>
      <c r="E108" s="746"/>
      <c r="F108" s="646">
        <f t="shared" si="27"/>
        <v>0</v>
      </c>
      <c r="G108" s="647">
        <f t="shared" si="28"/>
        <v>0</v>
      </c>
      <c r="H108" s="646">
        <f t="shared" si="29"/>
        <v>0</v>
      </c>
      <c r="I108" s="647">
        <f t="shared" si="30"/>
        <v>0</v>
      </c>
      <c r="J108"/>
    </row>
    <row r="109" spans="1:10" ht="15" customHeight="1" x14ac:dyDescent="0.25">
      <c r="A109" s="381" t="s">
        <v>141</v>
      </c>
      <c r="B109" s="645"/>
      <c r="C109" s="645"/>
      <c r="D109" s="645"/>
      <c r="E109" s="645"/>
      <c r="F109" s="646">
        <f t="shared" si="27"/>
        <v>0</v>
      </c>
      <c r="G109" s="647">
        <f t="shared" si="28"/>
        <v>0</v>
      </c>
      <c r="H109" s="646">
        <f t="shared" si="29"/>
        <v>0</v>
      </c>
      <c r="I109" s="647">
        <f t="shared" si="30"/>
        <v>0</v>
      </c>
      <c r="J109"/>
    </row>
    <row r="110" spans="1:10" ht="15" customHeight="1" x14ac:dyDescent="0.25">
      <c r="A110" s="380" t="s">
        <v>129</v>
      </c>
      <c r="B110" s="645"/>
      <c r="C110" s="645"/>
      <c r="D110" s="645"/>
      <c r="E110" s="645"/>
      <c r="F110" s="646">
        <f t="shared" si="27"/>
        <v>0</v>
      </c>
      <c r="G110" s="647">
        <f t="shared" si="28"/>
        <v>0</v>
      </c>
      <c r="H110" s="646">
        <f t="shared" si="29"/>
        <v>0</v>
      </c>
      <c r="I110" s="647">
        <f t="shared" si="30"/>
        <v>0</v>
      </c>
      <c r="J110"/>
    </row>
    <row r="111" spans="1:10" ht="15" customHeight="1" x14ac:dyDescent="0.25">
      <c r="A111" s="385" t="s">
        <v>130</v>
      </c>
      <c r="B111" s="645"/>
      <c r="C111" s="645"/>
      <c r="D111" s="645"/>
      <c r="E111" s="645"/>
      <c r="F111" s="646">
        <f t="shared" si="27"/>
        <v>0</v>
      </c>
      <c r="G111" s="647">
        <f t="shared" si="28"/>
        <v>0</v>
      </c>
      <c r="H111" s="646">
        <f t="shared" si="29"/>
        <v>0</v>
      </c>
      <c r="I111" s="647">
        <f t="shared" si="30"/>
        <v>0</v>
      </c>
      <c r="J111"/>
    </row>
    <row r="112" spans="1:10" ht="15" customHeight="1" x14ac:dyDescent="0.25">
      <c r="A112" s="385"/>
      <c r="B112" s="645"/>
      <c r="C112" s="645"/>
      <c r="D112" s="645"/>
      <c r="E112" s="645"/>
      <c r="F112" s="747"/>
      <c r="G112" s="748"/>
      <c r="H112" s="747"/>
      <c r="I112" s="748"/>
      <c r="J112"/>
    </row>
    <row r="113" spans="1:10" ht="15" customHeight="1" x14ac:dyDescent="0.25">
      <c r="A113" s="385"/>
      <c r="B113" s="645"/>
      <c r="C113" s="645"/>
      <c r="D113" s="645"/>
      <c r="E113" s="645"/>
      <c r="F113" s="747"/>
      <c r="G113" s="748"/>
      <c r="H113" s="747"/>
      <c r="I113" s="748"/>
      <c r="J113"/>
    </row>
    <row r="114" spans="1:10" ht="15" customHeight="1" thickBot="1" x14ac:dyDescent="0.3">
      <c r="A114" s="385"/>
      <c r="B114" s="668"/>
      <c r="C114" s="668"/>
      <c r="D114" s="669"/>
      <c r="E114" s="669"/>
      <c r="F114" s="670"/>
      <c r="G114" s="671"/>
      <c r="H114" s="672"/>
      <c r="I114" s="673"/>
      <c r="J114"/>
    </row>
    <row r="115" spans="1:10" ht="15" customHeight="1" thickBot="1" x14ac:dyDescent="0.3">
      <c r="A115" s="386" t="s">
        <v>131</v>
      </c>
      <c r="B115" s="104"/>
      <c r="C115" s="104"/>
      <c r="D115" s="104"/>
      <c r="E115" s="104"/>
      <c r="F115" s="657">
        <f>B115-C115</f>
        <v>0</v>
      </c>
      <c r="G115" s="625">
        <f>IF(C115&lt;&gt;0,(B115-C115)/C115)*100</f>
        <v>0</v>
      </c>
      <c r="H115" s="657">
        <f>D115-E115</f>
        <v>0</v>
      </c>
      <c r="I115" s="625">
        <f>IF(E115&lt;&gt;0,(D115-E115)/E115)*100</f>
        <v>0</v>
      </c>
      <c r="J115"/>
    </row>
    <row r="116" spans="1:10" ht="15" customHeight="1" thickBot="1" x14ac:dyDescent="0.3">
      <c r="A116" s="385"/>
      <c r="B116" s="121"/>
      <c r="C116" s="122"/>
      <c r="D116" s="122"/>
      <c r="E116" s="122"/>
      <c r="F116" s="123"/>
      <c r="G116" s="124"/>
      <c r="H116" s="123"/>
      <c r="I116" s="125"/>
      <c r="J116"/>
    </row>
    <row r="117" spans="1:10" ht="15" customHeight="1" thickBot="1" x14ac:dyDescent="0.3">
      <c r="A117" s="386" t="s">
        <v>132</v>
      </c>
      <c r="B117" s="104"/>
      <c r="C117" s="104"/>
      <c r="D117" s="104"/>
      <c r="E117" s="104"/>
      <c r="F117" s="104">
        <f>B117-C117</f>
        <v>0</v>
      </c>
      <c r="G117" s="105">
        <f>IF(C117&lt;&gt;0,(B117-C117)/C117)*100</f>
        <v>0</v>
      </c>
      <c r="H117" s="104">
        <f>D117-E117</f>
        <v>0</v>
      </c>
      <c r="I117" s="105">
        <f>IF(E117&lt;&gt;0,(D117-E117)/E117)*100</f>
        <v>0</v>
      </c>
      <c r="J117"/>
    </row>
    <row r="118" spans="1:10" ht="15" customHeight="1" x14ac:dyDescent="0.3">
      <c r="J118"/>
    </row>
    <row r="119" spans="1:10" ht="15" customHeight="1" x14ac:dyDescent="0.3">
      <c r="J119"/>
    </row>
    <row r="120" spans="1:10" ht="15" customHeight="1" x14ac:dyDescent="0.35">
      <c r="B120" s="217">
        <f t="shared" ref="B120:E122" si="31">B41-B69+B97</f>
        <v>0</v>
      </c>
      <c r="C120" s="217">
        <f t="shared" si="31"/>
        <v>0</v>
      </c>
      <c r="D120" s="217">
        <f t="shared" si="31"/>
        <v>0</v>
      </c>
      <c r="E120" s="217">
        <f t="shared" si="31"/>
        <v>0</v>
      </c>
      <c r="J120"/>
    </row>
    <row r="121" spans="1:10" ht="15" customHeight="1" x14ac:dyDescent="0.35">
      <c r="B121" s="217">
        <f t="shared" si="31"/>
        <v>0</v>
      </c>
      <c r="C121" s="217">
        <f t="shared" si="31"/>
        <v>0</v>
      </c>
      <c r="D121" s="217">
        <f t="shared" si="31"/>
        <v>0</v>
      </c>
      <c r="E121" s="217">
        <f t="shared" si="31"/>
        <v>0</v>
      </c>
      <c r="J121"/>
    </row>
    <row r="122" spans="1:10" ht="15.5" x14ac:dyDescent="0.35">
      <c r="B122" s="217">
        <f t="shared" si="31"/>
        <v>0</v>
      </c>
      <c r="C122" s="217">
        <f t="shared" si="31"/>
        <v>0</v>
      </c>
      <c r="D122" s="217">
        <f t="shared" si="31"/>
        <v>0</v>
      </c>
      <c r="E122" s="217">
        <f t="shared" si="31"/>
        <v>0</v>
      </c>
      <c r="J122"/>
    </row>
    <row r="123" spans="1:10" ht="15.5" x14ac:dyDescent="0.35">
      <c r="B123" s="217">
        <f t="shared" ref="B123:E127" si="32">B45-B72+B100</f>
        <v>0</v>
      </c>
      <c r="C123" s="217">
        <f t="shared" si="32"/>
        <v>0</v>
      </c>
      <c r="D123" s="217">
        <f t="shared" si="32"/>
        <v>0</v>
      </c>
      <c r="E123" s="217">
        <f t="shared" si="32"/>
        <v>0</v>
      </c>
      <c r="J123"/>
    </row>
    <row r="124" spans="1:10" ht="15.5" x14ac:dyDescent="0.35">
      <c r="B124" s="217">
        <f t="shared" si="32"/>
        <v>0</v>
      </c>
      <c r="C124" s="217">
        <f t="shared" si="32"/>
        <v>0</v>
      </c>
      <c r="D124" s="217">
        <f t="shared" si="32"/>
        <v>0</v>
      </c>
      <c r="E124" s="217">
        <f t="shared" si="32"/>
        <v>0</v>
      </c>
      <c r="J124"/>
    </row>
    <row r="125" spans="1:10" ht="15.5" x14ac:dyDescent="0.35">
      <c r="B125" s="217">
        <f t="shared" si="32"/>
        <v>0</v>
      </c>
      <c r="C125" s="217">
        <f t="shared" si="32"/>
        <v>0</v>
      </c>
      <c r="D125" s="217">
        <f t="shared" si="32"/>
        <v>0</v>
      </c>
      <c r="E125" s="217">
        <f t="shared" si="32"/>
        <v>0</v>
      </c>
      <c r="J125"/>
    </row>
    <row r="126" spans="1:10" ht="15.5" x14ac:dyDescent="0.35">
      <c r="B126" s="217">
        <f t="shared" si="32"/>
        <v>0</v>
      </c>
      <c r="C126" s="217">
        <f t="shared" si="32"/>
        <v>0</v>
      </c>
      <c r="D126" s="217">
        <f t="shared" si="32"/>
        <v>0</v>
      </c>
      <c r="E126" s="217">
        <f t="shared" si="32"/>
        <v>0</v>
      </c>
      <c r="J126"/>
    </row>
    <row r="127" spans="1:10" ht="15.5" x14ac:dyDescent="0.35">
      <c r="B127" s="217">
        <f t="shared" si="32"/>
        <v>0</v>
      </c>
      <c r="C127" s="217">
        <f t="shared" si="32"/>
        <v>0</v>
      </c>
      <c r="D127" s="217">
        <f t="shared" si="32"/>
        <v>0</v>
      </c>
      <c r="E127" s="217">
        <f t="shared" si="32"/>
        <v>0</v>
      </c>
      <c r="J127"/>
    </row>
    <row r="128" spans="1:10" ht="15.5" x14ac:dyDescent="0.35">
      <c r="B128" s="217">
        <f t="shared" ref="B128:E140" si="33">B49-B77+B105</f>
        <v>0</v>
      </c>
      <c r="C128" s="217">
        <f t="shared" si="33"/>
        <v>0</v>
      </c>
      <c r="D128" s="217">
        <f t="shared" si="33"/>
        <v>0</v>
      </c>
      <c r="E128" s="217">
        <f t="shared" si="33"/>
        <v>0</v>
      </c>
      <c r="J128"/>
    </row>
    <row r="129" spans="1:5" customFormat="1" ht="15.5" x14ac:dyDescent="0.35">
      <c r="A129" s="347"/>
      <c r="B129" s="217">
        <f t="shared" si="33"/>
        <v>0</v>
      </c>
      <c r="C129" s="217">
        <f t="shared" si="33"/>
        <v>0</v>
      </c>
      <c r="D129" s="217">
        <f t="shared" si="33"/>
        <v>0</v>
      </c>
      <c r="E129" s="217">
        <f t="shared" si="33"/>
        <v>0</v>
      </c>
    </row>
    <row r="130" spans="1:5" customFormat="1" ht="15.5" x14ac:dyDescent="0.35">
      <c r="A130" s="347"/>
      <c r="B130" s="217">
        <f t="shared" si="33"/>
        <v>0</v>
      </c>
      <c r="C130" s="217">
        <f t="shared" si="33"/>
        <v>0</v>
      </c>
      <c r="D130" s="217">
        <f t="shared" si="33"/>
        <v>0</v>
      </c>
      <c r="E130" s="217">
        <f t="shared" si="33"/>
        <v>0</v>
      </c>
    </row>
    <row r="131" spans="1:5" customFormat="1" ht="15.5" x14ac:dyDescent="0.35">
      <c r="A131" s="347"/>
      <c r="B131" s="217">
        <f t="shared" si="33"/>
        <v>0</v>
      </c>
      <c r="C131" s="217">
        <f t="shared" si="33"/>
        <v>0</v>
      </c>
      <c r="D131" s="217">
        <f t="shared" si="33"/>
        <v>0</v>
      </c>
      <c r="E131" s="217">
        <f t="shared" si="33"/>
        <v>0</v>
      </c>
    </row>
    <row r="132" spans="1:5" customFormat="1" ht="15.5" x14ac:dyDescent="0.35">
      <c r="A132" s="347"/>
      <c r="B132" s="217">
        <f t="shared" si="33"/>
        <v>0</v>
      </c>
      <c r="C132" s="217">
        <f t="shared" si="33"/>
        <v>0</v>
      </c>
      <c r="D132" s="217">
        <f t="shared" si="33"/>
        <v>0</v>
      </c>
      <c r="E132" s="217">
        <f t="shared" si="33"/>
        <v>0</v>
      </c>
    </row>
    <row r="133" spans="1:5" customFormat="1" ht="15.5" x14ac:dyDescent="0.35">
      <c r="A133" s="347"/>
      <c r="B133" s="217">
        <f t="shared" si="33"/>
        <v>0</v>
      </c>
      <c r="C133" s="217">
        <f t="shared" si="33"/>
        <v>0</v>
      </c>
      <c r="D133" s="217">
        <f t="shared" si="33"/>
        <v>0</v>
      </c>
      <c r="E133" s="217">
        <f t="shared" si="33"/>
        <v>0</v>
      </c>
    </row>
    <row r="134" spans="1:5" customFormat="1" ht="15.5" x14ac:dyDescent="0.35">
      <c r="A134" s="347"/>
      <c r="B134" s="217">
        <f t="shared" si="33"/>
        <v>0</v>
      </c>
      <c r="C134" s="217">
        <f t="shared" si="33"/>
        <v>0</v>
      </c>
      <c r="D134" s="217">
        <f t="shared" si="33"/>
        <v>0</v>
      </c>
      <c r="E134" s="217">
        <f t="shared" si="33"/>
        <v>0</v>
      </c>
    </row>
    <row r="135" spans="1:5" customFormat="1" ht="15.5" x14ac:dyDescent="0.35">
      <c r="A135" s="347"/>
      <c r="B135" s="217">
        <f t="shared" si="33"/>
        <v>0</v>
      </c>
      <c r="C135" s="217">
        <f t="shared" si="33"/>
        <v>0</v>
      </c>
      <c r="D135" s="217">
        <f t="shared" si="33"/>
        <v>0</v>
      </c>
      <c r="E135" s="217">
        <f t="shared" si="33"/>
        <v>0</v>
      </c>
    </row>
    <row r="136" spans="1:5" customFormat="1" ht="15.5" x14ac:dyDescent="0.35">
      <c r="A136" s="347"/>
      <c r="B136" s="217">
        <f t="shared" si="33"/>
        <v>0</v>
      </c>
      <c r="C136" s="217">
        <f t="shared" si="33"/>
        <v>0</v>
      </c>
      <c r="D136" s="217">
        <f t="shared" si="33"/>
        <v>0</v>
      </c>
      <c r="E136" s="217">
        <f t="shared" si="33"/>
        <v>0</v>
      </c>
    </row>
    <row r="137" spans="1:5" customFormat="1" ht="15.5" x14ac:dyDescent="0.35">
      <c r="A137" s="347"/>
      <c r="B137" s="217">
        <f t="shared" si="33"/>
        <v>0</v>
      </c>
      <c r="C137" s="217">
        <f t="shared" si="33"/>
        <v>0</v>
      </c>
      <c r="D137" s="217">
        <f t="shared" si="33"/>
        <v>0</v>
      </c>
      <c r="E137" s="217">
        <f t="shared" si="33"/>
        <v>0</v>
      </c>
    </row>
    <row r="138" spans="1:5" customFormat="1" ht="15.5" x14ac:dyDescent="0.35">
      <c r="A138" s="347"/>
      <c r="B138" s="217">
        <f t="shared" si="33"/>
        <v>0</v>
      </c>
      <c r="C138" s="217">
        <f t="shared" si="33"/>
        <v>0</v>
      </c>
      <c r="D138" s="217">
        <f t="shared" si="33"/>
        <v>0</v>
      </c>
      <c r="E138" s="217">
        <f t="shared" si="33"/>
        <v>0</v>
      </c>
    </row>
    <row r="139" spans="1:5" customFormat="1" ht="15.5" x14ac:dyDescent="0.35">
      <c r="A139" s="347"/>
      <c r="B139" s="217">
        <f t="shared" si="33"/>
        <v>0</v>
      </c>
      <c r="C139" s="217">
        <f t="shared" si="33"/>
        <v>0</v>
      </c>
      <c r="D139" s="217">
        <f t="shared" si="33"/>
        <v>0</v>
      </c>
      <c r="E139" s="217">
        <f t="shared" si="33"/>
        <v>0</v>
      </c>
    </row>
    <row r="140" spans="1:5" customFormat="1" ht="15.5" x14ac:dyDescent="0.35">
      <c r="A140" s="347"/>
      <c r="B140" s="217">
        <f t="shared" si="33"/>
        <v>0</v>
      </c>
      <c r="C140" s="217">
        <f t="shared" si="33"/>
        <v>0</v>
      </c>
      <c r="D140" s="217">
        <f t="shared" si="33"/>
        <v>0</v>
      </c>
      <c r="E140" s="217">
        <f t="shared" si="33"/>
        <v>0</v>
      </c>
    </row>
  </sheetData>
  <mergeCells count="49">
    <mergeCell ref="B39:E40"/>
    <mergeCell ref="B64:C64"/>
    <mergeCell ref="B92:C92"/>
    <mergeCell ref="F65:I65"/>
    <mergeCell ref="F66:G66"/>
    <mergeCell ref="H66:I66"/>
    <mergeCell ref="F39:F40"/>
    <mergeCell ref="G39:G40"/>
    <mergeCell ref="H39:H40"/>
    <mergeCell ref="I39:I40"/>
    <mergeCell ref="I67:I68"/>
    <mergeCell ref="A3:E3"/>
    <mergeCell ref="F6:I6"/>
    <mergeCell ref="F7:G7"/>
    <mergeCell ref="H7:I7"/>
    <mergeCell ref="B5:C5"/>
    <mergeCell ref="B6:C6"/>
    <mergeCell ref="D6:E6"/>
    <mergeCell ref="I8:I9"/>
    <mergeCell ref="B36:C36"/>
    <mergeCell ref="A37:A38"/>
    <mergeCell ref="F37:I37"/>
    <mergeCell ref="F38:G38"/>
    <mergeCell ref="H38:I38"/>
    <mergeCell ref="A8:A9"/>
    <mergeCell ref="B8:E9"/>
    <mergeCell ref="F8:F9"/>
    <mergeCell ref="G8:G9"/>
    <mergeCell ref="H8:H9"/>
    <mergeCell ref="B37:C37"/>
    <mergeCell ref="D37:E37"/>
    <mergeCell ref="A65:A66"/>
    <mergeCell ref="B67:E68"/>
    <mergeCell ref="F67:F68"/>
    <mergeCell ref="G67:G68"/>
    <mergeCell ref="H67:H68"/>
    <mergeCell ref="B65:C65"/>
    <mergeCell ref="D65:E65"/>
    <mergeCell ref="A93:A94"/>
    <mergeCell ref="F93:I93"/>
    <mergeCell ref="F94:G94"/>
    <mergeCell ref="H94:I94"/>
    <mergeCell ref="B95:E96"/>
    <mergeCell ref="F95:F96"/>
    <mergeCell ref="G95:G96"/>
    <mergeCell ref="H95:H96"/>
    <mergeCell ref="I95:I96"/>
    <mergeCell ref="B93:C93"/>
    <mergeCell ref="D93:E93"/>
  </mergeCells>
  <dataValidations count="1">
    <dataValidation type="list" allowBlank="1" showInputMessage="1" showErrorMessage="1" sqref="WVJ98304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IX983045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ST983045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ACP983045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AML983045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AWH983045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GD983045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PZ983045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ZV983045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CJR983045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CTN983045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DDJ983045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DNF983045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DXB983045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EGX983045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EQT983045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FAP98304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FKL983045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FUH983045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GED983045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GNZ983045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GXV983045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HHR983045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HRN983045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IBJ983045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ILF983045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IVB983045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JEX983045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JOT983045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JYP983045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KIL983045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KSH983045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LCD98304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LLZ983045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LVV983045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MFR983045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MPN983045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MZJ983045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NJF983045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NTB983045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OCX983045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OMT983045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OWP983045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PGL983045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PQH983045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QAD983045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QJZ983045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QTV983045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RDR98304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RNN983045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RXJ983045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SHF983045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SRB983045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TAX98304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TKT983045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TUP983045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UEL983045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UOH983045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UYD98304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VHZ983045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VRV983045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WBR983045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WLN983045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36 B64 B92 B5 B65572 B131108 B196644 B262180 B327716 B393252 B458788 B524324 B589860 B655396 B720932 B786468 B852004 B917540 B983076 B65600 B131136 B196672 B262208 B327744 B393280 B458816 B524352 B589888 B655424 B720960 B786496 B852032 B917568 B983104 B65628 B131164 B196700 B262236 B327772 B393308 B458844 B524380 B589916 B655452 B720988 B786524 B852060 B917596 B983132 B65541 B131077 B196613 B262149 B327685 B393221 B458757 B524293 B589829 B655365 B720901 B786437 B851973 B917509 B983045" xr:uid="{00000000-0002-0000-1B00-000000000000}">
      <formula1>#REF!</formula1>
    </dataValidation>
  </dataValidations>
  <pageMargins left="0.7" right="0.7" top="0.75" bottom="0.75" header="0.3" footer="0.3"/>
  <pageSetup paperSize="9" scale="42"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9">
    <tabColor rgb="FFFF0000"/>
  </sheetPr>
  <dimension ref="A1:M140"/>
  <sheetViews>
    <sheetView showGridLines="0" view="pageBreakPreview" zoomScale="90" zoomScaleNormal="80" zoomScaleSheetLayoutView="90" workbookViewId="0">
      <selection activeCell="B11" sqref="B11:I117"/>
    </sheetView>
  </sheetViews>
  <sheetFormatPr baseColWidth="10" defaultColWidth="10.26953125" defaultRowHeight="13" x14ac:dyDescent="0.3"/>
  <cols>
    <col min="1" max="1" width="49.81640625" style="346" customWidth="1"/>
    <col min="2" max="9" width="16.1796875" style="141" customWidth="1"/>
    <col min="10" max="10" width="12.453125" style="141" customWidth="1"/>
    <col min="257" max="257" width="49.81640625" customWidth="1"/>
    <col min="258" max="265" width="16.1796875" customWidth="1"/>
    <col min="266" max="266" width="12.453125" customWidth="1"/>
    <col min="513" max="513" width="49.81640625" customWidth="1"/>
    <col min="514" max="521" width="16.1796875" customWidth="1"/>
    <col min="522" max="522" width="12.453125" customWidth="1"/>
    <col min="769" max="769" width="49.81640625" customWidth="1"/>
    <col min="770" max="777" width="16.1796875" customWidth="1"/>
    <col min="778" max="778" width="12.453125" customWidth="1"/>
    <col min="1025" max="1025" width="49.81640625" customWidth="1"/>
    <col min="1026" max="1033" width="16.1796875" customWidth="1"/>
    <col min="1034" max="1034" width="12.453125" customWidth="1"/>
    <col min="1281" max="1281" width="49.81640625" customWidth="1"/>
    <col min="1282" max="1289" width="16.1796875" customWidth="1"/>
    <col min="1290" max="1290" width="12.453125" customWidth="1"/>
    <col min="1537" max="1537" width="49.81640625" customWidth="1"/>
    <col min="1538" max="1545" width="16.1796875" customWidth="1"/>
    <col min="1546" max="1546" width="12.453125" customWidth="1"/>
    <col min="1793" max="1793" width="49.81640625" customWidth="1"/>
    <col min="1794" max="1801" width="16.1796875" customWidth="1"/>
    <col min="1802" max="1802" width="12.453125" customWidth="1"/>
    <col min="2049" max="2049" width="49.81640625" customWidth="1"/>
    <col min="2050" max="2057" width="16.1796875" customWidth="1"/>
    <col min="2058" max="2058" width="12.453125" customWidth="1"/>
    <col min="2305" max="2305" width="49.81640625" customWidth="1"/>
    <col min="2306" max="2313" width="16.1796875" customWidth="1"/>
    <col min="2314" max="2314" width="12.453125" customWidth="1"/>
    <col min="2561" max="2561" width="49.81640625" customWidth="1"/>
    <col min="2562" max="2569" width="16.1796875" customWidth="1"/>
    <col min="2570" max="2570" width="12.453125" customWidth="1"/>
    <col min="2817" max="2817" width="49.81640625" customWidth="1"/>
    <col min="2818" max="2825" width="16.1796875" customWidth="1"/>
    <col min="2826" max="2826" width="12.453125" customWidth="1"/>
    <col min="3073" max="3073" width="49.81640625" customWidth="1"/>
    <col min="3074" max="3081" width="16.1796875" customWidth="1"/>
    <col min="3082" max="3082" width="12.453125" customWidth="1"/>
    <col min="3329" max="3329" width="49.81640625" customWidth="1"/>
    <col min="3330" max="3337" width="16.1796875" customWidth="1"/>
    <col min="3338" max="3338" width="12.453125" customWidth="1"/>
    <col min="3585" max="3585" width="49.81640625" customWidth="1"/>
    <col min="3586" max="3593" width="16.1796875" customWidth="1"/>
    <col min="3594" max="3594" width="12.453125" customWidth="1"/>
    <col min="3841" max="3841" width="49.81640625" customWidth="1"/>
    <col min="3842" max="3849" width="16.1796875" customWidth="1"/>
    <col min="3850" max="3850" width="12.453125" customWidth="1"/>
    <col min="4097" max="4097" width="49.81640625" customWidth="1"/>
    <col min="4098" max="4105" width="16.1796875" customWidth="1"/>
    <col min="4106" max="4106" width="12.453125" customWidth="1"/>
    <col min="4353" max="4353" width="49.81640625" customWidth="1"/>
    <col min="4354" max="4361" width="16.1796875" customWidth="1"/>
    <col min="4362" max="4362" width="12.453125" customWidth="1"/>
    <col min="4609" max="4609" width="49.81640625" customWidth="1"/>
    <col min="4610" max="4617" width="16.1796875" customWidth="1"/>
    <col min="4618" max="4618" width="12.453125" customWidth="1"/>
    <col min="4865" max="4865" width="49.81640625" customWidth="1"/>
    <col min="4866" max="4873" width="16.1796875" customWidth="1"/>
    <col min="4874" max="4874" width="12.453125" customWidth="1"/>
    <col min="5121" max="5121" width="49.81640625" customWidth="1"/>
    <col min="5122" max="5129" width="16.1796875" customWidth="1"/>
    <col min="5130" max="5130" width="12.453125" customWidth="1"/>
    <col min="5377" max="5377" width="49.81640625" customWidth="1"/>
    <col min="5378" max="5385" width="16.1796875" customWidth="1"/>
    <col min="5386" max="5386" width="12.453125" customWidth="1"/>
    <col min="5633" max="5633" width="49.81640625" customWidth="1"/>
    <col min="5634" max="5641" width="16.1796875" customWidth="1"/>
    <col min="5642" max="5642" width="12.453125" customWidth="1"/>
    <col min="5889" max="5889" width="49.81640625" customWidth="1"/>
    <col min="5890" max="5897" width="16.1796875" customWidth="1"/>
    <col min="5898" max="5898" width="12.453125" customWidth="1"/>
    <col min="6145" max="6145" width="49.81640625" customWidth="1"/>
    <col min="6146" max="6153" width="16.1796875" customWidth="1"/>
    <col min="6154" max="6154" width="12.453125" customWidth="1"/>
    <col min="6401" max="6401" width="49.81640625" customWidth="1"/>
    <col min="6402" max="6409" width="16.1796875" customWidth="1"/>
    <col min="6410" max="6410" width="12.453125" customWidth="1"/>
    <col min="6657" max="6657" width="49.81640625" customWidth="1"/>
    <col min="6658" max="6665" width="16.1796875" customWidth="1"/>
    <col min="6666" max="6666" width="12.453125" customWidth="1"/>
    <col min="6913" max="6913" width="49.81640625" customWidth="1"/>
    <col min="6914" max="6921" width="16.1796875" customWidth="1"/>
    <col min="6922" max="6922" width="12.453125" customWidth="1"/>
    <col min="7169" max="7169" width="49.81640625" customWidth="1"/>
    <col min="7170" max="7177" width="16.1796875" customWidth="1"/>
    <col min="7178" max="7178" width="12.453125" customWidth="1"/>
    <col min="7425" max="7425" width="49.81640625" customWidth="1"/>
    <col min="7426" max="7433" width="16.1796875" customWidth="1"/>
    <col min="7434" max="7434" width="12.453125" customWidth="1"/>
    <col min="7681" max="7681" width="49.81640625" customWidth="1"/>
    <col min="7682" max="7689" width="16.1796875" customWidth="1"/>
    <col min="7690" max="7690" width="12.453125" customWidth="1"/>
    <col min="7937" max="7937" width="49.81640625" customWidth="1"/>
    <col min="7938" max="7945" width="16.1796875" customWidth="1"/>
    <col min="7946" max="7946" width="12.453125" customWidth="1"/>
    <col min="8193" max="8193" width="49.81640625" customWidth="1"/>
    <col min="8194" max="8201" width="16.1796875" customWidth="1"/>
    <col min="8202" max="8202" width="12.453125" customWidth="1"/>
    <col min="8449" max="8449" width="49.81640625" customWidth="1"/>
    <col min="8450" max="8457" width="16.1796875" customWidth="1"/>
    <col min="8458" max="8458" width="12.453125" customWidth="1"/>
    <col min="8705" max="8705" width="49.81640625" customWidth="1"/>
    <col min="8706" max="8713" width="16.1796875" customWidth="1"/>
    <col min="8714" max="8714" width="12.453125" customWidth="1"/>
    <col min="8961" max="8961" width="49.81640625" customWidth="1"/>
    <col min="8962" max="8969" width="16.1796875" customWidth="1"/>
    <col min="8970" max="8970" width="12.453125" customWidth="1"/>
    <col min="9217" max="9217" width="49.81640625" customWidth="1"/>
    <col min="9218" max="9225" width="16.1796875" customWidth="1"/>
    <col min="9226" max="9226" width="12.453125" customWidth="1"/>
    <col min="9473" max="9473" width="49.81640625" customWidth="1"/>
    <col min="9474" max="9481" width="16.1796875" customWidth="1"/>
    <col min="9482" max="9482" width="12.453125" customWidth="1"/>
    <col min="9729" max="9729" width="49.81640625" customWidth="1"/>
    <col min="9730" max="9737" width="16.1796875" customWidth="1"/>
    <col min="9738" max="9738" width="12.453125" customWidth="1"/>
    <col min="9985" max="9985" width="49.81640625" customWidth="1"/>
    <col min="9986" max="9993" width="16.1796875" customWidth="1"/>
    <col min="9994" max="9994" width="12.453125" customWidth="1"/>
    <col min="10241" max="10241" width="49.81640625" customWidth="1"/>
    <col min="10242" max="10249" width="16.1796875" customWidth="1"/>
    <col min="10250" max="10250" width="12.453125" customWidth="1"/>
    <col min="10497" max="10497" width="49.81640625" customWidth="1"/>
    <col min="10498" max="10505" width="16.1796875" customWidth="1"/>
    <col min="10506" max="10506" width="12.453125" customWidth="1"/>
    <col min="10753" max="10753" width="49.81640625" customWidth="1"/>
    <col min="10754" max="10761" width="16.1796875" customWidth="1"/>
    <col min="10762" max="10762" width="12.453125" customWidth="1"/>
    <col min="11009" max="11009" width="49.81640625" customWidth="1"/>
    <col min="11010" max="11017" width="16.1796875" customWidth="1"/>
    <col min="11018" max="11018" width="12.453125" customWidth="1"/>
    <col min="11265" max="11265" width="49.81640625" customWidth="1"/>
    <col min="11266" max="11273" width="16.1796875" customWidth="1"/>
    <col min="11274" max="11274" width="12.453125" customWidth="1"/>
    <col min="11521" max="11521" width="49.81640625" customWidth="1"/>
    <col min="11522" max="11529" width="16.1796875" customWidth="1"/>
    <col min="11530" max="11530" width="12.453125" customWidth="1"/>
    <col min="11777" max="11777" width="49.81640625" customWidth="1"/>
    <col min="11778" max="11785" width="16.1796875" customWidth="1"/>
    <col min="11786" max="11786" width="12.453125" customWidth="1"/>
    <col min="12033" max="12033" width="49.81640625" customWidth="1"/>
    <col min="12034" max="12041" width="16.1796875" customWidth="1"/>
    <col min="12042" max="12042" width="12.453125" customWidth="1"/>
    <col min="12289" max="12289" width="49.81640625" customWidth="1"/>
    <col min="12290" max="12297" width="16.1796875" customWidth="1"/>
    <col min="12298" max="12298" width="12.453125" customWidth="1"/>
    <col min="12545" max="12545" width="49.81640625" customWidth="1"/>
    <col min="12546" max="12553" width="16.1796875" customWidth="1"/>
    <col min="12554" max="12554" width="12.453125" customWidth="1"/>
    <col min="12801" max="12801" width="49.81640625" customWidth="1"/>
    <col min="12802" max="12809" width="16.1796875" customWidth="1"/>
    <col min="12810" max="12810" width="12.453125" customWidth="1"/>
    <col min="13057" max="13057" width="49.81640625" customWidth="1"/>
    <col min="13058" max="13065" width="16.1796875" customWidth="1"/>
    <col min="13066" max="13066" width="12.453125" customWidth="1"/>
    <col min="13313" max="13313" width="49.81640625" customWidth="1"/>
    <col min="13314" max="13321" width="16.1796875" customWidth="1"/>
    <col min="13322" max="13322" width="12.453125" customWidth="1"/>
    <col min="13569" max="13569" width="49.81640625" customWidth="1"/>
    <col min="13570" max="13577" width="16.1796875" customWidth="1"/>
    <col min="13578" max="13578" width="12.453125" customWidth="1"/>
    <col min="13825" max="13825" width="49.81640625" customWidth="1"/>
    <col min="13826" max="13833" width="16.1796875" customWidth="1"/>
    <col min="13834" max="13834" width="12.453125" customWidth="1"/>
    <col min="14081" max="14081" width="49.81640625" customWidth="1"/>
    <col min="14082" max="14089" width="16.1796875" customWidth="1"/>
    <col min="14090" max="14090" width="12.453125" customWidth="1"/>
    <col min="14337" max="14337" width="49.81640625" customWidth="1"/>
    <col min="14338" max="14345" width="16.1796875" customWidth="1"/>
    <col min="14346" max="14346" width="12.453125" customWidth="1"/>
    <col min="14593" max="14593" width="49.81640625" customWidth="1"/>
    <col min="14594" max="14601" width="16.1796875" customWidth="1"/>
    <col min="14602" max="14602" width="12.453125" customWidth="1"/>
    <col min="14849" max="14849" width="49.81640625" customWidth="1"/>
    <col min="14850" max="14857" width="16.1796875" customWidth="1"/>
    <col min="14858" max="14858" width="12.453125" customWidth="1"/>
    <col min="15105" max="15105" width="49.81640625" customWidth="1"/>
    <col min="15106" max="15113" width="16.1796875" customWidth="1"/>
    <col min="15114" max="15114" width="12.453125" customWidth="1"/>
    <col min="15361" max="15361" width="49.81640625" customWidth="1"/>
    <col min="15362" max="15369" width="16.1796875" customWidth="1"/>
    <col min="15370" max="15370" width="12.453125" customWidth="1"/>
    <col min="15617" max="15617" width="49.81640625" customWidth="1"/>
    <col min="15618" max="15625" width="16.1796875" customWidth="1"/>
    <col min="15626" max="15626" width="12.453125" customWidth="1"/>
    <col min="15873" max="15873" width="49.81640625" customWidth="1"/>
    <col min="15874" max="15881" width="16.1796875" customWidth="1"/>
    <col min="15882" max="15882" width="12.453125" customWidth="1"/>
    <col min="16129" max="16129" width="49.81640625" customWidth="1"/>
    <col min="16130" max="16137" width="16.1796875" customWidth="1"/>
    <col min="16138" max="16138" width="12.453125" customWidth="1"/>
  </cols>
  <sheetData>
    <row r="1" spans="1:10" ht="15" customHeight="1" x14ac:dyDescent="0.3">
      <c r="A1" s="364" t="s">
        <v>101</v>
      </c>
      <c r="B1" s="66"/>
      <c r="C1" s="66"/>
      <c r="D1" s="66"/>
      <c r="E1" s="66"/>
      <c r="F1" s="66"/>
      <c r="G1" s="66"/>
      <c r="H1" s="66"/>
      <c r="I1" s="66"/>
      <c r="J1"/>
    </row>
    <row r="2" spans="1:10" ht="15" customHeight="1" x14ac:dyDescent="0.25">
      <c r="A2" s="365"/>
      <c r="B2" s="66"/>
      <c r="C2" s="66"/>
      <c r="D2" s="66"/>
      <c r="E2" s="66"/>
      <c r="F2" s="66"/>
      <c r="G2" s="66"/>
      <c r="H2" s="66"/>
      <c r="I2" s="66"/>
      <c r="J2"/>
    </row>
    <row r="3" spans="1:10" ht="15" customHeight="1" x14ac:dyDescent="0.25">
      <c r="A3" s="800" t="s">
        <v>154</v>
      </c>
      <c r="B3" s="800"/>
      <c r="C3" s="800"/>
      <c r="D3" s="800"/>
      <c r="E3" s="800"/>
      <c r="F3" s="66"/>
      <c r="G3" s="66"/>
      <c r="H3" s="66"/>
      <c r="I3" s="66"/>
      <c r="J3"/>
    </row>
    <row r="4" spans="1:10" ht="15" customHeight="1" x14ac:dyDescent="0.25">
      <c r="A4" s="365"/>
      <c r="B4" s="66"/>
      <c r="C4" s="66"/>
      <c r="D4" s="66"/>
      <c r="E4" s="66"/>
      <c r="F4" s="66"/>
      <c r="G4" s="66"/>
      <c r="H4" s="66"/>
      <c r="I4" s="66"/>
      <c r="J4"/>
    </row>
    <row r="5" spans="1:10" ht="15" customHeight="1" thickBot="1" x14ac:dyDescent="0.3">
      <c r="A5" s="67" t="s">
        <v>103</v>
      </c>
      <c r="B5" s="836"/>
      <c r="C5" s="836"/>
      <c r="D5" s="68"/>
      <c r="E5" s="68"/>
      <c r="F5" s="66"/>
      <c r="G5" s="66"/>
      <c r="H5" s="66"/>
      <c r="I5" s="66"/>
      <c r="J5"/>
    </row>
    <row r="6" spans="1:10" ht="15" customHeight="1" thickBot="1" x14ac:dyDescent="0.3">
      <c r="A6" s="366" t="s">
        <v>104</v>
      </c>
      <c r="B6" s="818" t="s">
        <v>105</v>
      </c>
      <c r="C6" s="819"/>
      <c r="D6" s="837" t="s">
        <v>106</v>
      </c>
      <c r="E6" s="838"/>
      <c r="F6" s="818" t="s">
        <v>107</v>
      </c>
      <c r="G6" s="832"/>
      <c r="H6" s="832"/>
      <c r="I6" s="819"/>
      <c r="J6"/>
    </row>
    <row r="7" spans="1:10" ht="15" customHeight="1" thickBot="1" x14ac:dyDescent="0.3">
      <c r="A7" s="367" t="s">
        <v>108</v>
      </c>
      <c r="B7" s="324">
        <v>2023</v>
      </c>
      <c r="C7" s="324">
        <v>2022</v>
      </c>
      <c r="D7" s="324">
        <v>2023</v>
      </c>
      <c r="E7" s="71">
        <v>2022</v>
      </c>
      <c r="F7" s="818" t="s">
        <v>105</v>
      </c>
      <c r="G7" s="819"/>
      <c r="H7" s="818" t="s">
        <v>106</v>
      </c>
      <c r="I7" s="819"/>
      <c r="J7"/>
    </row>
    <row r="8" spans="1:10" ht="15" customHeight="1" x14ac:dyDescent="0.25">
      <c r="A8" s="844" t="s">
        <v>109</v>
      </c>
      <c r="B8" s="826"/>
      <c r="C8" s="827"/>
      <c r="D8" s="827"/>
      <c r="E8" s="828"/>
      <c r="F8" s="828" t="s">
        <v>110</v>
      </c>
      <c r="G8" s="822" t="s">
        <v>111</v>
      </c>
      <c r="H8" s="822" t="s">
        <v>112</v>
      </c>
      <c r="I8" s="822" t="s">
        <v>111</v>
      </c>
      <c r="J8"/>
    </row>
    <row r="9" spans="1:10" ht="15" customHeight="1" thickBot="1" x14ac:dyDescent="0.3">
      <c r="A9" s="845"/>
      <c r="B9" s="850"/>
      <c r="C9" s="851"/>
      <c r="D9" s="851"/>
      <c r="E9" s="833"/>
      <c r="F9" s="833"/>
      <c r="G9" s="834"/>
      <c r="H9" s="834"/>
      <c r="I9" s="834"/>
      <c r="J9"/>
    </row>
    <row r="10" spans="1:10" ht="15" customHeight="1" thickBot="1" x14ac:dyDescent="0.3">
      <c r="A10" s="368" t="s">
        <v>113</v>
      </c>
      <c r="B10" s="73"/>
      <c r="C10" s="74"/>
      <c r="D10" s="74"/>
      <c r="E10" s="75"/>
      <c r="F10" s="76"/>
      <c r="G10" s="76"/>
      <c r="H10" s="76"/>
      <c r="I10" s="77"/>
      <c r="J10"/>
    </row>
    <row r="11" spans="1:10" ht="15" customHeight="1" x14ac:dyDescent="0.25">
      <c r="A11" s="643" t="s">
        <v>114</v>
      </c>
      <c r="B11" s="78"/>
      <c r="C11" s="78"/>
      <c r="D11" s="78"/>
      <c r="E11" s="78"/>
      <c r="F11" s="78"/>
      <c r="G11" s="78"/>
      <c r="H11" s="78"/>
      <c r="I11" s="79"/>
      <c r="J11">
        <v>1000</v>
      </c>
    </row>
    <row r="12" spans="1:10" ht="15" customHeight="1" x14ac:dyDescent="0.25">
      <c r="A12" s="643" t="s">
        <v>115</v>
      </c>
      <c r="B12" s="644"/>
      <c r="C12" s="645"/>
      <c r="D12" s="644"/>
      <c r="E12" s="645"/>
      <c r="F12" s="646"/>
      <c r="G12" s="647"/>
      <c r="H12" s="646"/>
      <c r="I12" s="647"/>
      <c r="J12"/>
    </row>
    <row r="13" spans="1:10" ht="15" customHeight="1" x14ac:dyDescent="0.25">
      <c r="A13" s="643" t="s">
        <v>116</v>
      </c>
      <c r="B13" s="646"/>
      <c r="C13" s="646"/>
      <c r="D13" s="648"/>
      <c r="E13" s="648"/>
      <c r="F13" s="646"/>
      <c r="G13" s="647"/>
      <c r="H13" s="646"/>
      <c r="I13" s="647"/>
      <c r="J13"/>
    </row>
    <row r="14" spans="1:10" ht="15" customHeight="1" x14ac:dyDescent="0.25">
      <c r="A14" s="649" t="s">
        <v>117</v>
      </c>
      <c r="B14" s="644"/>
      <c r="C14" s="644"/>
      <c r="D14" s="644"/>
      <c r="E14" s="645"/>
      <c r="F14" s="646"/>
      <c r="G14" s="650"/>
      <c r="H14" s="646"/>
      <c r="I14" s="650"/>
      <c r="J14"/>
    </row>
    <row r="15" spans="1:10" ht="15" customHeight="1" x14ac:dyDescent="0.25">
      <c r="A15" s="649" t="s">
        <v>118</v>
      </c>
      <c r="B15" s="644"/>
      <c r="C15" s="644"/>
      <c r="D15" s="644"/>
      <c r="E15" s="645"/>
      <c r="F15" s="646"/>
      <c r="G15" s="650"/>
      <c r="H15" s="646"/>
      <c r="I15" s="650"/>
      <c r="J15"/>
    </row>
    <row r="16" spans="1:10" ht="15" customHeight="1" x14ac:dyDescent="0.25">
      <c r="A16" s="649" t="s">
        <v>119</v>
      </c>
      <c r="B16" s="644"/>
      <c r="C16" s="644"/>
      <c r="D16" s="644"/>
      <c r="E16" s="645"/>
      <c r="F16" s="646"/>
      <c r="G16" s="650"/>
      <c r="H16" s="646"/>
      <c r="I16" s="650"/>
      <c r="J16"/>
    </row>
    <row r="17" spans="1:13" ht="15" customHeight="1" x14ac:dyDescent="0.25">
      <c r="A17" s="651" t="s">
        <v>120</v>
      </c>
      <c r="B17" s="644"/>
      <c r="C17" s="645"/>
      <c r="D17" s="644"/>
      <c r="E17" s="645"/>
      <c r="F17" s="646"/>
      <c r="G17" s="647"/>
      <c r="H17" s="646"/>
      <c r="I17" s="647"/>
      <c r="J17"/>
    </row>
    <row r="18" spans="1:13" ht="15" customHeight="1" x14ac:dyDescent="0.25">
      <c r="A18" s="643" t="s">
        <v>121</v>
      </c>
      <c r="B18" s="644"/>
      <c r="C18" s="645"/>
      <c r="D18" s="644"/>
      <c r="E18" s="645"/>
      <c r="F18" s="646"/>
      <c r="G18" s="647"/>
      <c r="H18" s="646"/>
      <c r="I18" s="647"/>
      <c r="J18"/>
    </row>
    <row r="19" spans="1:13" ht="15" customHeight="1" thickBot="1" x14ac:dyDescent="0.3">
      <c r="A19" s="652" t="s">
        <v>122</v>
      </c>
      <c r="B19" s="653"/>
      <c r="C19" s="654"/>
      <c r="D19" s="653"/>
      <c r="E19" s="654"/>
      <c r="F19" s="646"/>
      <c r="G19" s="655"/>
      <c r="H19" s="646"/>
      <c r="I19" s="655"/>
      <c r="J19"/>
    </row>
    <row r="20" spans="1:13" ht="15" customHeight="1" thickBot="1" x14ac:dyDescent="0.3">
      <c r="A20" s="369" t="s">
        <v>123</v>
      </c>
      <c r="B20" s="81"/>
      <c r="C20" s="82"/>
      <c r="D20" s="81"/>
      <c r="E20" s="82"/>
      <c r="F20" s="81"/>
      <c r="G20" s="83"/>
      <c r="H20" s="81"/>
      <c r="I20" s="83"/>
      <c r="J20"/>
    </row>
    <row r="21" spans="1:13" ht="15" customHeight="1" thickBot="1" x14ac:dyDescent="0.3">
      <c r="A21" s="370" t="s">
        <v>109</v>
      </c>
      <c r="B21" s="85"/>
      <c r="C21" s="85"/>
      <c r="D21" s="85"/>
      <c r="E21" s="85"/>
      <c r="F21" s="86"/>
      <c r="G21" s="86"/>
      <c r="H21" s="86"/>
      <c r="I21" s="87"/>
      <c r="J21"/>
    </row>
    <row r="22" spans="1:13" ht="15" customHeight="1" x14ac:dyDescent="0.25">
      <c r="A22" s="739" t="s">
        <v>124</v>
      </c>
      <c r="B22" s="740"/>
      <c r="C22" s="741"/>
      <c r="D22" s="740"/>
      <c r="E22" s="741"/>
      <c r="F22" s="742"/>
      <c r="G22" s="743"/>
      <c r="H22" s="743"/>
      <c r="I22" s="744"/>
      <c r="J22"/>
    </row>
    <row r="23" spans="1:13" ht="15" customHeight="1" x14ac:dyDescent="0.25">
      <c r="A23" s="643" t="s">
        <v>125</v>
      </c>
      <c r="B23" s="657"/>
      <c r="C23" s="624"/>
      <c r="D23" s="657"/>
      <c r="E23" s="624"/>
      <c r="F23" s="657"/>
      <c r="G23" s="625"/>
      <c r="H23" s="657"/>
      <c r="I23" s="625"/>
      <c r="J23"/>
    </row>
    <row r="24" spans="1:13" ht="15" customHeight="1" x14ac:dyDescent="0.25">
      <c r="A24" s="643" t="s">
        <v>126</v>
      </c>
      <c r="B24" s="644"/>
      <c r="C24" s="645"/>
      <c r="D24" s="644"/>
      <c r="E24" s="645"/>
      <c r="F24" s="646"/>
      <c r="G24" s="647"/>
      <c r="H24" s="646"/>
      <c r="I24" s="647"/>
      <c r="J24"/>
    </row>
    <row r="25" spans="1:13" ht="15" customHeight="1" x14ac:dyDescent="0.25">
      <c r="A25" s="643" t="s">
        <v>127</v>
      </c>
      <c r="B25" s="644"/>
      <c r="C25" s="644"/>
      <c r="D25" s="644"/>
      <c r="E25" s="645"/>
      <c r="F25" s="646"/>
      <c r="G25" s="647"/>
      <c r="H25" s="646"/>
      <c r="I25" s="647"/>
      <c r="J25"/>
      <c r="M25">
        <v>1000</v>
      </c>
    </row>
    <row r="26" spans="1:13" ht="15" customHeight="1" x14ac:dyDescent="0.25">
      <c r="A26" s="658" t="s">
        <v>128</v>
      </c>
      <c r="B26" s="644"/>
      <c r="C26" s="645"/>
      <c r="D26" s="644"/>
      <c r="E26" s="645"/>
      <c r="F26" s="646"/>
      <c r="G26" s="647"/>
      <c r="H26" s="646"/>
      <c r="I26" s="647"/>
      <c r="J26"/>
    </row>
    <row r="27" spans="1:13" ht="15" customHeight="1" x14ac:dyDescent="0.25">
      <c r="A27" s="643" t="s">
        <v>129</v>
      </c>
      <c r="B27" s="644"/>
      <c r="C27" s="645"/>
      <c r="D27" s="644"/>
      <c r="E27" s="645"/>
      <c r="F27" s="646"/>
      <c r="G27" s="647"/>
      <c r="H27" s="646"/>
      <c r="I27" s="647"/>
      <c r="J27"/>
    </row>
    <row r="28" spans="1:13" ht="15" customHeight="1" x14ac:dyDescent="0.25">
      <c r="A28" s="643" t="s">
        <v>130</v>
      </c>
      <c r="B28" s="644"/>
      <c r="C28" s="644"/>
      <c r="D28" s="644"/>
      <c r="E28" s="645"/>
      <c r="F28" s="646"/>
      <c r="G28" s="647"/>
      <c r="H28" s="646"/>
      <c r="I28" s="647"/>
      <c r="J28"/>
    </row>
    <row r="29" spans="1:13" ht="15" customHeight="1" x14ac:dyDescent="0.25">
      <c r="A29" s="643"/>
      <c r="B29" s="627"/>
      <c r="C29" s="628"/>
      <c r="D29" s="627"/>
      <c r="E29" s="628"/>
      <c r="F29" s="657"/>
      <c r="G29" s="625"/>
      <c r="H29" s="624"/>
      <c r="I29" s="629"/>
      <c r="J29"/>
    </row>
    <row r="30" spans="1:13" ht="15" customHeight="1" x14ac:dyDescent="0.25">
      <c r="A30" s="643"/>
      <c r="B30" s="627"/>
      <c r="C30" s="628"/>
      <c r="D30" s="627"/>
      <c r="E30" s="628"/>
      <c r="F30" s="657"/>
      <c r="G30" s="625"/>
      <c r="H30" s="624"/>
      <c r="I30" s="629"/>
      <c r="J30"/>
    </row>
    <row r="31" spans="1:13" ht="15" customHeight="1" thickBot="1" x14ac:dyDescent="0.3">
      <c r="A31" s="371" t="s">
        <v>109</v>
      </c>
      <c r="B31" s="630"/>
      <c r="C31" s="631"/>
      <c r="D31" s="630"/>
      <c r="E31" s="631"/>
      <c r="F31" s="632"/>
      <c r="G31" s="633"/>
      <c r="H31" s="634"/>
      <c r="I31" s="635"/>
      <c r="J31"/>
    </row>
    <row r="32" spans="1:13" ht="15" customHeight="1" thickBot="1" x14ac:dyDescent="0.3">
      <c r="A32" s="372" t="s">
        <v>131</v>
      </c>
      <c r="B32" s="90"/>
      <c r="C32" s="91"/>
      <c r="D32" s="90"/>
      <c r="E32" s="91"/>
      <c r="F32" s="91"/>
      <c r="G32" s="92"/>
      <c r="H32" s="91"/>
      <c r="I32" s="92"/>
      <c r="J32"/>
    </row>
    <row r="33" spans="1:10" ht="15" customHeight="1" thickBot="1" x14ac:dyDescent="0.3">
      <c r="A33" s="373" t="s">
        <v>132</v>
      </c>
      <c r="B33" s="90"/>
      <c r="C33" s="91"/>
      <c r="D33" s="90"/>
      <c r="E33" s="91"/>
      <c r="F33" s="91"/>
      <c r="G33" s="92"/>
      <c r="H33" s="91"/>
      <c r="I33" s="92"/>
      <c r="J33"/>
    </row>
    <row r="34" spans="1:10" ht="15" customHeight="1" x14ac:dyDescent="0.25">
      <c r="A34" s="374"/>
      <c r="B34" s="94"/>
      <c r="C34" s="94"/>
      <c r="D34" s="94"/>
      <c r="E34" s="94"/>
      <c r="F34" s="95"/>
      <c r="G34" s="95"/>
      <c r="H34" s="95"/>
      <c r="I34" s="95"/>
      <c r="J34"/>
    </row>
    <row r="35" spans="1:10" ht="15" customHeight="1" x14ac:dyDescent="0.25">
      <c r="A35" s="375"/>
      <c r="B35" s="96"/>
      <c r="C35" s="97"/>
      <c r="D35" s="97"/>
      <c r="E35" s="97"/>
      <c r="F35" s="66"/>
      <c r="G35" s="66"/>
      <c r="H35" s="66"/>
      <c r="I35" s="66"/>
      <c r="J35"/>
    </row>
    <row r="36" spans="1:10" ht="15" customHeight="1" thickBot="1" x14ac:dyDescent="0.3">
      <c r="A36" s="98" t="s">
        <v>133</v>
      </c>
      <c r="B36" s="836"/>
      <c r="C36" s="836"/>
      <c r="D36" s="99"/>
      <c r="E36" s="99"/>
      <c r="F36" s="66"/>
      <c r="G36" s="66"/>
      <c r="H36" s="66"/>
      <c r="I36" s="66"/>
      <c r="J36"/>
    </row>
    <row r="37" spans="1:10" ht="15" customHeight="1" thickBot="1" x14ac:dyDescent="0.3">
      <c r="A37" s="846" t="s">
        <v>134</v>
      </c>
      <c r="B37" s="818"/>
      <c r="C37" s="819"/>
      <c r="D37" s="818"/>
      <c r="E37" s="819"/>
      <c r="F37" s="804"/>
      <c r="G37" s="805"/>
      <c r="H37" s="805"/>
      <c r="I37" s="806"/>
      <c r="J37"/>
    </row>
    <row r="38" spans="1:10" ht="15" customHeight="1" thickBot="1" x14ac:dyDescent="0.3">
      <c r="A38" s="847"/>
      <c r="B38" s="399"/>
      <c r="C38" s="399"/>
      <c r="D38" s="399"/>
      <c r="E38" s="400"/>
      <c r="F38" s="804"/>
      <c r="G38" s="806"/>
      <c r="H38" s="804"/>
      <c r="I38" s="806"/>
      <c r="J38"/>
    </row>
    <row r="39" spans="1:10" ht="15" customHeight="1" x14ac:dyDescent="0.25">
      <c r="A39" s="376"/>
      <c r="B39" s="826"/>
      <c r="C39" s="827"/>
      <c r="D39" s="827"/>
      <c r="E39" s="828"/>
      <c r="F39" s="814"/>
      <c r="G39" s="816"/>
      <c r="H39" s="816"/>
      <c r="I39" s="816"/>
      <c r="J39"/>
    </row>
    <row r="40" spans="1:10" ht="15" customHeight="1" thickBot="1" x14ac:dyDescent="0.3">
      <c r="A40" s="377" t="s">
        <v>113</v>
      </c>
      <c r="B40" s="829"/>
      <c r="C40" s="830"/>
      <c r="D40" s="830"/>
      <c r="E40" s="831"/>
      <c r="F40" s="815"/>
      <c r="G40" s="817"/>
      <c r="H40" s="817"/>
      <c r="I40" s="817"/>
      <c r="J40"/>
    </row>
    <row r="41" spans="1:10" ht="15" customHeight="1" thickBot="1" x14ac:dyDescent="0.3">
      <c r="A41" s="378" t="s">
        <v>135</v>
      </c>
      <c r="B41" s="103"/>
      <c r="C41" s="104"/>
      <c r="D41" s="104"/>
      <c r="E41" s="104"/>
      <c r="F41" s="104"/>
      <c r="G41" s="105"/>
      <c r="H41" s="104"/>
      <c r="I41" s="105"/>
      <c r="J41"/>
    </row>
    <row r="42" spans="1:10" ht="15" customHeight="1" x14ac:dyDescent="0.25">
      <c r="A42" s="378" t="s">
        <v>136</v>
      </c>
      <c r="B42" s="745"/>
      <c r="C42" s="746"/>
      <c r="D42" s="746"/>
      <c r="E42" s="746"/>
      <c r="F42" s="646"/>
      <c r="G42" s="647"/>
      <c r="H42" s="646"/>
      <c r="I42" s="647"/>
      <c r="J42"/>
    </row>
    <row r="43" spans="1:10" ht="15" customHeight="1" x14ac:dyDescent="0.25">
      <c r="A43" s="378" t="s">
        <v>116</v>
      </c>
      <c r="B43" s="745"/>
      <c r="C43" s="746"/>
      <c r="D43" s="746"/>
      <c r="E43" s="746"/>
      <c r="F43" s="646"/>
      <c r="G43" s="647"/>
      <c r="H43" s="646"/>
      <c r="I43" s="647"/>
      <c r="J43"/>
    </row>
    <row r="44" spans="1:10" ht="15" customHeight="1" x14ac:dyDescent="0.25">
      <c r="A44" s="378" t="s">
        <v>137</v>
      </c>
      <c r="B44" s="745"/>
      <c r="C44" s="746"/>
      <c r="D44" s="746"/>
      <c r="E44" s="746"/>
      <c r="F44" s="646"/>
      <c r="G44" s="647"/>
      <c r="H44" s="646"/>
      <c r="I44" s="647"/>
      <c r="J44"/>
    </row>
    <row r="45" spans="1:10" ht="15" customHeight="1" x14ac:dyDescent="0.25">
      <c r="A45" s="378" t="s">
        <v>143</v>
      </c>
      <c r="B45" s="745"/>
      <c r="C45" s="746"/>
      <c r="D45" s="746"/>
      <c r="E45" s="746"/>
      <c r="F45" s="646"/>
      <c r="G45" s="647"/>
      <c r="H45" s="646"/>
      <c r="I45" s="647"/>
      <c r="J45"/>
    </row>
    <row r="46" spans="1:10" ht="15" customHeight="1" x14ac:dyDescent="0.25">
      <c r="A46" s="378" t="s">
        <v>139</v>
      </c>
      <c r="B46" s="661"/>
      <c r="C46" s="644"/>
      <c r="D46" s="746"/>
      <c r="E46" s="746"/>
      <c r="F46" s="646"/>
      <c r="G46" s="647"/>
      <c r="H46" s="646"/>
      <c r="I46" s="647"/>
      <c r="J46"/>
    </row>
    <row r="47" spans="1:10" ht="15" customHeight="1" thickBot="1" x14ac:dyDescent="0.3">
      <c r="A47" s="378" t="s">
        <v>140</v>
      </c>
      <c r="B47" s="662"/>
      <c r="C47" s="663"/>
      <c r="D47" s="664"/>
      <c r="E47" s="665"/>
      <c r="F47" s="646"/>
      <c r="G47" s="647"/>
      <c r="H47" s="646"/>
      <c r="I47" s="647"/>
      <c r="J47"/>
    </row>
    <row r="48" spans="1:10" ht="15" customHeight="1" thickBot="1" x14ac:dyDescent="0.3">
      <c r="A48" s="379" t="s">
        <v>123</v>
      </c>
      <c r="B48" s="91"/>
      <c r="C48" s="91"/>
      <c r="D48" s="91"/>
      <c r="E48" s="91"/>
      <c r="F48" s="91"/>
      <c r="G48" s="92"/>
      <c r="H48" s="91"/>
      <c r="I48" s="92"/>
      <c r="J48"/>
    </row>
    <row r="49" spans="1:10" ht="15" customHeight="1" thickBot="1" x14ac:dyDescent="0.3">
      <c r="A49" s="377" t="s">
        <v>124</v>
      </c>
      <c r="B49" s="114"/>
      <c r="C49" s="115"/>
      <c r="D49" s="115"/>
      <c r="E49" s="115"/>
      <c r="F49" s="116"/>
      <c r="G49" s="117"/>
      <c r="H49" s="116"/>
      <c r="I49" s="124"/>
      <c r="J49"/>
    </row>
    <row r="50" spans="1:10" ht="15" customHeight="1" thickBot="1" x14ac:dyDescent="0.3">
      <c r="A50" s="378" t="s">
        <v>125</v>
      </c>
      <c r="B50" s="103"/>
      <c r="C50" s="104"/>
      <c r="D50" s="104"/>
      <c r="E50" s="104"/>
      <c r="F50" s="104"/>
      <c r="G50" s="105"/>
      <c r="H50" s="104"/>
      <c r="I50" s="105"/>
      <c r="J50"/>
    </row>
    <row r="51" spans="1:10" ht="15" customHeight="1" x14ac:dyDescent="0.25">
      <c r="A51" s="380" t="s">
        <v>126</v>
      </c>
      <c r="B51" s="645"/>
      <c r="C51" s="645"/>
      <c r="D51" s="645"/>
      <c r="E51" s="645"/>
      <c r="F51" s="646"/>
      <c r="G51" s="647"/>
      <c r="H51" s="646"/>
      <c r="I51" s="647"/>
      <c r="J51"/>
    </row>
    <row r="52" spans="1:10" ht="15" customHeight="1" x14ac:dyDescent="0.25">
      <c r="A52" s="380" t="s">
        <v>127</v>
      </c>
      <c r="B52" s="645"/>
      <c r="C52" s="645"/>
      <c r="D52" s="645"/>
      <c r="E52" s="645"/>
      <c r="F52" s="646"/>
      <c r="G52" s="647"/>
      <c r="H52" s="646"/>
      <c r="I52" s="647"/>
      <c r="J52"/>
    </row>
    <row r="53" spans="1:10" ht="15" customHeight="1" x14ac:dyDescent="0.25">
      <c r="A53" s="381" t="s">
        <v>141</v>
      </c>
      <c r="B53" s="645"/>
      <c r="C53" s="645"/>
      <c r="D53" s="645"/>
      <c r="E53" s="645"/>
      <c r="F53" s="646"/>
      <c r="G53" s="647"/>
      <c r="H53" s="646"/>
      <c r="I53" s="647"/>
      <c r="J53"/>
    </row>
    <row r="54" spans="1:10" ht="15" customHeight="1" x14ac:dyDescent="0.25">
      <c r="A54" s="380" t="s">
        <v>129</v>
      </c>
      <c r="B54" s="645"/>
      <c r="C54" s="645"/>
      <c r="D54" s="645"/>
      <c r="E54" s="645"/>
      <c r="F54" s="646"/>
      <c r="G54" s="647"/>
      <c r="H54" s="646"/>
      <c r="I54" s="647"/>
      <c r="J54"/>
    </row>
    <row r="55" spans="1:10" ht="15" customHeight="1" x14ac:dyDescent="0.25">
      <c r="A55" s="378" t="s">
        <v>130</v>
      </c>
      <c r="B55" s="645"/>
      <c r="C55" s="645"/>
      <c r="D55" s="645"/>
      <c r="E55" s="645"/>
      <c r="F55" s="646"/>
      <c r="G55" s="647"/>
      <c r="H55" s="646"/>
      <c r="I55" s="647"/>
      <c r="J55"/>
    </row>
    <row r="56" spans="1:10" ht="15" customHeight="1" x14ac:dyDescent="0.25">
      <c r="A56" s="378"/>
      <c r="B56" s="645"/>
      <c r="C56" s="645"/>
      <c r="D56" s="645"/>
      <c r="E56" s="645"/>
      <c r="F56" s="747"/>
      <c r="G56" s="748"/>
      <c r="H56" s="747"/>
      <c r="I56" s="748"/>
      <c r="J56"/>
    </row>
    <row r="57" spans="1:10" ht="15" customHeight="1" x14ac:dyDescent="0.25">
      <c r="A57" s="378"/>
      <c r="B57" s="645"/>
      <c r="C57" s="645"/>
      <c r="D57" s="645"/>
      <c r="E57" s="645"/>
      <c r="F57" s="747"/>
      <c r="G57" s="748"/>
      <c r="H57" s="747"/>
      <c r="I57" s="748"/>
      <c r="J57"/>
    </row>
    <row r="58" spans="1:10" ht="15" customHeight="1" thickBot="1" x14ac:dyDescent="0.3">
      <c r="A58" s="378"/>
      <c r="B58" s="668"/>
      <c r="C58" s="668"/>
      <c r="D58" s="669"/>
      <c r="E58" s="669"/>
      <c r="F58" s="670"/>
      <c r="G58" s="671"/>
      <c r="H58" s="672"/>
      <c r="I58" s="673"/>
      <c r="J58"/>
    </row>
    <row r="59" spans="1:10" ht="15" customHeight="1" thickBot="1" x14ac:dyDescent="0.3">
      <c r="A59" s="379" t="s">
        <v>131</v>
      </c>
      <c r="B59" s="103"/>
      <c r="C59" s="104"/>
      <c r="D59" s="104"/>
      <c r="E59" s="104"/>
      <c r="F59" s="657"/>
      <c r="G59" s="625"/>
      <c r="H59" s="657"/>
      <c r="I59" s="625"/>
      <c r="J59"/>
    </row>
    <row r="60" spans="1:10" ht="15" customHeight="1" thickBot="1" x14ac:dyDescent="0.3">
      <c r="A60" s="378"/>
      <c r="B60" s="121"/>
      <c r="C60" s="122"/>
      <c r="D60" s="122"/>
      <c r="E60" s="122"/>
      <c r="F60" s="123"/>
      <c r="G60" s="124"/>
      <c r="H60" s="123"/>
      <c r="I60" s="125"/>
      <c r="J60"/>
    </row>
    <row r="61" spans="1:10" ht="15" customHeight="1" thickBot="1" x14ac:dyDescent="0.3">
      <c r="A61" s="379" t="s">
        <v>132</v>
      </c>
      <c r="B61" s="103"/>
      <c r="C61" s="104"/>
      <c r="D61" s="104"/>
      <c r="E61" s="104"/>
      <c r="F61" s="104"/>
      <c r="G61" s="105"/>
      <c r="H61" s="104"/>
      <c r="I61" s="105"/>
      <c r="J61"/>
    </row>
    <row r="62" spans="1:10" ht="15" customHeight="1" x14ac:dyDescent="0.25">
      <c r="A62" s="374"/>
      <c r="B62" s="94"/>
      <c r="C62" s="94"/>
      <c r="D62" s="94"/>
      <c r="E62" s="94"/>
      <c r="F62" s="95"/>
      <c r="G62" s="95"/>
      <c r="H62" s="95"/>
      <c r="I62" s="95"/>
      <c r="J62"/>
    </row>
    <row r="63" spans="1:10" ht="15" customHeight="1" x14ac:dyDescent="0.25">
      <c r="A63" s="382"/>
      <c r="B63" s="127"/>
      <c r="C63" s="126"/>
      <c r="D63" s="126"/>
      <c r="E63" s="126"/>
      <c r="F63" s="66"/>
      <c r="G63" s="66"/>
      <c r="H63" s="66"/>
      <c r="I63" s="66"/>
      <c r="J63"/>
    </row>
    <row r="64" spans="1:10" ht="15" customHeight="1" thickBot="1" x14ac:dyDescent="0.3">
      <c r="A64" s="128" t="s">
        <v>142</v>
      </c>
      <c r="B64" s="836"/>
      <c r="C64" s="836"/>
      <c r="D64" s="129"/>
      <c r="E64" s="129"/>
      <c r="F64" s="66"/>
      <c r="G64" s="66"/>
      <c r="H64" s="66"/>
      <c r="I64" s="66"/>
      <c r="J64"/>
    </row>
    <row r="65" spans="1:10" ht="15" customHeight="1" thickBot="1" x14ac:dyDescent="0.3">
      <c r="A65" s="848" t="s">
        <v>134</v>
      </c>
      <c r="B65" s="820"/>
      <c r="C65" s="821"/>
      <c r="D65" s="820"/>
      <c r="E65" s="821"/>
      <c r="F65" s="804"/>
      <c r="G65" s="805"/>
      <c r="H65" s="805"/>
      <c r="I65" s="806"/>
      <c r="J65"/>
    </row>
    <row r="66" spans="1:10" ht="15" customHeight="1" thickBot="1" x14ac:dyDescent="0.3">
      <c r="A66" s="849"/>
      <c r="B66" s="324"/>
      <c r="C66" s="324"/>
      <c r="D66" s="324"/>
      <c r="E66" s="71"/>
      <c r="F66" s="804"/>
      <c r="G66" s="806"/>
      <c r="H66" s="804"/>
      <c r="I66" s="806"/>
      <c r="J66"/>
    </row>
    <row r="67" spans="1:10" ht="15" customHeight="1" x14ac:dyDescent="0.25">
      <c r="A67" s="383"/>
      <c r="B67" s="807"/>
      <c r="C67" s="808"/>
      <c r="D67" s="808"/>
      <c r="E67" s="809"/>
      <c r="F67" s="814"/>
      <c r="G67" s="816"/>
      <c r="H67" s="816"/>
      <c r="I67" s="816"/>
      <c r="J67"/>
    </row>
    <row r="68" spans="1:10" ht="15" customHeight="1" thickBot="1" x14ac:dyDescent="0.3">
      <c r="A68" s="384" t="s">
        <v>113</v>
      </c>
      <c r="B68" s="810"/>
      <c r="C68" s="811"/>
      <c r="D68" s="811"/>
      <c r="E68" s="812"/>
      <c r="F68" s="815"/>
      <c r="G68" s="817"/>
      <c r="H68" s="817"/>
      <c r="I68" s="817"/>
      <c r="J68"/>
    </row>
    <row r="69" spans="1:10" ht="15" customHeight="1" thickBot="1" x14ac:dyDescent="0.3">
      <c r="A69" s="385" t="s">
        <v>135</v>
      </c>
      <c r="B69" s="133"/>
      <c r="C69" s="91"/>
      <c r="D69" s="91"/>
      <c r="E69" s="91"/>
      <c r="F69" s="91"/>
      <c r="G69" s="92"/>
      <c r="H69" s="91"/>
      <c r="I69" s="92"/>
      <c r="J69"/>
    </row>
    <row r="70" spans="1:10" ht="15" customHeight="1" x14ac:dyDescent="0.25">
      <c r="A70" s="385" t="s">
        <v>136</v>
      </c>
      <c r="B70" s="745"/>
      <c r="C70" s="745"/>
      <c r="D70" s="745"/>
      <c r="E70" s="745"/>
      <c r="F70" s="646"/>
      <c r="G70" s="647"/>
      <c r="H70" s="646"/>
      <c r="I70" s="647"/>
      <c r="J70"/>
    </row>
    <row r="71" spans="1:10" ht="15" customHeight="1" x14ac:dyDescent="0.25">
      <c r="A71" s="385" t="s">
        <v>116</v>
      </c>
      <c r="B71" s="745"/>
      <c r="C71" s="745"/>
      <c r="D71" s="745"/>
      <c r="E71" s="745"/>
      <c r="F71" s="646"/>
      <c r="G71" s="647"/>
      <c r="H71" s="646"/>
      <c r="I71" s="647"/>
      <c r="J71"/>
    </row>
    <row r="72" spans="1:10" ht="15" customHeight="1" x14ac:dyDescent="0.25">
      <c r="A72" s="385" t="s">
        <v>143</v>
      </c>
      <c r="B72" s="745"/>
      <c r="C72" s="745"/>
      <c r="D72" s="745"/>
      <c r="E72" s="745"/>
      <c r="F72" s="646"/>
      <c r="G72" s="647"/>
      <c r="H72" s="646"/>
      <c r="I72" s="647"/>
      <c r="J72"/>
    </row>
    <row r="73" spans="1:10" ht="15" customHeight="1" x14ac:dyDescent="0.25">
      <c r="A73" s="385" t="s">
        <v>139</v>
      </c>
      <c r="B73" s="745"/>
      <c r="C73" s="745"/>
      <c r="D73" s="745"/>
      <c r="E73" s="745"/>
      <c r="F73" s="646"/>
      <c r="G73" s="647"/>
      <c r="H73" s="646"/>
      <c r="I73" s="647"/>
      <c r="J73"/>
    </row>
    <row r="74" spans="1:10" ht="15" customHeight="1" thickBot="1" x14ac:dyDescent="0.3">
      <c r="A74" s="385" t="s">
        <v>140</v>
      </c>
      <c r="B74" s="745"/>
      <c r="C74" s="745"/>
      <c r="D74" s="745"/>
      <c r="E74" s="745"/>
      <c r="F74" s="646"/>
      <c r="G74" s="647"/>
      <c r="H74" s="646"/>
      <c r="I74" s="647"/>
      <c r="J74"/>
    </row>
    <row r="75" spans="1:10" ht="15" customHeight="1" thickBot="1" x14ac:dyDescent="0.3">
      <c r="A75" s="386" t="s">
        <v>123</v>
      </c>
      <c r="B75" s="135"/>
      <c r="C75" s="90"/>
      <c r="D75" s="90"/>
      <c r="E75" s="91"/>
      <c r="F75" s="82"/>
      <c r="G75" s="83"/>
      <c r="H75" s="82"/>
      <c r="I75" s="83"/>
      <c r="J75"/>
    </row>
    <row r="76" spans="1:10" ht="15" customHeight="1" x14ac:dyDescent="0.25">
      <c r="A76" s="387"/>
      <c r="B76" s="107"/>
      <c r="C76" s="108"/>
      <c r="D76" s="108"/>
      <c r="E76" s="108"/>
      <c r="F76" s="110"/>
      <c r="G76" s="110"/>
      <c r="H76" s="110"/>
      <c r="I76" s="137"/>
      <c r="J76"/>
    </row>
    <row r="77" spans="1:10" ht="15" customHeight="1" thickBot="1" x14ac:dyDescent="0.3">
      <c r="A77" s="384" t="s">
        <v>124</v>
      </c>
      <c r="B77" s="114"/>
      <c r="C77" s="115"/>
      <c r="D77" s="115"/>
      <c r="E77" s="115"/>
      <c r="F77" s="116"/>
      <c r="G77" s="116"/>
      <c r="H77" s="116"/>
      <c r="I77" s="138"/>
      <c r="J77"/>
    </row>
    <row r="78" spans="1:10" ht="15" customHeight="1" thickBot="1" x14ac:dyDescent="0.3">
      <c r="A78" s="385" t="s">
        <v>125</v>
      </c>
      <c r="B78" s="133"/>
      <c r="C78" s="91"/>
      <c r="D78" s="91"/>
      <c r="E78" s="91"/>
      <c r="F78" s="91"/>
      <c r="G78" s="92"/>
      <c r="H78" s="91"/>
      <c r="I78" s="92"/>
      <c r="J78"/>
    </row>
    <row r="79" spans="1:10" ht="15" customHeight="1" x14ac:dyDescent="0.25">
      <c r="A79" s="380" t="s">
        <v>126</v>
      </c>
      <c r="B79" s="745"/>
      <c r="C79" s="745"/>
      <c r="D79" s="745"/>
      <c r="E79" s="745"/>
      <c r="F79" s="646"/>
      <c r="G79" s="647"/>
      <c r="H79" s="646"/>
      <c r="I79" s="647"/>
      <c r="J79"/>
    </row>
    <row r="80" spans="1:10" ht="15" customHeight="1" x14ac:dyDescent="0.25">
      <c r="A80" s="380" t="s">
        <v>144</v>
      </c>
      <c r="B80" s="645"/>
      <c r="C80" s="645"/>
      <c r="D80" s="645"/>
      <c r="E80" s="645"/>
      <c r="F80" s="646"/>
      <c r="G80" s="647"/>
      <c r="H80" s="646"/>
      <c r="I80" s="647"/>
      <c r="J80"/>
    </row>
    <row r="81" spans="1:10" ht="15" customHeight="1" x14ac:dyDescent="0.25">
      <c r="A81" s="381" t="s">
        <v>141</v>
      </c>
      <c r="B81" s="745"/>
      <c r="C81" s="745"/>
      <c r="D81" s="745"/>
      <c r="E81" s="745"/>
      <c r="F81" s="646"/>
      <c r="G81" s="647"/>
      <c r="H81" s="646"/>
      <c r="I81" s="647"/>
      <c r="J81"/>
    </row>
    <row r="82" spans="1:10" ht="15" customHeight="1" x14ac:dyDescent="0.25">
      <c r="A82" s="380" t="s">
        <v>129</v>
      </c>
      <c r="B82" s="745"/>
      <c r="C82" s="745"/>
      <c r="D82" s="745"/>
      <c r="E82" s="745"/>
      <c r="F82" s="646"/>
      <c r="G82" s="647"/>
      <c r="H82" s="646"/>
      <c r="I82" s="647"/>
      <c r="J82"/>
    </row>
    <row r="83" spans="1:10" ht="15" customHeight="1" x14ac:dyDescent="0.25">
      <c r="A83" s="385" t="s">
        <v>130</v>
      </c>
      <c r="B83" s="745"/>
      <c r="C83" s="745"/>
      <c r="D83" s="745"/>
      <c r="E83" s="745"/>
      <c r="F83" s="646"/>
      <c r="G83" s="647"/>
      <c r="H83" s="646"/>
      <c r="I83" s="647"/>
      <c r="J83"/>
    </row>
    <row r="84" spans="1:10" ht="15" customHeight="1" x14ac:dyDescent="0.25">
      <c r="A84" s="385"/>
      <c r="B84" s="745"/>
      <c r="C84" s="745"/>
      <c r="D84" s="745"/>
      <c r="E84" s="745"/>
      <c r="F84" s="747"/>
      <c r="G84" s="748"/>
      <c r="H84" s="747"/>
      <c r="I84" s="748"/>
      <c r="J84"/>
    </row>
    <row r="85" spans="1:10" ht="15" customHeight="1" x14ac:dyDescent="0.25">
      <c r="A85" s="385"/>
      <c r="B85" s="745"/>
      <c r="C85" s="745"/>
      <c r="D85" s="745"/>
      <c r="E85" s="745"/>
      <c r="F85" s="747"/>
      <c r="G85" s="748"/>
      <c r="H85" s="747"/>
      <c r="I85" s="748"/>
      <c r="J85"/>
    </row>
    <row r="86" spans="1:10" ht="15" customHeight="1" thickBot="1" x14ac:dyDescent="0.3">
      <c r="A86" s="385"/>
      <c r="B86" s="674"/>
      <c r="C86" s="668"/>
      <c r="D86" s="669"/>
      <c r="E86" s="669"/>
      <c r="F86" s="670"/>
      <c r="G86" s="671"/>
      <c r="H86" s="672"/>
      <c r="I86" s="673"/>
      <c r="J86"/>
    </row>
    <row r="87" spans="1:10" ht="15" customHeight="1" thickBot="1" x14ac:dyDescent="0.3">
      <c r="A87" s="386" t="s">
        <v>131</v>
      </c>
      <c r="B87" s="103"/>
      <c r="C87" s="104"/>
      <c r="D87" s="104"/>
      <c r="E87" s="104"/>
      <c r="F87" s="657"/>
      <c r="G87" s="625"/>
      <c r="H87" s="657"/>
      <c r="I87" s="625"/>
      <c r="J87"/>
    </row>
    <row r="88" spans="1:10" ht="15" customHeight="1" thickBot="1" x14ac:dyDescent="0.3">
      <c r="A88" s="385"/>
      <c r="B88" s="121"/>
      <c r="C88" s="122"/>
      <c r="D88" s="122"/>
      <c r="E88" s="122"/>
      <c r="F88" s="123"/>
      <c r="G88" s="124"/>
      <c r="H88" s="123"/>
      <c r="I88" s="125"/>
      <c r="J88"/>
    </row>
    <row r="89" spans="1:10" ht="15" customHeight="1" thickBot="1" x14ac:dyDescent="0.3">
      <c r="A89" s="386" t="s">
        <v>132</v>
      </c>
      <c r="B89" s="139"/>
      <c r="C89" s="140"/>
      <c r="D89" s="140"/>
      <c r="E89" s="140"/>
      <c r="F89" s="104"/>
      <c r="G89" s="105"/>
      <c r="H89" s="104"/>
      <c r="I89" s="105"/>
      <c r="J89"/>
    </row>
    <row r="90" spans="1:10" ht="15" customHeight="1" x14ac:dyDescent="0.3">
      <c r="A90" s="374"/>
      <c r="B90" s="94"/>
      <c r="C90" s="94"/>
      <c r="D90" s="94"/>
      <c r="E90" s="94"/>
      <c r="J90"/>
    </row>
    <row r="91" spans="1:10" ht="15" customHeight="1" x14ac:dyDescent="0.3">
      <c r="A91" s="382"/>
      <c r="B91" s="97"/>
      <c r="C91" s="97"/>
      <c r="D91" s="97"/>
      <c r="E91" s="97"/>
      <c r="J91"/>
    </row>
    <row r="92" spans="1:10" ht="15" customHeight="1" thickBot="1" x14ac:dyDescent="0.35">
      <c r="A92" s="128" t="s">
        <v>145</v>
      </c>
      <c r="B92" s="836"/>
      <c r="C92" s="836"/>
      <c r="D92" s="129"/>
      <c r="E92" s="129"/>
      <c r="J92"/>
    </row>
    <row r="93" spans="1:10" ht="15" customHeight="1" thickBot="1" x14ac:dyDescent="0.3">
      <c r="A93" s="848" t="s">
        <v>134</v>
      </c>
      <c r="B93" s="820"/>
      <c r="C93" s="835"/>
      <c r="D93" s="820"/>
      <c r="E93" s="821"/>
      <c r="F93" s="804"/>
      <c r="G93" s="805"/>
      <c r="H93" s="805"/>
      <c r="I93" s="806"/>
      <c r="J93"/>
    </row>
    <row r="94" spans="1:10" ht="15" customHeight="1" thickBot="1" x14ac:dyDescent="0.3">
      <c r="A94" s="849"/>
      <c r="B94" s="324"/>
      <c r="C94" s="324"/>
      <c r="D94" s="324"/>
      <c r="E94" s="71"/>
      <c r="F94" s="804"/>
      <c r="G94" s="806"/>
      <c r="H94" s="804"/>
      <c r="I94" s="806"/>
      <c r="J94"/>
    </row>
    <row r="95" spans="1:10" ht="15" customHeight="1" x14ac:dyDescent="0.25">
      <c r="A95" s="383"/>
      <c r="B95" s="807"/>
      <c r="C95" s="808"/>
      <c r="D95" s="808"/>
      <c r="E95" s="809"/>
      <c r="F95" s="814"/>
      <c r="G95" s="816"/>
      <c r="H95" s="816"/>
      <c r="I95" s="816"/>
      <c r="J95"/>
    </row>
    <row r="96" spans="1:10" ht="15" customHeight="1" thickBot="1" x14ac:dyDescent="0.3">
      <c r="A96" s="384" t="s">
        <v>113</v>
      </c>
      <c r="B96" s="810"/>
      <c r="C96" s="811"/>
      <c r="D96" s="811"/>
      <c r="E96" s="812"/>
      <c r="F96" s="815"/>
      <c r="G96" s="817"/>
      <c r="H96" s="817"/>
      <c r="I96" s="817"/>
      <c r="J96"/>
    </row>
    <row r="97" spans="1:10" ht="15" customHeight="1" thickBot="1" x14ac:dyDescent="0.3">
      <c r="A97" s="385" t="s">
        <v>135</v>
      </c>
      <c r="B97" s="91"/>
      <c r="C97" s="91"/>
      <c r="D97" s="91"/>
      <c r="E97" s="91"/>
      <c r="F97" s="91"/>
      <c r="G97" s="92"/>
      <c r="H97" s="91"/>
      <c r="I97" s="92"/>
      <c r="J97"/>
    </row>
    <row r="98" spans="1:10" ht="15" customHeight="1" x14ac:dyDescent="0.25">
      <c r="A98" s="385" t="s">
        <v>136</v>
      </c>
      <c r="B98" s="746"/>
      <c r="C98" s="746"/>
      <c r="D98" s="746"/>
      <c r="E98" s="746"/>
      <c r="F98" s="646"/>
      <c r="G98" s="647"/>
      <c r="H98" s="646"/>
      <c r="I98" s="647"/>
      <c r="J98"/>
    </row>
    <row r="99" spans="1:10" ht="15" customHeight="1" x14ac:dyDescent="0.25">
      <c r="A99" s="385" t="s">
        <v>116</v>
      </c>
      <c r="B99" s="746"/>
      <c r="C99" s="746"/>
      <c r="D99" s="746"/>
      <c r="E99" s="746"/>
      <c r="F99" s="646"/>
      <c r="G99" s="647"/>
      <c r="H99" s="646"/>
      <c r="I99" s="647"/>
      <c r="J99"/>
    </row>
    <row r="100" spans="1:10" ht="15" customHeight="1" x14ac:dyDescent="0.25">
      <c r="A100" s="385" t="s">
        <v>143</v>
      </c>
      <c r="B100" s="746"/>
      <c r="C100" s="746"/>
      <c r="D100" s="746"/>
      <c r="E100" s="746"/>
      <c r="F100" s="646"/>
      <c r="G100" s="647"/>
      <c r="H100" s="646"/>
      <c r="I100" s="647"/>
      <c r="J100"/>
    </row>
    <row r="101" spans="1:10" ht="15" customHeight="1" x14ac:dyDescent="0.25">
      <c r="A101" s="385" t="s">
        <v>139</v>
      </c>
      <c r="B101" s="746"/>
      <c r="C101" s="746"/>
      <c r="D101" s="746"/>
      <c r="E101" s="746"/>
      <c r="F101" s="646"/>
      <c r="G101" s="647"/>
      <c r="H101" s="646"/>
      <c r="I101" s="647"/>
      <c r="J101"/>
    </row>
    <row r="102" spans="1:10" ht="15" customHeight="1" thickBot="1" x14ac:dyDescent="0.3">
      <c r="A102" s="385" t="s">
        <v>140</v>
      </c>
      <c r="B102" s="675"/>
      <c r="C102" s="663"/>
      <c r="D102" s="676"/>
      <c r="E102" s="677"/>
      <c r="F102" s="646"/>
      <c r="G102" s="647"/>
      <c r="H102" s="646"/>
      <c r="I102" s="647"/>
      <c r="J102"/>
    </row>
    <row r="103" spans="1:10" ht="15" customHeight="1" thickBot="1" x14ac:dyDescent="0.3">
      <c r="A103" s="386" t="s">
        <v>123</v>
      </c>
      <c r="B103" s="81"/>
      <c r="C103" s="81"/>
      <c r="D103" s="81"/>
      <c r="E103" s="82"/>
      <c r="F103" s="91"/>
      <c r="G103" s="92"/>
      <c r="H103" s="91"/>
      <c r="I103" s="92"/>
      <c r="J103"/>
    </row>
    <row r="104" spans="1:10" ht="15" customHeight="1" x14ac:dyDescent="0.25">
      <c r="A104" s="388"/>
      <c r="B104" s="107"/>
      <c r="C104" s="108"/>
      <c r="D104" s="109"/>
      <c r="E104" s="108"/>
      <c r="F104" s="110"/>
      <c r="G104" s="111"/>
      <c r="H104" s="112"/>
      <c r="I104" s="113"/>
      <c r="J104"/>
    </row>
    <row r="105" spans="1:10" ht="15" customHeight="1" thickBot="1" x14ac:dyDescent="0.3">
      <c r="A105" s="389" t="s">
        <v>124</v>
      </c>
      <c r="B105" s="114"/>
      <c r="C105" s="115"/>
      <c r="D105" s="115"/>
      <c r="E105" s="115"/>
      <c r="F105" s="116"/>
      <c r="G105" s="117"/>
      <c r="H105" s="116"/>
      <c r="I105" s="118"/>
      <c r="J105"/>
    </row>
    <row r="106" spans="1:10" ht="15" customHeight="1" thickBot="1" x14ac:dyDescent="0.3">
      <c r="A106" s="385" t="s">
        <v>125</v>
      </c>
      <c r="B106" s="104"/>
      <c r="C106" s="104"/>
      <c r="D106" s="104"/>
      <c r="E106" s="104"/>
      <c r="F106" s="91"/>
      <c r="G106" s="92"/>
      <c r="H106" s="91"/>
      <c r="I106" s="92"/>
      <c r="J106"/>
    </row>
    <row r="107" spans="1:10" ht="15" customHeight="1" x14ac:dyDescent="0.25">
      <c r="A107" s="380" t="s">
        <v>126</v>
      </c>
      <c r="B107" s="746"/>
      <c r="C107" s="746"/>
      <c r="D107" s="746"/>
      <c r="E107" s="746"/>
      <c r="F107" s="646"/>
      <c r="G107" s="647"/>
      <c r="H107" s="646"/>
      <c r="I107" s="647"/>
      <c r="J107"/>
    </row>
    <row r="108" spans="1:10" ht="15" customHeight="1" x14ac:dyDescent="0.25">
      <c r="A108" s="380" t="s">
        <v>144</v>
      </c>
      <c r="B108" s="746"/>
      <c r="C108" s="746"/>
      <c r="D108" s="746"/>
      <c r="E108" s="746"/>
      <c r="F108" s="646"/>
      <c r="G108" s="647"/>
      <c r="H108" s="646"/>
      <c r="I108" s="647"/>
      <c r="J108"/>
    </row>
    <row r="109" spans="1:10" ht="15" customHeight="1" x14ac:dyDescent="0.25">
      <c r="A109" s="381" t="s">
        <v>141</v>
      </c>
      <c r="B109" s="645"/>
      <c r="C109" s="645"/>
      <c r="D109" s="645"/>
      <c r="E109" s="645"/>
      <c r="F109" s="646"/>
      <c r="G109" s="647"/>
      <c r="H109" s="646"/>
      <c r="I109" s="647"/>
      <c r="J109"/>
    </row>
    <row r="110" spans="1:10" ht="15" customHeight="1" x14ac:dyDescent="0.25">
      <c r="A110" s="380" t="s">
        <v>129</v>
      </c>
      <c r="B110" s="645"/>
      <c r="C110" s="645"/>
      <c r="D110" s="645"/>
      <c r="E110" s="645"/>
      <c r="F110" s="646"/>
      <c r="G110" s="647"/>
      <c r="H110" s="646"/>
      <c r="I110" s="647"/>
      <c r="J110"/>
    </row>
    <row r="111" spans="1:10" ht="15" customHeight="1" x14ac:dyDescent="0.25">
      <c r="A111" s="385" t="s">
        <v>130</v>
      </c>
      <c r="B111" s="645"/>
      <c r="C111" s="645"/>
      <c r="D111" s="645"/>
      <c r="E111" s="645"/>
      <c r="F111" s="646"/>
      <c r="G111" s="647"/>
      <c r="H111" s="646"/>
      <c r="I111" s="647"/>
      <c r="J111"/>
    </row>
    <row r="112" spans="1:10" ht="15" customHeight="1" x14ac:dyDescent="0.25">
      <c r="A112" s="385"/>
      <c r="B112" s="645"/>
      <c r="C112" s="645"/>
      <c r="D112" s="645"/>
      <c r="E112" s="645"/>
      <c r="F112" s="747"/>
      <c r="G112" s="748"/>
      <c r="H112" s="747"/>
      <c r="I112" s="748"/>
      <c r="J112"/>
    </row>
    <row r="113" spans="1:10" ht="15" customHeight="1" x14ac:dyDescent="0.25">
      <c r="A113" s="385"/>
      <c r="B113" s="645"/>
      <c r="C113" s="645"/>
      <c r="D113" s="645"/>
      <c r="E113" s="645"/>
      <c r="F113" s="747"/>
      <c r="G113" s="748"/>
      <c r="H113" s="747"/>
      <c r="I113" s="748"/>
      <c r="J113"/>
    </row>
    <row r="114" spans="1:10" ht="15" customHeight="1" thickBot="1" x14ac:dyDescent="0.3">
      <c r="A114" s="385"/>
      <c r="B114" s="668"/>
      <c r="C114" s="668"/>
      <c r="D114" s="669"/>
      <c r="E114" s="669"/>
      <c r="F114" s="670"/>
      <c r="G114" s="671"/>
      <c r="H114" s="672"/>
      <c r="I114" s="673"/>
      <c r="J114"/>
    </row>
    <row r="115" spans="1:10" ht="15" customHeight="1" thickBot="1" x14ac:dyDescent="0.3">
      <c r="A115" s="386" t="s">
        <v>131</v>
      </c>
      <c r="B115" s="104"/>
      <c r="C115" s="104"/>
      <c r="D115" s="104"/>
      <c r="E115" s="104"/>
      <c r="F115" s="657"/>
      <c r="G115" s="625"/>
      <c r="H115" s="657"/>
      <c r="I115" s="625"/>
      <c r="J115"/>
    </row>
    <row r="116" spans="1:10" ht="15" customHeight="1" thickBot="1" x14ac:dyDescent="0.3">
      <c r="A116" s="385"/>
      <c r="B116" s="121"/>
      <c r="C116" s="122"/>
      <c r="D116" s="122"/>
      <c r="E116" s="122"/>
      <c r="F116" s="123"/>
      <c r="G116" s="124"/>
      <c r="H116" s="123"/>
      <c r="I116" s="125"/>
      <c r="J116"/>
    </row>
    <row r="117" spans="1:10" ht="15" customHeight="1" thickBot="1" x14ac:dyDescent="0.3">
      <c r="A117" s="386" t="s">
        <v>132</v>
      </c>
      <c r="B117" s="104"/>
      <c r="C117" s="104"/>
      <c r="D117" s="104"/>
      <c r="E117" s="104"/>
      <c r="F117" s="104"/>
      <c r="G117" s="105"/>
      <c r="H117" s="104"/>
      <c r="I117" s="105"/>
      <c r="J117"/>
    </row>
    <row r="118" spans="1:10" ht="15" customHeight="1" x14ac:dyDescent="0.3">
      <c r="J118"/>
    </row>
    <row r="119" spans="1:10" ht="15" customHeight="1" x14ac:dyDescent="0.3">
      <c r="J119"/>
    </row>
    <row r="120" spans="1:10" ht="15" customHeight="1" x14ac:dyDescent="0.35">
      <c r="B120" s="217">
        <f t="shared" ref="B120:E122" si="0">B41-B69+B97</f>
        <v>0</v>
      </c>
      <c r="C120" s="217">
        <f t="shared" si="0"/>
        <v>0</v>
      </c>
      <c r="D120" s="217">
        <f t="shared" si="0"/>
        <v>0</v>
      </c>
      <c r="E120" s="217">
        <f t="shared" si="0"/>
        <v>0</v>
      </c>
      <c r="J120"/>
    </row>
    <row r="121" spans="1:10" ht="15" customHeight="1" x14ac:dyDescent="0.35">
      <c r="B121" s="217">
        <f t="shared" si="0"/>
        <v>0</v>
      </c>
      <c r="C121" s="217">
        <f t="shared" si="0"/>
        <v>0</v>
      </c>
      <c r="D121" s="217">
        <f t="shared" si="0"/>
        <v>0</v>
      </c>
      <c r="E121" s="217">
        <f t="shared" si="0"/>
        <v>0</v>
      </c>
      <c r="J121"/>
    </row>
    <row r="122" spans="1:10" ht="15.5" x14ac:dyDescent="0.35">
      <c r="B122" s="217">
        <f t="shared" si="0"/>
        <v>0</v>
      </c>
      <c r="C122" s="217">
        <f t="shared" si="0"/>
        <v>0</v>
      </c>
      <c r="D122" s="217">
        <f t="shared" si="0"/>
        <v>0</v>
      </c>
      <c r="E122" s="217">
        <f t="shared" si="0"/>
        <v>0</v>
      </c>
      <c r="J122"/>
    </row>
    <row r="123" spans="1:10" ht="15.5" x14ac:dyDescent="0.35">
      <c r="B123" s="217">
        <f t="shared" ref="B123:E127" si="1">B45-B72+B100</f>
        <v>0</v>
      </c>
      <c r="C123" s="217">
        <f t="shared" si="1"/>
        <v>0</v>
      </c>
      <c r="D123" s="217">
        <f t="shared" si="1"/>
        <v>0</v>
      </c>
      <c r="E123" s="217">
        <f t="shared" si="1"/>
        <v>0</v>
      </c>
      <c r="J123"/>
    </row>
    <row r="124" spans="1:10" ht="15.5" x14ac:dyDescent="0.35">
      <c r="B124" s="217">
        <f t="shared" si="1"/>
        <v>0</v>
      </c>
      <c r="C124" s="217">
        <f t="shared" si="1"/>
        <v>0</v>
      </c>
      <c r="D124" s="217">
        <f t="shared" si="1"/>
        <v>0</v>
      </c>
      <c r="E124" s="217">
        <f t="shared" si="1"/>
        <v>0</v>
      </c>
      <c r="J124"/>
    </row>
    <row r="125" spans="1:10" ht="15.5" x14ac:dyDescent="0.35">
      <c r="B125" s="217">
        <f t="shared" si="1"/>
        <v>0</v>
      </c>
      <c r="C125" s="217">
        <f t="shared" si="1"/>
        <v>0</v>
      </c>
      <c r="D125" s="217">
        <f t="shared" si="1"/>
        <v>0</v>
      </c>
      <c r="E125" s="217">
        <f t="shared" si="1"/>
        <v>0</v>
      </c>
      <c r="J125"/>
    </row>
    <row r="126" spans="1:10" ht="15.5" x14ac:dyDescent="0.35">
      <c r="B126" s="217">
        <f t="shared" si="1"/>
        <v>0</v>
      </c>
      <c r="C126" s="217">
        <f t="shared" si="1"/>
        <v>0</v>
      </c>
      <c r="D126" s="217">
        <f t="shared" si="1"/>
        <v>0</v>
      </c>
      <c r="E126" s="217">
        <f t="shared" si="1"/>
        <v>0</v>
      </c>
      <c r="J126"/>
    </row>
    <row r="127" spans="1:10" ht="15.5" x14ac:dyDescent="0.35">
      <c r="B127" s="217">
        <f t="shared" si="1"/>
        <v>0</v>
      </c>
      <c r="C127" s="217">
        <f t="shared" si="1"/>
        <v>0</v>
      </c>
      <c r="D127" s="217">
        <f t="shared" si="1"/>
        <v>0</v>
      </c>
      <c r="E127" s="217">
        <f t="shared" si="1"/>
        <v>0</v>
      </c>
      <c r="J127"/>
    </row>
    <row r="128" spans="1:10" ht="15.5" x14ac:dyDescent="0.35">
      <c r="B128" s="217">
        <f t="shared" ref="B128:E140" si="2">B49-B77+B105</f>
        <v>0</v>
      </c>
      <c r="C128" s="217">
        <f t="shared" si="2"/>
        <v>0</v>
      </c>
      <c r="D128" s="217">
        <f t="shared" si="2"/>
        <v>0</v>
      </c>
      <c r="E128" s="217">
        <f t="shared" si="2"/>
        <v>0</v>
      </c>
      <c r="J128"/>
    </row>
    <row r="129" spans="1:5" customFormat="1" ht="15.5" x14ac:dyDescent="0.35">
      <c r="A129" s="347"/>
      <c r="B129" s="217">
        <f t="shared" si="2"/>
        <v>0</v>
      </c>
      <c r="C129" s="217">
        <f t="shared" si="2"/>
        <v>0</v>
      </c>
      <c r="D129" s="217">
        <f t="shared" si="2"/>
        <v>0</v>
      </c>
      <c r="E129" s="217">
        <f t="shared" si="2"/>
        <v>0</v>
      </c>
    </row>
    <row r="130" spans="1:5" customFormat="1" ht="15.5" x14ac:dyDescent="0.35">
      <c r="A130" s="347"/>
      <c r="B130" s="217">
        <f t="shared" si="2"/>
        <v>0</v>
      </c>
      <c r="C130" s="217">
        <f t="shared" si="2"/>
        <v>0</v>
      </c>
      <c r="D130" s="217">
        <f t="shared" si="2"/>
        <v>0</v>
      </c>
      <c r="E130" s="217">
        <f t="shared" si="2"/>
        <v>0</v>
      </c>
    </row>
    <row r="131" spans="1:5" customFormat="1" ht="15.5" x14ac:dyDescent="0.35">
      <c r="A131" s="347"/>
      <c r="B131" s="217">
        <f t="shared" si="2"/>
        <v>0</v>
      </c>
      <c r="C131" s="217">
        <f t="shared" si="2"/>
        <v>0</v>
      </c>
      <c r="D131" s="217">
        <f t="shared" si="2"/>
        <v>0</v>
      </c>
      <c r="E131" s="217">
        <f t="shared" si="2"/>
        <v>0</v>
      </c>
    </row>
    <row r="132" spans="1:5" customFormat="1" ht="15.5" x14ac:dyDescent="0.35">
      <c r="A132" s="347"/>
      <c r="B132" s="217">
        <f t="shared" si="2"/>
        <v>0</v>
      </c>
      <c r="C132" s="217">
        <f t="shared" si="2"/>
        <v>0</v>
      </c>
      <c r="D132" s="217">
        <f t="shared" si="2"/>
        <v>0</v>
      </c>
      <c r="E132" s="217">
        <f t="shared" si="2"/>
        <v>0</v>
      </c>
    </row>
    <row r="133" spans="1:5" customFormat="1" ht="15.5" x14ac:dyDescent="0.35">
      <c r="A133" s="347"/>
      <c r="B133" s="217">
        <f t="shared" si="2"/>
        <v>0</v>
      </c>
      <c r="C133" s="217">
        <f t="shared" si="2"/>
        <v>0</v>
      </c>
      <c r="D133" s="217">
        <f t="shared" si="2"/>
        <v>0</v>
      </c>
      <c r="E133" s="217">
        <f t="shared" si="2"/>
        <v>0</v>
      </c>
    </row>
    <row r="134" spans="1:5" customFormat="1" ht="15.5" x14ac:dyDescent="0.35">
      <c r="A134" s="347"/>
      <c r="B134" s="217">
        <f t="shared" si="2"/>
        <v>0</v>
      </c>
      <c r="C134" s="217">
        <f t="shared" si="2"/>
        <v>0</v>
      </c>
      <c r="D134" s="217">
        <f t="shared" si="2"/>
        <v>0</v>
      </c>
      <c r="E134" s="217">
        <f t="shared" si="2"/>
        <v>0</v>
      </c>
    </row>
    <row r="135" spans="1:5" customFormat="1" ht="15.5" x14ac:dyDescent="0.35">
      <c r="A135" s="347"/>
      <c r="B135" s="217">
        <f t="shared" si="2"/>
        <v>0</v>
      </c>
      <c r="C135" s="217">
        <f t="shared" si="2"/>
        <v>0</v>
      </c>
      <c r="D135" s="217">
        <f t="shared" si="2"/>
        <v>0</v>
      </c>
      <c r="E135" s="217">
        <f t="shared" si="2"/>
        <v>0</v>
      </c>
    </row>
    <row r="136" spans="1:5" customFormat="1" ht="15.5" x14ac:dyDescent="0.35">
      <c r="A136" s="347"/>
      <c r="B136" s="217">
        <f t="shared" si="2"/>
        <v>0</v>
      </c>
      <c r="C136" s="217">
        <f t="shared" si="2"/>
        <v>0</v>
      </c>
      <c r="D136" s="217">
        <f t="shared" si="2"/>
        <v>0</v>
      </c>
      <c r="E136" s="217">
        <f t="shared" si="2"/>
        <v>0</v>
      </c>
    </row>
    <row r="137" spans="1:5" customFormat="1" ht="15.5" x14ac:dyDescent="0.35">
      <c r="A137" s="347"/>
      <c r="B137" s="217">
        <f t="shared" si="2"/>
        <v>0</v>
      </c>
      <c r="C137" s="217">
        <f t="shared" si="2"/>
        <v>0</v>
      </c>
      <c r="D137" s="217">
        <f t="shared" si="2"/>
        <v>0</v>
      </c>
      <c r="E137" s="217">
        <f t="shared" si="2"/>
        <v>0</v>
      </c>
    </row>
    <row r="138" spans="1:5" customFormat="1" ht="15.5" x14ac:dyDescent="0.35">
      <c r="A138" s="347"/>
      <c r="B138" s="217">
        <f t="shared" si="2"/>
        <v>0</v>
      </c>
      <c r="C138" s="217">
        <f t="shared" si="2"/>
        <v>0</v>
      </c>
      <c r="D138" s="217">
        <f t="shared" si="2"/>
        <v>0</v>
      </c>
      <c r="E138" s="217">
        <f t="shared" si="2"/>
        <v>0</v>
      </c>
    </row>
    <row r="139" spans="1:5" customFormat="1" ht="15.5" x14ac:dyDescent="0.35">
      <c r="A139" s="347"/>
      <c r="B139" s="217">
        <f t="shared" si="2"/>
        <v>0</v>
      </c>
      <c r="C139" s="217">
        <f t="shared" si="2"/>
        <v>0</v>
      </c>
      <c r="D139" s="217">
        <f t="shared" si="2"/>
        <v>0</v>
      </c>
      <c r="E139" s="217">
        <f t="shared" si="2"/>
        <v>0</v>
      </c>
    </row>
    <row r="140" spans="1:5" customFormat="1" ht="15.5" x14ac:dyDescent="0.35">
      <c r="A140" s="347"/>
      <c r="B140" s="217">
        <f t="shared" si="2"/>
        <v>0</v>
      </c>
      <c r="C140" s="217">
        <f t="shared" si="2"/>
        <v>0</v>
      </c>
      <c r="D140" s="217">
        <f t="shared" si="2"/>
        <v>0</v>
      </c>
      <c r="E140" s="217">
        <f t="shared" si="2"/>
        <v>0</v>
      </c>
    </row>
  </sheetData>
  <mergeCells count="49">
    <mergeCell ref="F6:I6"/>
    <mergeCell ref="F7:G7"/>
    <mergeCell ref="H7:I7"/>
    <mergeCell ref="F65:I65"/>
    <mergeCell ref="F66:G66"/>
    <mergeCell ref="H66:I66"/>
    <mergeCell ref="F37:I37"/>
    <mergeCell ref="F38:G38"/>
    <mergeCell ref="H38:I38"/>
    <mergeCell ref="F39:F40"/>
    <mergeCell ref="G39:G40"/>
    <mergeCell ref="H39:H40"/>
    <mergeCell ref="I39:I40"/>
    <mergeCell ref="F8:F9"/>
    <mergeCell ref="G8:G9"/>
    <mergeCell ref="H8:H9"/>
    <mergeCell ref="A3:E3"/>
    <mergeCell ref="B37:C37"/>
    <mergeCell ref="D37:E37"/>
    <mergeCell ref="B65:C65"/>
    <mergeCell ref="D65:E65"/>
    <mergeCell ref="B5:C5"/>
    <mergeCell ref="B6:C6"/>
    <mergeCell ref="D6:E6"/>
    <mergeCell ref="A8:A9"/>
    <mergeCell ref="B8:E9"/>
    <mergeCell ref="A37:A38"/>
    <mergeCell ref="B39:E40"/>
    <mergeCell ref="B64:C64"/>
    <mergeCell ref="I8:I9"/>
    <mergeCell ref="B36:C36"/>
    <mergeCell ref="A65:A66"/>
    <mergeCell ref="B67:E68"/>
    <mergeCell ref="F67:F68"/>
    <mergeCell ref="G67:G68"/>
    <mergeCell ref="H67:H68"/>
    <mergeCell ref="I67:I68"/>
    <mergeCell ref="B92:C92"/>
    <mergeCell ref="A93:A94"/>
    <mergeCell ref="F93:I93"/>
    <mergeCell ref="F94:G94"/>
    <mergeCell ref="H94:I94"/>
    <mergeCell ref="B93:C93"/>
    <mergeCell ref="D93:E93"/>
    <mergeCell ref="B95:E96"/>
    <mergeCell ref="F95:F96"/>
    <mergeCell ref="G95:G96"/>
    <mergeCell ref="H95:H96"/>
    <mergeCell ref="I95:I96"/>
  </mergeCells>
  <dataValidations count="1">
    <dataValidation type="list" allowBlank="1" showInputMessage="1" showErrorMessage="1" sqref="WBR983045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VRV983045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IX983045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ST983045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ACP983045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AML983045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AWH983045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GD983045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PZ983045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ZV983045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CJR983045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CTN983045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DDJ983045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DNF983045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DXB983045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EGX983045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WLN983045 IX64 ST64 ACP64 AML64 AWH64 BGD64 BPZ64 BZV64 CJR64 CTN64 DDJ64 DNF64 DXB64 EGX64 EQT64 FAP64 FKL64 FUH64 GED64 GNZ64 GXV64 HHR64 HRN64 IBJ64 ILF64 IVB64 JEX64 JOT64 JYP64 KIL64 KSH64 LCD64 LLZ64 LVV64 MFR64 MPN64 MZJ64 NJF64 NTB64 OCX64 OMT64 OWP64 PGL64 PQH64 QAD64 QJZ64 QTV64 RDR64 RNN64 RXJ64 SHF64 SRB64 TAX64 TKT64 TUP64 UEL64 UOH64 UYD64 VHZ64 VRV64 WBR64 WLN64 WVJ64 EQT983045 IX65600 ST65600 ACP65600 AML65600 AWH65600 BGD65600 BPZ65600 BZV65600 CJR65600 CTN65600 DDJ65600 DNF65600 DXB65600 EGX65600 EQT65600 FAP65600 FKL65600 FUH65600 GED65600 GNZ65600 GXV65600 HHR65600 HRN65600 IBJ65600 ILF65600 IVB65600 JEX65600 JOT65600 JYP65600 KIL65600 KSH65600 LCD65600 LLZ65600 LVV65600 MFR65600 MPN65600 MZJ65600 NJF65600 NTB65600 OCX65600 OMT65600 OWP65600 PGL65600 PQH65600 QAD65600 QJZ65600 QTV65600 RDR65600 RNN65600 RXJ65600 SHF65600 SRB65600 TAX65600 TKT65600 TUP65600 UEL65600 UOH65600 UYD65600 VHZ65600 VRV65600 WBR65600 WLN65600 WVJ65600 FAP983045 IX131136 ST131136 ACP131136 AML131136 AWH131136 BGD131136 BPZ131136 BZV131136 CJR131136 CTN131136 DDJ131136 DNF131136 DXB131136 EGX131136 EQT131136 FAP131136 FKL131136 FUH131136 GED131136 GNZ131136 GXV131136 HHR131136 HRN131136 IBJ131136 ILF131136 IVB131136 JEX131136 JOT131136 JYP131136 KIL131136 KSH131136 LCD131136 LLZ131136 LVV131136 MFR131136 MPN131136 MZJ131136 NJF131136 NTB131136 OCX131136 OMT131136 OWP131136 PGL131136 PQH131136 QAD131136 QJZ131136 QTV131136 RDR131136 RNN131136 RXJ131136 SHF131136 SRB131136 TAX131136 TKT131136 TUP131136 UEL131136 UOH131136 UYD131136 VHZ131136 VRV131136 WBR131136 WLN131136 WVJ131136 FKL983045 IX196672 ST196672 ACP196672 AML196672 AWH196672 BGD196672 BPZ196672 BZV196672 CJR196672 CTN196672 DDJ196672 DNF196672 DXB196672 EGX196672 EQT196672 FAP196672 FKL196672 FUH196672 GED196672 GNZ196672 GXV196672 HHR196672 HRN196672 IBJ196672 ILF196672 IVB196672 JEX196672 JOT196672 JYP196672 KIL196672 KSH196672 LCD196672 LLZ196672 LVV196672 MFR196672 MPN196672 MZJ196672 NJF196672 NTB196672 OCX196672 OMT196672 OWP196672 PGL196672 PQH196672 QAD196672 QJZ196672 QTV196672 RDR196672 RNN196672 RXJ196672 SHF196672 SRB196672 TAX196672 TKT196672 TUP196672 UEL196672 UOH196672 UYD196672 VHZ196672 VRV196672 WBR196672 WLN196672 WVJ196672 FUH983045 IX262208 ST262208 ACP262208 AML262208 AWH262208 BGD262208 BPZ262208 BZV262208 CJR262208 CTN262208 DDJ262208 DNF262208 DXB262208 EGX262208 EQT262208 FAP262208 FKL262208 FUH262208 GED262208 GNZ262208 GXV262208 HHR262208 HRN262208 IBJ262208 ILF262208 IVB262208 JEX262208 JOT262208 JYP262208 KIL262208 KSH262208 LCD262208 LLZ262208 LVV262208 MFR262208 MPN262208 MZJ262208 NJF262208 NTB262208 OCX262208 OMT262208 OWP262208 PGL262208 PQH262208 QAD262208 QJZ262208 QTV262208 RDR262208 RNN262208 RXJ262208 SHF262208 SRB262208 TAX262208 TKT262208 TUP262208 UEL262208 UOH262208 UYD262208 VHZ262208 VRV262208 WBR262208 WLN262208 WVJ262208 GED983045 IX327744 ST327744 ACP327744 AML327744 AWH327744 BGD327744 BPZ327744 BZV327744 CJR327744 CTN327744 DDJ327744 DNF327744 DXB327744 EGX327744 EQT327744 FAP327744 FKL327744 FUH327744 GED327744 GNZ327744 GXV327744 HHR327744 HRN327744 IBJ327744 ILF327744 IVB327744 JEX327744 JOT327744 JYP327744 KIL327744 KSH327744 LCD327744 LLZ327744 LVV327744 MFR327744 MPN327744 MZJ327744 NJF327744 NTB327744 OCX327744 OMT327744 OWP327744 PGL327744 PQH327744 QAD327744 QJZ327744 QTV327744 RDR327744 RNN327744 RXJ327744 SHF327744 SRB327744 TAX327744 TKT327744 TUP327744 UEL327744 UOH327744 UYD327744 VHZ327744 VRV327744 WBR327744 WLN327744 WVJ327744 GNZ983045 IX393280 ST393280 ACP393280 AML393280 AWH393280 BGD393280 BPZ393280 BZV393280 CJR393280 CTN393280 DDJ393280 DNF393280 DXB393280 EGX393280 EQT393280 FAP393280 FKL393280 FUH393280 GED393280 GNZ393280 GXV393280 HHR393280 HRN393280 IBJ393280 ILF393280 IVB393280 JEX393280 JOT393280 JYP393280 KIL393280 KSH393280 LCD393280 LLZ393280 LVV393280 MFR393280 MPN393280 MZJ393280 NJF393280 NTB393280 OCX393280 OMT393280 OWP393280 PGL393280 PQH393280 QAD393280 QJZ393280 QTV393280 RDR393280 RNN393280 RXJ393280 SHF393280 SRB393280 TAX393280 TKT393280 TUP393280 UEL393280 UOH393280 UYD393280 VHZ393280 VRV393280 WBR393280 WLN393280 WVJ393280 GXV983045 IX458816 ST458816 ACP458816 AML458816 AWH458816 BGD458816 BPZ458816 BZV458816 CJR458816 CTN458816 DDJ458816 DNF458816 DXB458816 EGX458816 EQT458816 FAP458816 FKL458816 FUH458816 GED458816 GNZ458816 GXV458816 HHR458816 HRN458816 IBJ458816 ILF458816 IVB458816 JEX458816 JOT458816 JYP458816 KIL458816 KSH458816 LCD458816 LLZ458816 LVV458816 MFR458816 MPN458816 MZJ458816 NJF458816 NTB458816 OCX458816 OMT458816 OWP458816 PGL458816 PQH458816 QAD458816 QJZ458816 QTV458816 RDR458816 RNN458816 RXJ458816 SHF458816 SRB458816 TAX458816 TKT458816 TUP458816 UEL458816 UOH458816 UYD458816 VHZ458816 VRV458816 WBR458816 WLN458816 WVJ458816 HHR983045 IX524352 ST524352 ACP524352 AML524352 AWH524352 BGD524352 BPZ524352 BZV524352 CJR524352 CTN524352 DDJ524352 DNF524352 DXB524352 EGX524352 EQT524352 FAP524352 FKL524352 FUH524352 GED524352 GNZ524352 GXV524352 HHR524352 HRN524352 IBJ524352 ILF524352 IVB524352 JEX524352 JOT524352 JYP524352 KIL524352 KSH524352 LCD524352 LLZ524352 LVV524352 MFR524352 MPN524352 MZJ524352 NJF524352 NTB524352 OCX524352 OMT524352 OWP524352 PGL524352 PQH524352 QAD524352 QJZ524352 QTV524352 RDR524352 RNN524352 RXJ524352 SHF524352 SRB524352 TAX524352 TKT524352 TUP524352 UEL524352 UOH524352 UYD524352 VHZ524352 VRV524352 WBR524352 WLN524352 WVJ524352 HRN983045 IX589888 ST589888 ACP589888 AML589888 AWH589888 BGD589888 BPZ589888 BZV589888 CJR589888 CTN589888 DDJ589888 DNF589888 DXB589888 EGX589888 EQT589888 FAP589888 FKL589888 FUH589888 GED589888 GNZ589888 GXV589888 HHR589888 HRN589888 IBJ589888 ILF589888 IVB589888 JEX589888 JOT589888 JYP589888 KIL589888 KSH589888 LCD589888 LLZ589888 LVV589888 MFR589888 MPN589888 MZJ589888 NJF589888 NTB589888 OCX589888 OMT589888 OWP589888 PGL589888 PQH589888 QAD589888 QJZ589888 QTV589888 RDR589888 RNN589888 RXJ589888 SHF589888 SRB589888 TAX589888 TKT589888 TUP589888 UEL589888 UOH589888 UYD589888 VHZ589888 VRV589888 WBR589888 WLN589888 WVJ589888 IBJ983045 IX655424 ST655424 ACP655424 AML655424 AWH655424 BGD655424 BPZ655424 BZV655424 CJR655424 CTN655424 DDJ655424 DNF655424 DXB655424 EGX655424 EQT655424 FAP655424 FKL655424 FUH655424 GED655424 GNZ655424 GXV655424 HHR655424 HRN655424 IBJ655424 ILF655424 IVB655424 JEX655424 JOT655424 JYP655424 KIL655424 KSH655424 LCD655424 LLZ655424 LVV655424 MFR655424 MPN655424 MZJ655424 NJF655424 NTB655424 OCX655424 OMT655424 OWP655424 PGL655424 PQH655424 QAD655424 QJZ655424 QTV655424 RDR655424 RNN655424 RXJ655424 SHF655424 SRB655424 TAX655424 TKT655424 TUP655424 UEL655424 UOH655424 UYD655424 VHZ655424 VRV655424 WBR655424 WLN655424 WVJ655424 ILF983045 IX720960 ST720960 ACP720960 AML720960 AWH720960 BGD720960 BPZ720960 BZV720960 CJR720960 CTN720960 DDJ720960 DNF720960 DXB720960 EGX720960 EQT720960 FAP720960 FKL720960 FUH720960 GED720960 GNZ720960 GXV720960 HHR720960 HRN720960 IBJ720960 ILF720960 IVB720960 JEX720960 JOT720960 JYP720960 KIL720960 KSH720960 LCD720960 LLZ720960 LVV720960 MFR720960 MPN720960 MZJ720960 NJF720960 NTB720960 OCX720960 OMT720960 OWP720960 PGL720960 PQH720960 QAD720960 QJZ720960 QTV720960 RDR720960 RNN720960 RXJ720960 SHF720960 SRB720960 TAX720960 TKT720960 TUP720960 UEL720960 UOH720960 UYD720960 VHZ720960 VRV720960 WBR720960 WLN720960 WVJ720960 IVB983045 IX786496 ST786496 ACP786496 AML786496 AWH786496 BGD786496 BPZ786496 BZV786496 CJR786496 CTN786496 DDJ786496 DNF786496 DXB786496 EGX786496 EQT786496 FAP786496 FKL786496 FUH786496 GED786496 GNZ786496 GXV786496 HHR786496 HRN786496 IBJ786496 ILF786496 IVB786496 JEX786496 JOT786496 JYP786496 KIL786496 KSH786496 LCD786496 LLZ786496 LVV786496 MFR786496 MPN786496 MZJ786496 NJF786496 NTB786496 OCX786496 OMT786496 OWP786496 PGL786496 PQH786496 QAD786496 QJZ786496 QTV786496 RDR786496 RNN786496 RXJ786496 SHF786496 SRB786496 TAX786496 TKT786496 TUP786496 UEL786496 UOH786496 UYD786496 VHZ786496 VRV786496 WBR786496 WLN786496 WVJ786496 JEX983045 IX852032 ST852032 ACP852032 AML852032 AWH852032 BGD852032 BPZ852032 BZV852032 CJR852032 CTN852032 DDJ852032 DNF852032 DXB852032 EGX852032 EQT852032 FAP852032 FKL852032 FUH852032 GED852032 GNZ852032 GXV852032 HHR852032 HRN852032 IBJ852032 ILF852032 IVB852032 JEX852032 JOT852032 JYP852032 KIL852032 KSH852032 LCD852032 LLZ852032 LVV852032 MFR852032 MPN852032 MZJ852032 NJF852032 NTB852032 OCX852032 OMT852032 OWP852032 PGL852032 PQH852032 QAD852032 QJZ852032 QTV852032 RDR852032 RNN852032 RXJ852032 SHF852032 SRB852032 TAX852032 TKT852032 TUP852032 UEL852032 UOH852032 UYD852032 VHZ852032 VRV852032 WBR852032 WLN852032 WVJ852032 JOT983045 IX917568 ST917568 ACP917568 AML917568 AWH917568 BGD917568 BPZ917568 BZV917568 CJR917568 CTN917568 DDJ917568 DNF917568 DXB917568 EGX917568 EQT917568 FAP917568 FKL917568 FUH917568 GED917568 GNZ917568 GXV917568 HHR917568 HRN917568 IBJ917568 ILF917568 IVB917568 JEX917568 JOT917568 JYP917568 KIL917568 KSH917568 LCD917568 LLZ917568 LVV917568 MFR917568 MPN917568 MZJ917568 NJF917568 NTB917568 OCX917568 OMT917568 OWP917568 PGL917568 PQH917568 QAD917568 QJZ917568 QTV917568 RDR917568 RNN917568 RXJ917568 SHF917568 SRB917568 TAX917568 TKT917568 TUP917568 UEL917568 UOH917568 UYD917568 VHZ917568 VRV917568 WBR917568 WLN917568 WVJ917568 JYP983045 IX983104 ST983104 ACP983104 AML983104 AWH983104 BGD983104 BPZ983104 BZV983104 CJR983104 CTN983104 DDJ983104 DNF983104 DXB983104 EGX983104 EQT983104 FAP983104 FKL983104 FUH983104 GED983104 GNZ983104 GXV983104 HHR983104 HRN983104 IBJ983104 ILF983104 IVB983104 JEX983104 JOT983104 JYP983104 KIL983104 KSH983104 LCD983104 LLZ983104 LVV983104 MFR983104 MPN983104 MZJ983104 NJF983104 NTB983104 OCX983104 OMT983104 OWP983104 PGL983104 PQH983104 QAD983104 QJZ983104 QTV983104 RDR983104 RNN983104 RXJ983104 SHF983104 SRB983104 TAX983104 TKT983104 TUP983104 UEL983104 UOH983104 UYD983104 VHZ983104 VRV983104 WBR983104 WLN983104 WVJ983104 WVJ983045 IX92 ST92 ACP92 AML92 AWH92 BGD92 BPZ92 BZV92 CJR92 CTN92 DDJ92 DNF92 DXB92 EGX92 EQT92 FAP92 FKL92 FUH92 GED92 GNZ92 GXV92 HHR92 HRN92 IBJ92 ILF92 IVB92 JEX92 JOT92 JYP92 KIL92 KSH92 LCD92 LLZ92 LVV92 MFR92 MPN92 MZJ92 NJF92 NTB92 OCX92 OMT92 OWP92 PGL92 PQH92 QAD92 QJZ92 QTV92 RDR92 RNN92 RXJ92 SHF92 SRB92 TAX92 TKT92 TUP92 UEL92 UOH92 UYD92 VHZ92 VRV92 WBR92 WLN92 WVJ92 KIL983045 IX65628 ST65628 ACP65628 AML65628 AWH65628 BGD65628 BPZ65628 BZV65628 CJR65628 CTN65628 DDJ65628 DNF65628 DXB65628 EGX65628 EQT65628 FAP65628 FKL65628 FUH65628 GED65628 GNZ65628 GXV65628 HHR65628 HRN65628 IBJ65628 ILF65628 IVB65628 JEX65628 JOT65628 JYP65628 KIL65628 KSH65628 LCD65628 LLZ65628 LVV65628 MFR65628 MPN65628 MZJ65628 NJF65628 NTB65628 OCX65628 OMT65628 OWP65628 PGL65628 PQH65628 QAD65628 QJZ65628 QTV65628 RDR65628 RNN65628 RXJ65628 SHF65628 SRB65628 TAX65628 TKT65628 TUP65628 UEL65628 UOH65628 UYD65628 VHZ65628 VRV65628 WBR65628 WLN65628 WVJ65628 KSH983045 IX131164 ST131164 ACP131164 AML131164 AWH131164 BGD131164 BPZ131164 BZV131164 CJR131164 CTN131164 DDJ131164 DNF131164 DXB131164 EGX131164 EQT131164 FAP131164 FKL131164 FUH131164 GED131164 GNZ131164 GXV131164 HHR131164 HRN131164 IBJ131164 ILF131164 IVB131164 JEX131164 JOT131164 JYP131164 KIL131164 KSH131164 LCD131164 LLZ131164 LVV131164 MFR131164 MPN131164 MZJ131164 NJF131164 NTB131164 OCX131164 OMT131164 OWP131164 PGL131164 PQH131164 QAD131164 QJZ131164 QTV131164 RDR131164 RNN131164 RXJ131164 SHF131164 SRB131164 TAX131164 TKT131164 TUP131164 UEL131164 UOH131164 UYD131164 VHZ131164 VRV131164 WBR131164 WLN131164 WVJ131164 LCD983045 IX196700 ST196700 ACP196700 AML196700 AWH196700 BGD196700 BPZ196700 BZV196700 CJR196700 CTN196700 DDJ196700 DNF196700 DXB196700 EGX196700 EQT196700 FAP196700 FKL196700 FUH196700 GED196700 GNZ196700 GXV196700 HHR196700 HRN196700 IBJ196700 ILF196700 IVB196700 JEX196700 JOT196700 JYP196700 KIL196700 KSH196700 LCD196700 LLZ196700 LVV196700 MFR196700 MPN196700 MZJ196700 NJF196700 NTB196700 OCX196700 OMT196700 OWP196700 PGL196700 PQH196700 QAD196700 QJZ196700 QTV196700 RDR196700 RNN196700 RXJ196700 SHF196700 SRB196700 TAX196700 TKT196700 TUP196700 UEL196700 UOH196700 UYD196700 VHZ196700 VRV196700 WBR196700 WLN196700 WVJ196700 LLZ983045 IX262236 ST262236 ACP262236 AML262236 AWH262236 BGD262236 BPZ262236 BZV262236 CJR262236 CTN262236 DDJ262236 DNF262236 DXB262236 EGX262236 EQT262236 FAP262236 FKL262236 FUH262236 GED262236 GNZ262236 GXV262236 HHR262236 HRN262236 IBJ262236 ILF262236 IVB262236 JEX262236 JOT262236 JYP262236 KIL262236 KSH262236 LCD262236 LLZ262236 LVV262236 MFR262236 MPN262236 MZJ262236 NJF262236 NTB262236 OCX262236 OMT262236 OWP262236 PGL262236 PQH262236 QAD262236 QJZ262236 QTV262236 RDR262236 RNN262236 RXJ262236 SHF262236 SRB262236 TAX262236 TKT262236 TUP262236 UEL262236 UOH262236 UYD262236 VHZ262236 VRV262236 WBR262236 WLN262236 WVJ262236 LVV983045 IX327772 ST327772 ACP327772 AML327772 AWH327772 BGD327772 BPZ327772 BZV327772 CJR327772 CTN327772 DDJ327772 DNF327772 DXB327772 EGX327772 EQT327772 FAP327772 FKL327772 FUH327772 GED327772 GNZ327772 GXV327772 HHR327772 HRN327772 IBJ327772 ILF327772 IVB327772 JEX327772 JOT327772 JYP327772 KIL327772 KSH327772 LCD327772 LLZ327772 LVV327772 MFR327772 MPN327772 MZJ327772 NJF327772 NTB327772 OCX327772 OMT327772 OWP327772 PGL327772 PQH327772 QAD327772 QJZ327772 QTV327772 RDR327772 RNN327772 RXJ327772 SHF327772 SRB327772 TAX327772 TKT327772 TUP327772 UEL327772 UOH327772 UYD327772 VHZ327772 VRV327772 WBR327772 WLN327772 WVJ327772 MFR983045 IX393308 ST393308 ACP393308 AML393308 AWH393308 BGD393308 BPZ393308 BZV393308 CJR393308 CTN393308 DDJ393308 DNF393308 DXB393308 EGX393308 EQT393308 FAP393308 FKL393308 FUH393308 GED393308 GNZ393308 GXV393308 HHR393308 HRN393308 IBJ393308 ILF393308 IVB393308 JEX393308 JOT393308 JYP393308 KIL393308 KSH393308 LCD393308 LLZ393308 LVV393308 MFR393308 MPN393308 MZJ393308 NJF393308 NTB393308 OCX393308 OMT393308 OWP393308 PGL393308 PQH393308 QAD393308 QJZ393308 QTV393308 RDR393308 RNN393308 RXJ393308 SHF393308 SRB393308 TAX393308 TKT393308 TUP393308 UEL393308 UOH393308 UYD393308 VHZ393308 VRV393308 WBR393308 WLN393308 WVJ393308 MPN983045 IX458844 ST458844 ACP458844 AML458844 AWH458844 BGD458844 BPZ458844 BZV458844 CJR458844 CTN458844 DDJ458844 DNF458844 DXB458844 EGX458844 EQT458844 FAP458844 FKL458844 FUH458844 GED458844 GNZ458844 GXV458844 HHR458844 HRN458844 IBJ458844 ILF458844 IVB458844 JEX458844 JOT458844 JYP458844 KIL458844 KSH458844 LCD458844 LLZ458844 LVV458844 MFR458844 MPN458844 MZJ458844 NJF458844 NTB458844 OCX458844 OMT458844 OWP458844 PGL458844 PQH458844 QAD458844 QJZ458844 QTV458844 RDR458844 RNN458844 RXJ458844 SHF458844 SRB458844 TAX458844 TKT458844 TUP458844 UEL458844 UOH458844 UYD458844 VHZ458844 VRV458844 WBR458844 WLN458844 WVJ458844 MZJ983045 IX524380 ST524380 ACP524380 AML524380 AWH524380 BGD524380 BPZ524380 BZV524380 CJR524380 CTN524380 DDJ524380 DNF524380 DXB524380 EGX524380 EQT524380 FAP524380 FKL524380 FUH524380 GED524380 GNZ524380 GXV524380 HHR524380 HRN524380 IBJ524380 ILF524380 IVB524380 JEX524380 JOT524380 JYP524380 KIL524380 KSH524380 LCD524380 LLZ524380 LVV524380 MFR524380 MPN524380 MZJ524380 NJF524380 NTB524380 OCX524380 OMT524380 OWP524380 PGL524380 PQH524380 QAD524380 QJZ524380 QTV524380 RDR524380 RNN524380 RXJ524380 SHF524380 SRB524380 TAX524380 TKT524380 TUP524380 UEL524380 UOH524380 UYD524380 VHZ524380 VRV524380 WBR524380 WLN524380 WVJ524380 NJF983045 IX589916 ST589916 ACP589916 AML589916 AWH589916 BGD589916 BPZ589916 BZV589916 CJR589916 CTN589916 DDJ589916 DNF589916 DXB589916 EGX589916 EQT589916 FAP589916 FKL589916 FUH589916 GED589916 GNZ589916 GXV589916 HHR589916 HRN589916 IBJ589916 ILF589916 IVB589916 JEX589916 JOT589916 JYP589916 KIL589916 KSH589916 LCD589916 LLZ589916 LVV589916 MFR589916 MPN589916 MZJ589916 NJF589916 NTB589916 OCX589916 OMT589916 OWP589916 PGL589916 PQH589916 QAD589916 QJZ589916 QTV589916 RDR589916 RNN589916 RXJ589916 SHF589916 SRB589916 TAX589916 TKT589916 TUP589916 UEL589916 UOH589916 UYD589916 VHZ589916 VRV589916 WBR589916 WLN589916 WVJ589916 NTB983045 IX655452 ST655452 ACP655452 AML655452 AWH655452 BGD655452 BPZ655452 BZV655452 CJR655452 CTN655452 DDJ655452 DNF655452 DXB655452 EGX655452 EQT655452 FAP655452 FKL655452 FUH655452 GED655452 GNZ655452 GXV655452 HHR655452 HRN655452 IBJ655452 ILF655452 IVB655452 JEX655452 JOT655452 JYP655452 KIL655452 KSH655452 LCD655452 LLZ655452 LVV655452 MFR655452 MPN655452 MZJ655452 NJF655452 NTB655452 OCX655452 OMT655452 OWP655452 PGL655452 PQH655452 QAD655452 QJZ655452 QTV655452 RDR655452 RNN655452 RXJ655452 SHF655452 SRB655452 TAX655452 TKT655452 TUP655452 UEL655452 UOH655452 UYD655452 VHZ655452 VRV655452 WBR655452 WLN655452 WVJ655452 OCX983045 IX720988 ST720988 ACP720988 AML720988 AWH720988 BGD720988 BPZ720988 BZV720988 CJR720988 CTN720988 DDJ720988 DNF720988 DXB720988 EGX720988 EQT720988 FAP720988 FKL720988 FUH720988 GED720988 GNZ720988 GXV720988 HHR720988 HRN720988 IBJ720988 ILF720988 IVB720988 JEX720988 JOT720988 JYP720988 KIL720988 KSH720988 LCD720988 LLZ720988 LVV720988 MFR720988 MPN720988 MZJ720988 NJF720988 NTB720988 OCX720988 OMT720988 OWP720988 PGL720988 PQH720988 QAD720988 QJZ720988 QTV720988 RDR720988 RNN720988 RXJ720988 SHF720988 SRB720988 TAX720988 TKT720988 TUP720988 UEL720988 UOH720988 UYD720988 VHZ720988 VRV720988 WBR720988 WLN720988 WVJ720988 OMT983045 IX786524 ST786524 ACP786524 AML786524 AWH786524 BGD786524 BPZ786524 BZV786524 CJR786524 CTN786524 DDJ786524 DNF786524 DXB786524 EGX786524 EQT786524 FAP786524 FKL786524 FUH786524 GED786524 GNZ786524 GXV786524 HHR786524 HRN786524 IBJ786524 ILF786524 IVB786524 JEX786524 JOT786524 JYP786524 KIL786524 KSH786524 LCD786524 LLZ786524 LVV786524 MFR786524 MPN786524 MZJ786524 NJF786524 NTB786524 OCX786524 OMT786524 OWP786524 PGL786524 PQH786524 QAD786524 QJZ786524 QTV786524 RDR786524 RNN786524 RXJ786524 SHF786524 SRB786524 TAX786524 TKT786524 TUP786524 UEL786524 UOH786524 UYD786524 VHZ786524 VRV786524 WBR786524 WLN786524 WVJ786524 OWP983045 IX852060 ST852060 ACP852060 AML852060 AWH852060 BGD852060 BPZ852060 BZV852060 CJR852060 CTN852060 DDJ852060 DNF852060 DXB852060 EGX852060 EQT852060 FAP852060 FKL852060 FUH852060 GED852060 GNZ852060 GXV852060 HHR852060 HRN852060 IBJ852060 ILF852060 IVB852060 JEX852060 JOT852060 JYP852060 KIL852060 KSH852060 LCD852060 LLZ852060 LVV852060 MFR852060 MPN852060 MZJ852060 NJF852060 NTB852060 OCX852060 OMT852060 OWP852060 PGL852060 PQH852060 QAD852060 QJZ852060 QTV852060 RDR852060 RNN852060 RXJ852060 SHF852060 SRB852060 TAX852060 TKT852060 TUP852060 UEL852060 UOH852060 UYD852060 VHZ852060 VRV852060 WBR852060 WLN852060 WVJ852060 PGL983045 IX917596 ST917596 ACP917596 AML917596 AWH917596 BGD917596 BPZ917596 BZV917596 CJR917596 CTN917596 DDJ917596 DNF917596 DXB917596 EGX917596 EQT917596 FAP917596 FKL917596 FUH917596 GED917596 GNZ917596 GXV917596 HHR917596 HRN917596 IBJ917596 ILF917596 IVB917596 JEX917596 JOT917596 JYP917596 KIL917596 KSH917596 LCD917596 LLZ917596 LVV917596 MFR917596 MPN917596 MZJ917596 NJF917596 NTB917596 OCX917596 OMT917596 OWP917596 PGL917596 PQH917596 QAD917596 QJZ917596 QTV917596 RDR917596 RNN917596 RXJ917596 SHF917596 SRB917596 TAX917596 TKT917596 TUP917596 UEL917596 UOH917596 UYD917596 VHZ917596 VRV917596 WBR917596 WLN917596 WVJ917596 PQH983045 IX983132 ST983132 ACP983132 AML983132 AWH983132 BGD983132 BPZ983132 BZV983132 CJR983132 CTN983132 DDJ983132 DNF983132 DXB983132 EGX983132 EQT983132 FAP983132 FKL983132 FUH983132 GED983132 GNZ983132 GXV983132 HHR983132 HRN983132 IBJ983132 ILF983132 IVB983132 JEX983132 JOT983132 JYP983132 KIL983132 KSH983132 LCD983132 LLZ983132 LVV983132 MFR983132 MPN983132 MZJ983132 NJF983132 NTB983132 OCX983132 OMT983132 OWP983132 PGL983132 PQH983132 QAD983132 QJZ983132 QTV983132 RDR983132 RNN983132 RXJ983132 SHF983132 SRB983132 TAX983132 TKT983132 TUP983132 UEL983132 UOH983132 UYD983132 VHZ983132 VRV983132 WBR983132 WLN983132 WVJ983132 QAD98304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QJZ983045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QTV983045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RDR983045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RNN983045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RXJ98304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SHF983045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SRB983045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TAX983045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TKT983045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TUP98304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UEL983045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UOH983045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UYD983045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VHZ983045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851973 B917509 B983045 B5 B65572 B131108 B196644 B262180 B327716 B393252 B458788 B524324 B589860 B655396 B720932 B786468 B852004 B917540 B983076 B65600 B131136 B196672 B262208 B327744 B393280 B458816 B524352 B589888 B655424 B720960 B786496 B852032 B917568 B983104 B65628 B131164 B196700 B262236 B327772 B393308 B458844 B524380 B589916 B655452 B720988 B786524 B852060 B917596 B983132 B65541 B131077 B196613 B262149 B327685 B393221 B458757 B524293 B589829 B655365 B720901 B786437 B36 B64 B92" xr:uid="{00000000-0002-0000-1C00-000000000000}">
      <formula1>#REF!</formula1>
    </dataValidation>
  </dataValidations>
  <pageMargins left="0.7" right="0.7" top="0.75" bottom="0.75" header="0.3" footer="0.3"/>
  <pageSetup paperSize="9" scale="42"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29</vt:i4>
      </vt:variant>
      <vt:variant>
        <vt:lpstr>Plages nommées</vt:lpstr>
      </vt:variant>
      <vt:variant>
        <vt:i4>22</vt:i4>
      </vt:variant>
    </vt:vector>
  </HeadingPairs>
  <TitlesOfParts>
    <vt:vector size="51" baseType="lpstr">
      <vt:lpstr>Feuil1</vt:lpstr>
      <vt:lpstr>Feuil2</vt:lpstr>
      <vt:lpstr>Feuil3</vt:lpstr>
      <vt:lpstr>Feuil4</vt:lpstr>
      <vt:lpstr>Syn prin concurents</vt:lpstr>
      <vt:lpstr>Syn prin concurents par catégor</vt:lpstr>
      <vt:lpstr>Syn prin concurents par trim</vt:lpstr>
      <vt:lpstr>Syn prin concurents par sem</vt:lpstr>
      <vt:lpstr>Syn prin concurents par cat (2)</vt:lpstr>
      <vt:lpstr>Syn prin concurents Nbre</vt:lpstr>
      <vt:lpstr>Syn prin concurents par cat Nbr</vt:lpstr>
      <vt:lpstr>Montant Moyn</vt:lpstr>
      <vt:lpstr>GLOBAL</vt:lpstr>
      <vt:lpstr>AXA CREDIT</vt:lpstr>
      <vt:lpstr>ASSALAF AL AKHDAR</vt:lpstr>
      <vt:lpstr>DAR SALAF</vt:lpstr>
      <vt:lpstr>EQDOM</vt:lpstr>
      <vt:lpstr>FNAC</vt:lpstr>
      <vt:lpstr>RCI </vt:lpstr>
      <vt:lpstr>SALAFIN</vt:lpstr>
      <vt:lpstr>SOFAC</vt:lpstr>
      <vt:lpstr>SOGEFINANCEMENT</vt:lpstr>
      <vt:lpstr>SONAC</vt:lpstr>
      <vt:lpstr>SOREC</vt:lpstr>
      <vt:lpstr>VIVALIS</vt:lpstr>
      <vt:lpstr>WAFASALAF</vt:lpstr>
      <vt:lpstr>DIAC</vt:lpstr>
      <vt:lpstr>FINACRED</vt:lpstr>
      <vt:lpstr>SALAF AL MOUSTAQBAL</vt:lpstr>
      <vt:lpstr>'ASSALAF AL AKHDAR'!Zone_d_impression</vt:lpstr>
      <vt:lpstr>'AXA CREDIT'!Zone_d_impression</vt:lpstr>
      <vt:lpstr>'DAR SALAF'!Zone_d_impression</vt:lpstr>
      <vt:lpstr>DIAC!Zone_d_impression</vt:lpstr>
      <vt:lpstr>EQDOM!Zone_d_impression</vt:lpstr>
      <vt:lpstr>FINACRED!Zone_d_impression</vt:lpstr>
      <vt:lpstr>FNAC!Zone_d_impression</vt:lpstr>
      <vt:lpstr>GLOBAL!Zone_d_impression</vt:lpstr>
      <vt:lpstr>'RCI '!Zone_d_impression</vt:lpstr>
      <vt:lpstr>'SALAF AL MOUSTAQBAL'!Zone_d_impression</vt:lpstr>
      <vt:lpstr>SALAFIN!Zone_d_impression</vt:lpstr>
      <vt:lpstr>SOFAC!Zone_d_impression</vt:lpstr>
      <vt:lpstr>SONAC!Zone_d_impression</vt:lpstr>
      <vt:lpstr>SOREC!Zone_d_impression</vt:lpstr>
      <vt:lpstr>'Syn prin concurents'!Zone_d_impression</vt:lpstr>
      <vt:lpstr>'Syn prin concurents Nbre'!Zone_d_impression</vt:lpstr>
      <vt:lpstr>'Syn prin concurents par cat Nbr'!Zone_d_impression</vt:lpstr>
      <vt:lpstr>'Syn prin concurents par catégor'!Zone_d_impression</vt:lpstr>
      <vt:lpstr>'Syn prin concurents par sem'!Zone_d_impression</vt:lpstr>
      <vt:lpstr>'Syn prin concurents par trim'!Zone_d_impression</vt:lpstr>
      <vt:lpstr>VIVALIS!Zone_d_impression</vt:lpstr>
      <vt:lpstr>WAFASALAF!Zone_d_impression</vt:lpstr>
    </vt:vector>
  </TitlesOfParts>
  <Manager/>
  <Company>Unicornis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Unicornis</dc:creator>
  <cp:keywords/>
  <dc:description/>
  <cp:lastModifiedBy>zouhair elazizy</cp:lastModifiedBy>
  <cp:revision/>
  <dcterms:created xsi:type="dcterms:W3CDTF">2009-03-18T11:37:23Z</dcterms:created>
  <dcterms:modified xsi:type="dcterms:W3CDTF">2026-09-04T09:54:29Z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